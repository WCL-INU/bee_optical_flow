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sktop\Documents\WCL\bee\optical_flow\validation\"/>
    </mc:Choice>
  </mc:AlternateContent>
  <xr:revisionPtr revIDLastSave="0" documentId="13_ncr:1_{F7EB2914-7154-4711-9A7F-C2833A984D0E}" xr6:coauthVersionLast="47" xr6:coauthVersionMax="47" xr10:uidLastSave="{00000000-0000-0000-0000-000000000000}"/>
  <bookViews>
    <workbookView xWindow="-120" yWindow="-120" windowWidth="29040" windowHeight="15720" xr2:uid="{61D47A4D-4AEC-1545-8644-A34DF697FDF1}"/>
  </bookViews>
  <sheets>
    <sheet name="batch_summary" sheetId="2" r:id="rId1"/>
    <sheet name="Sheet1" sheetId="1" r:id="rId2"/>
  </sheets>
  <definedNames>
    <definedName name="ExternalData_1" localSheetId="0" hidden="1">batch_summary!$A$1:$E$461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2" l="1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F013011-E4DE-4185-A74D-DB4AB450E7DF}" keepAlive="1" name="쿼리 - batch_summary" description="통합 문서의 'batch_summary' 쿼리에 대한 연결입니다." type="5" refreshedVersion="8" background="1" saveData="1">
    <dbPr connection="Provider=Microsoft.Mashup.OleDb.1;Data Source=$Workbook$;Location=batch_summary;Extended Properties=&quot;&quot;" command="SELECT * FROM [batch_summary]"/>
  </connection>
</connections>
</file>

<file path=xl/sharedStrings.xml><?xml version="1.0" encoding="utf-8"?>
<sst xmlns="http://schemas.openxmlformats.org/spreadsheetml/2006/main" count="467" uniqueCount="467">
  <si>
    <t>total_raw_in_flux</t>
  </si>
  <si>
    <t>total_raw_out_flux</t>
  </si>
  <si>
    <t>total_filtered_in_flux</t>
  </si>
  <si>
    <t>total_filtered_out_flux</t>
  </si>
  <si>
    <t>video</t>
  </si>
  <si>
    <t>ANU-25-summer-20_20260309_060000.mp4</t>
  </si>
  <si>
    <t>ANU-25-summer-20_20260309_070000.mp4</t>
  </si>
  <si>
    <t>ANU-25-summer-20_20260309_080000.mp4</t>
  </si>
  <si>
    <t>ANU-25-summer-20_20260309_090000.mp4</t>
  </si>
  <si>
    <t>ANU-25-summer-20_20260309_100000.mp4</t>
  </si>
  <si>
    <t>ANU-25-summer-20_20260309_110000.mp4</t>
  </si>
  <si>
    <t>ANU-25-summer-20_20260309_120000.mp4</t>
  </si>
  <si>
    <t>ANU-25-summer-20_20260309_130000.mp4</t>
  </si>
  <si>
    <t>ANU-25-summer-20_20260309_140000.mp4</t>
  </si>
  <si>
    <t>ANU-25-summer-20_20260309_150000.mp4</t>
  </si>
  <si>
    <t>ANU-25-summer-20_20260309_160000.mp4</t>
  </si>
  <si>
    <t>ANU-25-summer-20_20260309_170000.mp4</t>
  </si>
  <si>
    <t>ANU-25-summer-20_20260309_180000.mp4</t>
  </si>
  <si>
    <t>ANU-25-summer-20_20260309_190000.mp4</t>
  </si>
  <si>
    <t>ANU-25-summer-20_20260310_060000.mp4</t>
  </si>
  <si>
    <t>ANU-25-summer-20_20260310_070000.mp4</t>
  </si>
  <si>
    <t>ANU-25-summer-20_20260310_080000.mp4</t>
  </si>
  <si>
    <t>ANU-25-summer-20_20260310_090000.mp4</t>
  </si>
  <si>
    <t>ANU-25-summer-20_20260310_100000.mp4</t>
  </si>
  <si>
    <t>ANU-25-summer-20_20260310_110000.mp4</t>
  </si>
  <si>
    <t>ANU-25-summer-20_20260310_120000.mp4</t>
  </si>
  <si>
    <t>ANU-25-summer-20_20260310_130000.mp4</t>
  </si>
  <si>
    <t>ANU-25-summer-20_20260310_140000.mp4</t>
  </si>
  <si>
    <t>ANU-25-summer-20_20260310_150000.mp4</t>
  </si>
  <si>
    <t>ANU-25-summer-20_20260310_160000.mp4</t>
  </si>
  <si>
    <t>ANU-25-summer-20_20260310_170000.mp4</t>
  </si>
  <si>
    <t>ANU-25-summer-20_20260310_180000.mp4</t>
  </si>
  <si>
    <t>ANU-25-summer-20_20260310_190000.mp4</t>
  </si>
  <si>
    <t>ANU-25-summer-20_20260311_060000.mp4</t>
  </si>
  <si>
    <t>ANU-25-summer-20_20260311_070000.mp4</t>
  </si>
  <si>
    <t>ANU-25-summer-20_20260311_080000.mp4</t>
  </si>
  <si>
    <t>ANU-25-summer-20_20260311_090000.mp4</t>
  </si>
  <si>
    <t>ANU-25-summer-20_20260311_100000.mp4</t>
  </si>
  <si>
    <t>ANU-25-summer-20_20260311_110000.mp4</t>
  </si>
  <si>
    <t>ANU-25-summer-20_20260311_120000.mp4</t>
  </si>
  <si>
    <t>ANU-25-summer-20_20260311_130000.mp4</t>
  </si>
  <si>
    <t>ANU-25-summer-20_20260311_140000.mp4</t>
  </si>
  <si>
    <t>ANU-25-summer-20_20260311_150000.mp4</t>
  </si>
  <si>
    <t>ANU-25-summer-20_20260311_160000.mp4</t>
  </si>
  <si>
    <t>ANU-25-summer-20_20260311_170000.mp4</t>
  </si>
  <si>
    <t>ANU-25-summer-20_20260311_180000.mp4</t>
  </si>
  <si>
    <t>ANU-25-summer-20_20260311_190000.mp4</t>
  </si>
  <si>
    <t>ANU-25-summer-20_20260312_060000.mp4</t>
  </si>
  <si>
    <t>ANU-25-summer-20_20260312_070000.mp4</t>
  </si>
  <si>
    <t>ANU-25-summer-20_20260312_080000.mp4</t>
  </si>
  <si>
    <t>ANU-25-summer-20_20260312_090000.mp4</t>
  </si>
  <si>
    <t>ANU-25-summer-20_20260312_100000.mp4</t>
  </si>
  <si>
    <t>ANU-25-summer-20_20260312_110000.mp4</t>
  </si>
  <si>
    <t>ANU-25-summer-20_20260312_120000.mp4</t>
  </si>
  <si>
    <t>ANU-25-summer-20_20260312_130000.mp4</t>
  </si>
  <si>
    <t>ANU-25-summer-20_20260312_140000.mp4</t>
  </si>
  <si>
    <t>ANU-25-summer-20_20260312_150000.mp4</t>
  </si>
  <si>
    <t>ANU-25-summer-20_20260312_160000.mp4</t>
  </si>
  <si>
    <t>ANU-25-summer-20_20260312_170000.mp4</t>
  </si>
  <si>
    <t>ANU-25-summer-20_20260312_180000.mp4</t>
  </si>
  <si>
    <t>ANU-25-summer-20_20260312_190000.mp4</t>
  </si>
  <si>
    <t>ANU-25-summer-20_20260313_060000.mp4</t>
  </si>
  <si>
    <t>ANU-25-summer-20_20260313_070000.mp4</t>
  </si>
  <si>
    <t>ANU-25-summer-20_20260313_080000.mp4</t>
  </si>
  <si>
    <t>ANU-25-summer-20_20260313_090000.mp4</t>
  </si>
  <si>
    <t>ANU-25-summer-20_20260313_100000.mp4</t>
  </si>
  <si>
    <t>ANU-25-summer-20_20260313_110000.mp4</t>
  </si>
  <si>
    <t>ANU-25-summer-20_20260313_120000.mp4</t>
  </si>
  <si>
    <t>ANU-25-summer-20_20260313_130000.mp4</t>
  </si>
  <si>
    <t>ANU-25-summer-20_20260313_140000.mp4</t>
  </si>
  <si>
    <t>ANU-25-summer-20_20260313_150000.mp4</t>
  </si>
  <si>
    <t>ANU-25-summer-20_20260313_160000.mp4</t>
  </si>
  <si>
    <t>ANU-25-summer-20_20260313_170000.mp4</t>
  </si>
  <si>
    <t>ANU-25-summer-20_20260313_180000.mp4</t>
  </si>
  <si>
    <t>ANU-25-summer-20_20260313_190000.mp4</t>
  </si>
  <si>
    <t>ANU-25-summer-20_20260314_060000.mp4</t>
  </si>
  <si>
    <t>ANU-25-summer-20_20260314_070000.mp4</t>
  </si>
  <si>
    <t>ANU-25-summer-20_20260314_080000.mp4</t>
  </si>
  <si>
    <t>ANU-25-summer-20_20260314_090000.mp4</t>
  </si>
  <si>
    <t>ANU-25-summer-20_20260314_100000.mp4</t>
  </si>
  <si>
    <t>ANU-25-summer-20_20260314_110000.mp4</t>
  </si>
  <si>
    <t>ANU-25-summer-20_20260314_120000.mp4</t>
  </si>
  <si>
    <t>ANU-25-summer-20_20260314_130000.mp4</t>
  </si>
  <si>
    <t>ANU-25-summer-20_20260314_140000.mp4</t>
  </si>
  <si>
    <t>ANU-25-summer-20_20260314_150000.mp4</t>
  </si>
  <si>
    <t>ANU-25-summer-20_20260314_160000.mp4</t>
  </si>
  <si>
    <t>ANU-25-summer-20_20260314_170000.mp4</t>
  </si>
  <si>
    <t>ANU-25-summer-20_20260314_180000.mp4</t>
  </si>
  <si>
    <t>ANU-25-summer-20_20260314_190000.mp4</t>
  </si>
  <si>
    <t>ANU-25-summer-20_20260315_060000.mp4</t>
  </si>
  <si>
    <t>ANU-25-summer-20_20260315_070000.mp4</t>
  </si>
  <si>
    <t>ANU-25-summer-20_20260315_080000.mp4</t>
  </si>
  <si>
    <t>ANU-25-summer-20_20260315_090000.mp4</t>
  </si>
  <si>
    <t>ANU-25-summer-20_20260315_100000.mp4</t>
  </si>
  <si>
    <t>ANU-25-summer-20_20260315_110000.mp4</t>
  </si>
  <si>
    <t>ANU-25-summer-20_20260315_120000.mp4</t>
  </si>
  <si>
    <t>ANU-25-summer-20_20260315_130000.mp4</t>
  </si>
  <si>
    <t>ANU-25-summer-20_20260315_140000.mp4</t>
  </si>
  <si>
    <t>ANU-25-summer-20_20260315_150000.mp4</t>
  </si>
  <si>
    <t>ANU-25-summer-20_20260315_160000.mp4</t>
  </si>
  <si>
    <t>ANU-25-summer-20_20260315_170000.mp4</t>
  </si>
  <si>
    <t>ANU-25-summer-20_20260315_180000.mp4</t>
  </si>
  <si>
    <t>ANU-25-summer-20_20260315_190000.mp4</t>
  </si>
  <si>
    <t>ANU-25-summer-20_20260316_060000.mp4</t>
  </si>
  <si>
    <t>ANU-25-summer-20_20260316_070000.mp4</t>
  </si>
  <si>
    <t>ANU-25-summer-20_20260316_080000.mp4</t>
  </si>
  <si>
    <t>ANU-25-summer-20_20260316_090000.mp4</t>
  </si>
  <si>
    <t>ANU-25-summer-20_20260316_100000.mp4</t>
  </si>
  <si>
    <t>ANU-25-summer-20_20260316_110000.mp4</t>
  </si>
  <si>
    <t>ANU-25-summer-20_20260316_120000.mp4</t>
  </si>
  <si>
    <t>ANU-25-summer-20_20260316_130000.mp4</t>
  </si>
  <si>
    <t>ANU-25-summer-20_20260316_140000.mp4</t>
  </si>
  <si>
    <t>ANU-25-summer-20_20260316_150000.mp4</t>
  </si>
  <si>
    <t>ANU-25-summer-20_20260316_160000.mp4</t>
  </si>
  <si>
    <t>ANU-25-summer-20_20260316_170000.mp4</t>
  </si>
  <si>
    <t>ANU-25-summer-20_20260316_180000.mp4</t>
  </si>
  <si>
    <t>ANU-25-summer-20_20260316_190000.mp4</t>
  </si>
  <si>
    <t>ANU-25-summer-20_20260317_060000.mp4</t>
  </si>
  <si>
    <t>ANU-25-summer-20_20260317_070000.mp4</t>
  </si>
  <si>
    <t>ANU-25-summer-20_20260317_080000.mp4</t>
  </si>
  <si>
    <t>ANU-25-summer-20_20260317_090000.mp4</t>
  </si>
  <si>
    <t>ANU-25-summer-20_20260317_100000.mp4</t>
  </si>
  <si>
    <t>ANU-25-summer-20_20260317_110000.mp4</t>
  </si>
  <si>
    <t>ANU-25-summer-20_20260317_120000.mp4</t>
  </si>
  <si>
    <t>ANU-25-summer-20_20260317_130000.mp4</t>
  </si>
  <si>
    <t>ANU-25-summer-20_20260317_140000.mp4</t>
  </si>
  <si>
    <t>ANU-25-summer-20_20260317_150000.mp4</t>
  </si>
  <si>
    <t>ANU-25-summer-20_20260317_160000.mp4</t>
  </si>
  <si>
    <t>ANU-25-summer-20_20260317_170000.mp4</t>
  </si>
  <si>
    <t>ANU-25-summer-20_20260317_180000.mp4</t>
  </si>
  <si>
    <t>ANU-25-summer-20_20260317_190000.mp4</t>
  </si>
  <si>
    <t>ANU-25-summer-20_20260318_060000.mp4</t>
  </si>
  <si>
    <t>ANU-25-summer-20_20260318_070000.mp4</t>
  </si>
  <si>
    <t>ANU-25-summer-20_20260318_080000.mp4</t>
  </si>
  <si>
    <t>ANU-25-summer-20_20260318_090000.mp4</t>
  </si>
  <si>
    <t>ANU-25-summer-20_20260318_100000.mp4</t>
  </si>
  <si>
    <t>ANU-25-summer-20_20260318_110000.mp4</t>
  </si>
  <si>
    <t>ANU-25-summer-20_20260318_120000.mp4</t>
  </si>
  <si>
    <t>ANU-25-summer-20_20260318_130000.mp4</t>
  </si>
  <si>
    <t>ANU-25-summer-20_20260318_140000.mp4</t>
  </si>
  <si>
    <t>ANU-25-summer-20_20260318_150000.mp4</t>
  </si>
  <si>
    <t>ANU-25-summer-20_20260318_160000.mp4</t>
  </si>
  <si>
    <t>ANU-25-summer-20_20260318_170000.mp4</t>
  </si>
  <si>
    <t>ANU-25-summer-20_20260318_180000.mp4</t>
  </si>
  <si>
    <t>ANU-25-summer-20_20260318_190000.mp4</t>
  </si>
  <si>
    <t>ANU-25-summer-20_20260319_070000.mp4</t>
  </si>
  <si>
    <t>ANU-25-summer-20_20260319_090000.mp4</t>
  </si>
  <si>
    <t>ANU-25-summer-20_20260319_100000.mp4</t>
  </si>
  <si>
    <t>ANU-25-summer-20_20260319_110000.mp4</t>
  </si>
  <si>
    <t>ANU-25-summer-20_20260319_120000.mp4</t>
  </si>
  <si>
    <t>ANU-25-summer-20_20260319_130000.mp4</t>
  </si>
  <si>
    <t>ANU-25-summer-20_20260319_140000.mp4</t>
  </si>
  <si>
    <t>ANU-25-summer-20_20260319_150000.mp4</t>
  </si>
  <si>
    <t>ANU-25-summer-20_20260319_160000.mp4</t>
  </si>
  <si>
    <t>ANU-25-summer-20_20260319_170000.mp4</t>
  </si>
  <si>
    <t>ANU-25-summer-20_20260319_180000.mp4</t>
  </si>
  <si>
    <t>ANU-25-summer-20_20260319_190000.mp4</t>
  </si>
  <si>
    <t>ANU-25-summer-20_20260320_060000.mp4</t>
  </si>
  <si>
    <t>ANU-25-summer-20_20260320_070000.mp4</t>
  </si>
  <si>
    <t>ANU-25-summer-20_20260320_080000.mp4</t>
  </si>
  <si>
    <t>ANU-25-summer-20_20260320_090000.mp4</t>
  </si>
  <si>
    <t>ANU-25-summer-20_20260320_100000.mp4</t>
  </si>
  <si>
    <t>ANU-25-summer-20_20260320_110000.mp4</t>
  </si>
  <si>
    <t>ANU-25-summer-20_20260320_120000.mp4</t>
  </si>
  <si>
    <t>ANU-25-summer-20_20260320_130000.mp4</t>
  </si>
  <si>
    <t>ANU-25-summer-20_20260320_140000.mp4</t>
  </si>
  <si>
    <t>ANU-25-summer-20_20260320_150000.mp4</t>
  </si>
  <si>
    <t>ANU-25-summer-20_20260320_160000.mp4</t>
  </si>
  <si>
    <t>ANU-25-summer-20_20260320_170000.mp4</t>
  </si>
  <si>
    <t>ANU-25-summer-20_20260320_180000.mp4</t>
  </si>
  <si>
    <t>ANU-25-summer-20_20260320_190000.mp4</t>
  </si>
  <si>
    <t>ANU-25-summer-20_20260321_060000.mp4</t>
  </si>
  <si>
    <t>ANU-25-summer-20_20260321_070000.mp4</t>
  </si>
  <si>
    <t>ANU-25-summer-20_20260321_080000.mp4</t>
  </si>
  <si>
    <t>ANU-25-summer-20_20260321_090000.mp4</t>
  </si>
  <si>
    <t>ANU-25-summer-20_20260321_100000.mp4</t>
  </si>
  <si>
    <t>ANU-25-summer-20_20260321_110000.mp4</t>
  </si>
  <si>
    <t>ANU-25-summer-20_20260321_120000.mp4</t>
  </si>
  <si>
    <t>ANU-25-summer-20_20260321_130000.mp4</t>
  </si>
  <si>
    <t>ANU-25-summer-20_20260321_140000.mp4</t>
  </si>
  <si>
    <t>ANU-25-summer-20_20260321_150000.mp4</t>
  </si>
  <si>
    <t>ANU-25-summer-20_20260321_160000.mp4</t>
  </si>
  <si>
    <t>ANU-25-summer-20_20260321_170000.mp4</t>
  </si>
  <si>
    <t>ANU-25-summer-20_20260321_180000.mp4</t>
  </si>
  <si>
    <t>ANU-25-summer-20_20260321_190000.mp4</t>
  </si>
  <si>
    <t>ANU-25-summer-20_20260322_060000.mp4</t>
  </si>
  <si>
    <t>ANU-25-summer-20_20260322_070000.mp4</t>
  </si>
  <si>
    <t>ANU-25-summer-20_20260322_080000.mp4</t>
  </si>
  <si>
    <t>ANU-25-summer-20_20260322_090000.mp4</t>
  </si>
  <si>
    <t>ANU-25-summer-20_20260322_100000.mp4</t>
  </si>
  <si>
    <t>ANU-25-summer-20_20260322_110000.mp4</t>
  </si>
  <si>
    <t>ANU-25-summer-20_20260322_120000.mp4</t>
  </si>
  <si>
    <t>ANU-25-summer-20_20260322_130000.mp4</t>
  </si>
  <si>
    <t>ANU-25-summer-20_20260322_140000.mp4</t>
  </si>
  <si>
    <t>ANU-25-summer-20_20260322_150000.mp4</t>
  </si>
  <si>
    <t>ANU-25-summer-20_20260322_160000.mp4</t>
  </si>
  <si>
    <t>ANU-25-summer-20_20260322_170000.mp4</t>
  </si>
  <si>
    <t>ANU-25-summer-20_20260322_180000.mp4</t>
  </si>
  <si>
    <t>ANU-25-summer-20_20260322_190000.mp4</t>
  </si>
  <si>
    <t>ANU-25-summer-20_20260323_060000.mp4</t>
  </si>
  <si>
    <t>ANU-25-summer-20_20260323_070000.mp4</t>
  </si>
  <si>
    <t>ANU-25-summer-20_20260323_080000.mp4</t>
  </si>
  <si>
    <t>ANU-25-summer-20_20260323_090000.mp4</t>
  </si>
  <si>
    <t>ANU-25-summer-20_20260323_100000.mp4</t>
  </si>
  <si>
    <t>ANU-25-summer-20_20260323_110000.mp4</t>
  </si>
  <si>
    <t>ANU-25-summer-20_20260323_120000.mp4</t>
  </si>
  <si>
    <t>ANU-25-summer-20_20260323_130000.mp4</t>
  </si>
  <si>
    <t>ANU-25-summer-20_20260323_140000.mp4</t>
  </si>
  <si>
    <t>ANU-25-summer-20_20260323_150000.mp4</t>
  </si>
  <si>
    <t>ANU-25-summer-20_20260323_160000.mp4</t>
  </si>
  <si>
    <t>ANU-25-summer-20_20260323_170000.mp4</t>
  </si>
  <si>
    <t>ANU-25-summer-20_20260323_180000.mp4</t>
  </si>
  <si>
    <t>ANU-25-summer-20_20260323_190000.mp4</t>
  </si>
  <si>
    <t>ANU-25-summer-20_20260324_060000.mp4</t>
  </si>
  <si>
    <t>ANU-25-summer-20_20260324_070000.mp4</t>
  </si>
  <si>
    <t>ANU-25-summer-20_20260324_080000.mp4</t>
  </si>
  <si>
    <t>ANU-25-summer-20_20260324_090000.mp4</t>
  </si>
  <si>
    <t>ANU-25-summer-20_20260324_100000.mp4</t>
  </si>
  <si>
    <t>ANU-25-summer-20_20260324_110000.mp4</t>
  </si>
  <si>
    <t>ANU-25-summer-20_20260324_120000.mp4</t>
  </si>
  <si>
    <t>ANU-25-summer-20_20260324_130000.mp4</t>
  </si>
  <si>
    <t>ANU-25-summer-20_20260324_140000.mp4</t>
  </si>
  <si>
    <t>ANU-25-summer-20_20260324_150000.mp4</t>
  </si>
  <si>
    <t>ANU-25-summer-20_20260324_160000.mp4</t>
  </si>
  <si>
    <t>ANU-25-summer-20_20260324_170000.mp4</t>
  </si>
  <si>
    <t>ANU-25-summer-20_20260324_180000.mp4</t>
  </si>
  <si>
    <t>ANU-25-summer-20_20260324_190000.mp4</t>
  </si>
  <si>
    <t>ANU-25-summer-20_20260325_060000.mp4</t>
  </si>
  <si>
    <t>ANU-25-summer-20_20260325_070000.mp4</t>
  </si>
  <si>
    <t>ANU-25-summer-20_20260325_080000.mp4</t>
  </si>
  <si>
    <t>ANU-25-summer-20_20260325_090000.mp4</t>
  </si>
  <si>
    <t>ANU-25-summer-20_20260325_100000.mp4</t>
  </si>
  <si>
    <t>ANU-25-summer-20_20260325_110000.mp4</t>
  </si>
  <si>
    <t>ANU-25-summer-20_20260325_120000.mp4</t>
  </si>
  <si>
    <t>ANU-25-summer-20_20260325_130000.mp4</t>
  </si>
  <si>
    <t>ANU-25-summer-20_20260325_140000.mp4</t>
  </si>
  <si>
    <t>ANU-25-summer-20_20260325_150000.mp4</t>
  </si>
  <si>
    <t>ANU-25-summer-20_20260325_160000.mp4</t>
  </si>
  <si>
    <t>ANU-25-summer-20_20260325_170000.mp4</t>
  </si>
  <si>
    <t>ANU-25-summer-20_20260325_180000.mp4</t>
  </si>
  <si>
    <t>ANU-25-summer-20_20260325_190000.mp4</t>
  </si>
  <si>
    <t>ANU-25-summer-20_20260326_060000.mp4</t>
  </si>
  <si>
    <t>ANU-25-summer-20_20260326_070000.mp4</t>
  </si>
  <si>
    <t>ANU-25-summer-20_20260326_080000.mp4</t>
  </si>
  <si>
    <t>ANU-25-summer-20_20260326_090000.mp4</t>
  </si>
  <si>
    <t>ANU-25-summer-20_20260326_100000.mp4</t>
  </si>
  <si>
    <t>ANU-25-summer-20_20260326_110000.mp4</t>
  </si>
  <si>
    <t>ANU-25-summer-20_20260326_120000.mp4</t>
  </si>
  <si>
    <t>ANU-25-summer-20_20260326_130000.mp4</t>
  </si>
  <si>
    <t>ANU-25-summer-20_20260326_140000.mp4</t>
  </si>
  <si>
    <t>ANU-25-summer-20_20260326_150000.mp4</t>
  </si>
  <si>
    <t>ANU-25-summer-20_20260326_160000.mp4</t>
  </si>
  <si>
    <t>ANU-25-summer-20_20260326_170000.mp4</t>
  </si>
  <si>
    <t>ANU-25-summer-20_20260326_180000.mp4</t>
  </si>
  <si>
    <t>ANU-25-summer-20_20260326_190000.mp4</t>
  </si>
  <si>
    <t>ANU-25-summer-20_20260327_060000.mp4</t>
  </si>
  <si>
    <t>ANU-25-summer-20_20260327_070000.mp4</t>
  </si>
  <si>
    <t>ANU-25-summer-20_20260327_080000.mp4</t>
  </si>
  <si>
    <t>ANU-25-summer-20_20260327_090000.mp4</t>
  </si>
  <si>
    <t>ANU-25-summer-20_20260327_100000.mp4</t>
  </si>
  <si>
    <t>ANU-25-summer-20_20260327_110000.mp4</t>
  </si>
  <si>
    <t>ANU-25-summer-20_20260327_120000.mp4</t>
  </si>
  <si>
    <t>ANU-25-summer-20_20260327_130000.mp4</t>
  </si>
  <si>
    <t>ANU-25-summer-20_20260327_140000.mp4</t>
  </si>
  <si>
    <t>ANU-25-summer-20_20260327_150000.mp4</t>
  </si>
  <si>
    <t>ANU-25-summer-20_20260327_160000.mp4</t>
  </si>
  <si>
    <t>ANU-25-summer-20_20260327_170000.mp4</t>
  </si>
  <si>
    <t>ANU-25-summer-20_20260327_180000.mp4</t>
  </si>
  <si>
    <t>ANU-25-summer-20_20260327_190000.mp4</t>
  </si>
  <si>
    <t>ANU-25-summer-20_20260328_060000.mp4</t>
  </si>
  <si>
    <t>ANU-25-summer-20_20260328_070000.mp4</t>
  </si>
  <si>
    <t>ANU-25-summer-20_20260328_080000.mp4</t>
  </si>
  <si>
    <t>ANU-25-summer-20_20260328_090000.mp4</t>
  </si>
  <si>
    <t>ANU-25-summer-20_20260328_100000.mp4</t>
  </si>
  <si>
    <t>ANU-25-summer-20_20260328_110000.mp4</t>
  </si>
  <si>
    <t>ANU-25-summer-20_20260328_120000.mp4</t>
  </si>
  <si>
    <t>ANU-25-summer-20_20260328_130000.mp4</t>
  </si>
  <si>
    <t>ANU-25-summer-20_20260328_140000.mp4</t>
  </si>
  <si>
    <t>ANU-25-summer-20_20260328_150000.mp4</t>
  </si>
  <si>
    <t>ANU-25-summer-20_20260328_160000.mp4</t>
  </si>
  <si>
    <t>ANU-25-summer-20_20260328_170000.mp4</t>
  </si>
  <si>
    <t>ANU-25-summer-20_20260328_180000.mp4</t>
  </si>
  <si>
    <t>ANU-25-summer-20_20260328_190000.mp4</t>
  </si>
  <si>
    <t>ANU-25-summer-20_20260329_060000.mp4</t>
  </si>
  <si>
    <t>ANU-25-summer-20_20260329_070000.mp4</t>
  </si>
  <si>
    <t>ANU-25-summer-20_20260329_080000.mp4</t>
  </si>
  <si>
    <t>ANU-25-summer-20_20260329_090000.mp4</t>
  </si>
  <si>
    <t>ANU-25-summer-20_20260329_100000.mp4</t>
  </si>
  <si>
    <t>ANU-25-summer-20_20260329_110000.mp4</t>
  </si>
  <si>
    <t>ANU-25-summer-20_20260329_120000.mp4</t>
  </si>
  <si>
    <t>ANU-25-summer-20_20260329_130000.mp4</t>
  </si>
  <si>
    <t>ANU-25-summer-20_20260329_140000.mp4</t>
  </si>
  <si>
    <t>ANU-25-summer-20_20260329_150000.mp4</t>
  </si>
  <si>
    <t>ANU-25-summer-20_20260329_160000.mp4</t>
  </si>
  <si>
    <t>ANU-25-summer-20_20260329_170000.mp4</t>
  </si>
  <si>
    <t>ANU-25-summer-20_20260329_180000.mp4</t>
  </si>
  <si>
    <t>ANU-25-summer-20_20260329_190000.mp4</t>
  </si>
  <si>
    <t>ANU-25-summer-20_20260330_060000.mp4</t>
  </si>
  <si>
    <t>ANU-25-summer-20_20260330_070000.mp4</t>
  </si>
  <si>
    <t>ANU-25-summer-20_20260330_080000.mp4</t>
  </si>
  <si>
    <t>ANU-25-summer-20_20260330_090000.mp4</t>
  </si>
  <si>
    <t>ANU-25-summer-20_20260330_100000.mp4</t>
  </si>
  <si>
    <t>ANU-25-summer-20_20260330_110000.mp4</t>
  </si>
  <si>
    <t>ANU-25-summer-20_20260330_120000.mp4</t>
  </si>
  <si>
    <t>ANU-25-summer-20_20260330_130000.mp4</t>
  </si>
  <si>
    <t>ANU-25-summer-20_20260330_140000.mp4</t>
  </si>
  <si>
    <t>ANU-25-summer-20_20260330_150000.mp4</t>
  </si>
  <si>
    <t>ANU-25-summer-20_20260330_160000.mp4</t>
  </si>
  <si>
    <t>ANU-25-summer-20_20260330_170000.mp4</t>
  </si>
  <si>
    <t>ANU-25-summer-20_20260330_180000.mp4</t>
  </si>
  <si>
    <t>ANU-25-summer-20_20260330_190000.mp4</t>
  </si>
  <si>
    <t>ANU-25-summer-20_20260331_060000.mp4</t>
  </si>
  <si>
    <t>ANU-25-summer-20_20260331_070000.mp4</t>
  </si>
  <si>
    <t>ANU-25-summer-20_20260331_080000.mp4</t>
  </si>
  <si>
    <t>ANU-25-summer-20_20260331_090000.mp4</t>
  </si>
  <si>
    <t>ANU-25-summer-20_20260331_100000.mp4</t>
  </si>
  <si>
    <t>ANU-25-summer-20_20260331_110000.mp4</t>
  </si>
  <si>
    <t>ANU-25-summer-20_20260331_120000.mp4</t>
  </si>
  <si>
    <t>ANU-25-summer-20_20260331_130000.mp4</t>
  </si>
  <si>
    <t>ANU-25-summer-20_20260331_140000.mp4</t>
  </si>
  <si>
    <t>ANU-25-summer-20_20260331_150000.mp4</t>
  </si>
  <si>
    <t>ANU-25-summer-20_20260331_160000.mp4</t>
  </si>
  <si>
    <t>ANU-25-summer-20_20260331_170000.mp4</t>
  </si>
  <si>
    <t>ANU-25-summer-20_20260331_180000.mp4</t>
  </si>
  <si>
    <t>ANU-25-summer-20_20260331_190000.mp4</t>
  </si>
  <si>
    <t>ANU-25-summer-20_20260401_060000.mp4</t>
  </si>
  <si>
    <t>ANU-25-summer-20_20260401_070000.mp4</t>
  </si>
  <si>
    <t>ANU-25-summer-20_20260401_080000.mp4</t>
  </si>
  <si>
    <t>ANU-25-summer-20_20260401_090000.mp4</t>
  </si>
  <si>
    <t>ANU-25-summer-20_20260401_100000.mp4</t>
  </si>
  <si>
    <t>ANU-25-summer-20_20260401_110000.mp4</t>
  </si>
  <si>
    <t>ANU-25-summer-20_20260401_120000.mp4</t>
  </si>
  <si>
    <t>ANU-25-summer-20_20260401_130000.mp4</t>
  </si>
  <si>
    <t>ANU-25-summer-20_20260401_140000.mp4</t>
  </si>
  <si>
    <t>ANU-25-summer-20_20260401_150000.mp4</t>
  </si>
  <si>
    <t>ANU-25-summer-20_20260401_160000.mp4</t>
  </si>
  <si>
    <t>ANU-25-summer-20_20260401_170000.mp4</t>
  </si>
  <si>
    <t>ANU-25-summer-20_20260401_180000.mp4</t>
  </si>
  <si>
    <t>ANU-25-summer-20_20260401_190000.mp4</t>
  </si>
  <si>
    <t>ANU-25-summer-20_20260402_060000.mp4</t>
  </si>
  <si>
    <t>ANU-25-summer-20_20260402_070000.mp4</t>
  </si>
  <si>
    <t>ANU-25-summer-20_20260402_080000.mp4</t>
  </si>
  <si>
    <t>ANU-25-summer-20_20260402_090000.mp4</t>
  </si>
  <si>
    <t>ANU-25-summer-20_20260402_100000.mp4</t>
  </si>
  <si>
    <t>ANU-25-summer-20_20260402_110000.mp4</t>
  </si>
  <si>
    <t>ANU-25-summer-20_20260402_120000.mp4</t>
  </si>
  <si>
    <t>ANU-25-summer-20_20260402_130000.mp4</t>
  </si>
  <si>
    <t>ANU-25-summer-20_20260402_140000.mp4</t>
  </si>
  <si>
    <t>ANU-25-summer-20_20260402_150000.mp4</t>
  </si>
  <si>
    <t>ANU-25-summer-20_20260402_160000.mp4</t>
  </si>
  <si>
    <t>ANU-25-summer-20_20260402_170000.mp4</t>
  </si>
  <si>
    <t>ANU-25-summer-20_20260402_180000.mp4</t>
  </si>
  <si>
    <t>ANU-25-summer-20_20260402_190000.mp4</t>
  </si>
  <si>
    <t>ANU-25-summer-20_20260403_060000.mp4</t>
  </si>
  <si>
    <t>ANU-25-summer-20_20260403_070000.mp4</t>
  </si>
  <si>
    <t>ANU-25-summer-20_20260403_080000.mp4</t>
  </si>
  <si>
    <t>ANU-25-summer-20_20260403_090000.mp4</t>
  </si>
  <si>
    <t>ANU-25-summer-20_20260403_100000.mp4</t>
  </si>
  <si>
    <t>ANU-25-summer-20_20260403_110000.mp4</t>
  </si>
  <si>
    <t>ANU-25-summer-20_20260403_120000.mp4</t>
  </si>
  <si>
    <t>ANU-25-summer-20_20260403_130000.mp4</t>
  </si>
  <si>
    <t>ANU-25-summer-20_20260403_140000.mp4</t>
  </si>
  <si>
    <t>ANU-25-summer-20_20260403_150000.mp4</t>
  </si>
  <si>
    <t>ANU-25-summer-20_20260403_160000.mp4</t>
  </si>
  <si>
    <t>ANU-25-summer-20_20260403_170000.mp4</t>
  </si>
  <si>
    <t>ANU-25-summer-20_20260403_180000.mp4</t>
  </si>
  <si>
    <t>ANU-25-summer-20_20260403_190000.mp4</t>
  </si>
  <si>
    <t>ANU-25-summer-20_20260404_060000.mp4</t>
  </si>
  <si>
    <t>ANU-25-summer-20_20260404_070000.mp4</t>
  </si>
  <si>
    <t>ANU-25-summer-20_20260404_080000.mp4</t>
  </si>
  <si>
    <t>ANU-25-summer-20_20260404_090000.mp4</t>
  </si>
  <si>
    <t>ANU-25-summer-20_20260404_100000.mp4</t>
  </si>
  <si>
    <t>ANU-25-summer-20_20260404_110000.mp4</t>
  </si>
  <si>
    <t>ANU-25-summer-20_20260404_120000.mp4</t>
  </si>
  <si>
    <t>ANU-25-summer-20_20260404_130000.mp4</t>
  </si>
  <si>
    <t>ANU-25-summer-20_20260404_140000.mp4</t>
  </si>
  <si>
    <t>ANU-25-summer-20_20260404_150000.mp4</t>
  </si>
  <si>
    <t>ANU-25-summer-20_20260404_160000.mp4</t>
  </si>
  <si>
    <t>ANU-25-summer-20_20260404_170000.mp4</t>
  </si>
  <si>
    <t>ANU-25-summer-20_20260404_180000.mp4</t>
  </si>
  <si>
    <t>ANU-25-summer-20_20260404_190000.mp4</t>
  </si>
  <si>
    <t>ANU-25-summer-20_20260405_060000.mp4</t>
  </si>
  <si>
    <t>ANU-25-summer-20_20260405_070000.mp4</t>
  </si>
  <si>
    <t>ANU-25-summer-20_20260405_080000.mp4</t>
  </si>
  <si>
    <t>ANU-25-summer-20_20260405_090000.mp4</t>
  </si>
  <si>
    <t>ANU-25-summer-20_20260405_100000.mp4</t>
  </si>
  <si>
    <t>ANU-25-summer-20_20260405_110000.mp4</t>
  </si>
  <si>
    <t>ANU-25-summer-20_20260405_120000.mp4</t>
  </si>
  <si>
    <t>ANU-25-summer-20_20260405_130000.mp4</t>
  </si>
  <si>
    <t>ANU-25-summer-20_20260405_140000.mp4</t>
  </si>
  <si>
    <t>ANU-25-summer-20_20260405_150000.mp4</t>
  </si>
  <si>
    <t>ANU-25-summer-20_20260405_160000.mp4</t>
  </si>
  <si>
    <t>ANU-25-summer-20_20260405_170000.mp4</t>
  </si>
  <si>
    <t>ANU-25-summer-20_20260405_180000.mp4</t>
  </si>
  <si>
    <t>ANU-25-summer-20_20260405_190000.mp4</t>
  </si>
  <si>
    <t>ANU-25-summer-20_20260406_060000.mp4</t>
  </si>
  <si>
    <t>ANU-25-summer-20_20260406_070000.mp4</t>
  </si>
  <si>
    <t>ANU-25-summer-20_20260406_080000.mp4</t>
  </si>
  <si>
    <t>ANU-25-summer-20_20260406_090000.mp4</t>
  </si>
  <si>
    <t>ANU-25-summer-20_20260406_100000.mp4</t>
  </si>
  <si>
    <t>ANU-25-summer-20_20260406_110000.mp4</t>
  </si>
  <si>
    <t>ANU-25-summer-20_20260406_120000.mp4</t>
  </si>
  <si>
    <t>ANU-25-summer-20_20260406_130000.mp4</t>
  </si>
  <si>
    <t>ANU-25-summer-20_20260406_140000.mp4</t>
  </si>
  <si>
    <t>ANU-25-summer-20_20260406_150000.mp4</t>
  </si>
  <si>
    <t>ANU-25-summer-20_20260406_160000.mp4</t>
  </si>
  <si>
    <t>ANU-25-summer-20_20260406_170000.mp4</t>
  </si>
  <si>
    <t>ANU-25-summer-20_20260406_180000.mp4</t>
  </si>
  <si>
    <t>ANU-25-summer-20_20260406_190000.mp4</t>
  </si>
  <si>
    <t>ANU-25-summer-20_20260407_060000.mp4</t>
  </si>
  <si>
    <t>ANU-25-summer-20_20260407_070000.mp4</t>
  </si>
  <si>
    <t>ANU-25-summer-20_20260407_080000.mp4</t>
  </si>
  <si>
    <t>ANU-25-summer-20_20260407_090000.mp4</t>
  </si>
  <si>
    <t>ANU-25-summer-20_20260407_100000.mp4</t>
  </si>
  <si>
    <t>ANU-25-summer-20_20260407_110000.mp4</t>
  </si>
  <si>
    <t>ANU-25-summer-20_20260407_120000.mp4</t>
  </si>
  <si>
    <t>ANU-25-summer-20_20260407_130000.mp4</t>
  </si>
  <si>
    <t>ANU-25-summer-20_20260407_140000.mp4</t>
  </si>
  <si>
    <t>ANU-25-summer-20_20260407_150000.mp4</t>
  </si>
  <si>
    <t>ANU-25-summer-20_20260407_160000.mp4</t>
  </si>
  <si>
    <t>ANU-25-summer-20_20260407_170000.mp4</t>
  </si>
  <si>
    <t>ANU-25-summer-20_20260407_180000.mp4</t>
  </si>
  <si>
    <t>ANU-25-summer-20_20260407_190000.mp4</t>
  </si>
  <si>
    <t>ANU-25-summer-20_20260408_060000.mp4</t>
  </si>
  <si>
    <t>ANU-25-summer-20_20260408_070000.mp4</t>
  </si>
  <si>
    <t>ANU-25-summer-20_20260408_080000.mp4</t>
  </si>
  <si>
    <t>ANU-25-summer-20_20260408_090000.mp4</t>
  </si>
  <si>
    <t>ANU-25-summer-20_20260408_100000.mp4</t>
  </si>
  <si>
    <t>ANU-25-summer-20_20260408_110000.mp4</t>
  </si>
  <si>
    <t>ANU-25-summer-20_20260408_120000.mp4</t>
  </si>
  <si>
    <t>ANU-25-summer-20_20260408_130000.mp4</t>
  </si>
  <si>
    <t>ANU-25-summer-20_20260408_140000.mp4</t>
  </si>
  <si>
    <t>ANU-25-summer-20_20260408_150000.mp4</t>
  </si>
  <si>
    <t>ANU-25-summer-20_20260408_160000.mp4</t>
  </si>
  <si>
    <t>ANU-25-summer-20_20260408_170000.mp4</t>
  </si>
  <si>
    <t>ANU-25-summer-20_20260408_180000.mp4</t>
  </si>
  <si>
    <t>ANU-25-summer-20_20260408_190000.mp4</t>
  </si>
  <si>
    <t>ANU-25-summer-20_20260409_060000.mp4</t>
  </si>
  <si>
    <t>ANU-25-summer-20_20260409_070000.mp4</t>
  </si>
  <si>
    <t>ANU-25-summer-20_20260409_080000.mp4</t>
  </si>
  <si>
    <t>ANU-25-summer-20_20260409_090000.mp4</t>
  </si>
  <si>
    <t>ANU-25-summer-20_20260409_100000.mp4</t>
  </si>
  <si>
    <t>ANU-25-summer-20_20260409_110000.mp4</t>
  </si>
  <si>
    <t>ANU-25-summer-20_20260409_120000.mp4</t>
  </si>
  <si>
    <t>ANU-25-summer-20_20260409_130000.mp4</t>
  </si>
  <si>
    <t>ANU-25-summer-20_20260409_140000.mp4</t>
  </si>
  <si>
    <t>ANU-25-summer-20_20260409_150000.mp4</t>
  </si>
  <si>
    <t>ANU-25-summer-20_20260409_160000.mp4</t>
  </si>
  <si>
    <t>ANU-25-summer-20_20260409_170000.mp4</t>
  </si>
  <si>
    <t>ANU-25-summer-20_20260409_180000.mp4</t>
  </si>
  <si>
    <t>ANU-25-summer-20_20260409_190000.mp4</t>
  </si>
  <si>
    <t>ANU-25-summer-20_20260410_060000.mp4</t>
  </si>
  <si>
    <t>ANU-25-summer-20_20260410_070000.mp4</t>
  </si>
  <si>
    <t>ANU-25-summer-20_20260410_080000.mp4</t>
  </si>
  <si>
    <t>ANU-25-summer-20_20260410_090000.mp4</t>
  </si>
  <si>
    <t>ANU-25-summer-20_20260410_100000.mp4</t>
  </si>
  <si>
    <t>ANU-25-summer-20_20260410_110000.mp4</t>
  </si>
  <si>
    <t>ANU-25-summer-20_20260410_120000.mp4</t>
  </si>
  <si>
    <t>ANU-25-summer-20_20260410_130000.mp4</t>
  </si>
  <si>
    <t>ANU-25-summer-20_20260410_140000.mp4</t>
  </si>
  <si>
    <t>ANU-25-summer-20_20260410_150000.mp4</t>
  </si>
  <si>
    <t>ANU-25-summer-20_20260410_160000.mp4</t>
  </si>
  <si>
    <t>ANU-25-summer-20_20260410_170000.mp4</t>
  </si>
  <si>
    <t>ANU-25-summer-20_20260410_180000.mp4</t>
  </si>
  <si>
    <t>ANU-25-summer-20_20260410_190000.mp4</t>
  </si>
  <si>
    <t>time</t>
    <phoneticPr fontId="2" type="noConversion"/>
  </si>
  <si>
    <t>date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</si>
</sst>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맑은 고딕"/>
      <family val="2"/>
      <scheme val="minor"/>
    </font>
    <font>
      <sz val="11"/>
      <color rgb="FF000000"/>
      <name val="D2Coding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NumberFormat="1"/>
  </cellXfs>
  <cellStyles count="1">
    <cellStyle name="표준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3F58244-2954-46C3-A562-0AC6E159E887}" autoFormatId="16" applyNumberFormats="0" applyBorderFormats="0" applyFontFormats="0" applyPatternFormats="0" applyAlignmentFormats="0" applyWidthHeightFormats="0">
  <queryTableRefresh nextId="37" unboundColumnsRight="2">
    <queryTableFields count="7">
      <queryTableField id="1" name="video" tableColumnId="1"/>
      <queryTableField id="18" name="total_raw_in_flux" tableColumnId="18"/>
      <queryTableField id="19" name="total_raw_out_flux" tableColumnId="19"/>
      <queryTableField id="20" name="total_filtered_in_flux" tableColumnId="20"/>
      <queryTableField id="21" name="total_filtered_out_flux" tableColumnId="21"/>
      <queryTableField id="35" dataBound="0" tableColumnId="35"/>
      <queryTableField id="36" dataBound="0" tableColumnId="36"/>
    </queryTableFields>
    <queryTableDeletedFields count="29">
      <deletedField name="preview_video"/>
      <deletedField name="frame_csv"/>
      <deletedField name="window_csv"/>
      <deletedField name="max_window_filtered_traffic_count_est"/>
      <deletedField name="mean_window_filtered_traffic_count_est"/>
      <deletedField name="total_filtered_in_count_est"/>
      <deletedField name="total_filtered_out_count_est"/>
      <deletedField name="total_filtered_traffic_count_est"/>
      <deletedField name="video_path"/>
      <deletedField name="duration_sec"/>
      <deletedField name="processed_frame_pairs"/>
      <deletedField name="preprocessing_time_sec"/>
      <deletedField name="optical_flow_time_sec"/>
      <deletedField name="preprocessing_time_per_pair_sec"/>
      <deletedField name="optical_flow_time_per_pair_sec"/>
      <deletedField name="blur_kernel"/>
      <deletedField name="use_persistence_filter"/>
      <deletedField name="persist_decay"/>
      <deletedField name="persist_threshold"/>
      <deletedField name="use_component_area_filter"/>
      <deletedField name="min_flow_component_area"/>
      <deletedField name="use_global_flow_compensation"/>
      <deletedField name="use_bidirectional_balance_filter"/>
      <deletedField name="balance_ratio_threshold"/>
      <deletedField name="total_raw_traffic_flux"/>
      <deletedField name="total_filtered_traffic_flux"/>
      <deletedField name="mean_raw_traffic_flux_per_sec"/>
      <deletedField name="mean_filtered_traffic_flux_per_sec"/>
      <deletedField name="raw_to_filtered_reduction_ratio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EF94E8-02FA-4D0B-B84C-01FC967480E0}" name="batch_summary" displayName="batch_summary" ref="A1:G461" tableType="queryTable" totalsRowShown="0">
  <autoFilter ref="A1:G461" xr:uid="{D3EF94E8-02FA-4D0B-B84C-01FC967480E0}"/>
  <tableColumns count="7">
    <tableColumn id="1" xr3:uid="{DAB2B9FF-7825-4C0D-9D8C-2AACCF79D960}" uniqueName="1" name="video" queryTableFieldId="1" dataDxfId="2"/>
    <tableColumn id="18" xr3:uid="{C702394F-581B-4F69-9131-F64F3EC942C3}" uniqueName="18" name="total_raw_in_flux" queryTableFieldId="18"/>
    <tableColumn id="19" xr3:uid="{328FE219-8BB6-41E5-966E-4A7F9EECF3FD}" uniqueName="19" name="total_raw_out_flux" queryTableFieldId="19"/>
    <tableColumn id="20" xr3:uid="{117DA604-2DDD-4688-8318-85A1AE0F9166}" uniqueName="20" name="total_filtered_in_flux" queryTableFieldId="20"/>
    <tableColumn id="21" xr3:uid="{AC2A8414-955D-4023-86F5-1D60C3B2B4DC}" uniqueName="21" name="total_filtered_out_flux" queryTableFieldId="21"/>
    <tableColumn id="35" xr3:uid="{6C69A231-A241-4043-892D-E909962CE23C}" uniqueName="35" name="time" queryTableFieldId="35" dataDxfId="1">
      <calculatedColumnFormula>_xlfn.TEXTBEFORE(_xlfn.TEXTAFTER($A2,"_",2),".",1)</calculatedColumnFormula>
    </tableColumn>
    <tableColumn id="36" xr3:uid="{B230A2ED-B1C8-4A80-A97B-36C43B7C0F7D}" uniqueName="36" name="date" queryTableFieldId="36" dataDxfId="0">
      <calculatedColumnFormula>_xlfn.TEXTBEFORE(_xlfn.TEXTAFTER($A2,"_",1),"_",1)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2E7F6-A932-495B-8695-7DF687415EFA}">
  <dimension ref="A1:G461"/>
  <sheetViews>
    <sheetView tabSelected="1" zoomScale="55" zoomScaleNormal="55" workbookViewId="0">
      <selection activeCell="J19" sqref="J19"/>
    </sheetView>
  </sheetViews>
  <sheetFormatPr defaultRowHeight="17.25" x14ac:dyDescent="0.3"/>
  <cols>
    <col min="1" max="1" width="40.5546875" bestFit="1" customWidth="1"/>
    <col min="2" max="2" width="18" bestFit="1" customWidth="1"/>
    <col min="3" max="3" width="19.44140625" bestFit="1" customWidth="1"/>
    <col min="4" max="4" width="21.109375" bestFit="1" customWidth="1"/>
    <col min="5" max="5" width="22.6640625" bestFit="1" customWidth="1"/>
    <col min="7" max="7" width="10.44140625" bestFit="1" customWidth="1"/>
  </cols>
  <sheetData>
    <row r="1" spans="1:7" x14ac:dyDescent="0.3">
      <c r="A1" t="s">
        <v>4</v>
      </c>
      <c r="B1" t="s">
        <v>0</v>
      </c>
      <c r="C1" t="s">
        <v>1</v>
      </c>
      <c r="D1" t="s">
        <v>2</v>
      </c>
      <c r="E1" t="s">
        <v>3</v>
      </c>
      <c r="F1" t="s">
        <v>465</v>
      </c>
      <c r="G1" t="s">
        <v>466</v>
      </c>
    </row>
    <row r="2" spans="1:7" x14ac:dyDescent="0.3">
      <c r="A2" s="3" t="s">
        <v>5</v>
      </c>
      <c r="B2">
        <v>0</v>
      </c>
      <c r="C2">
        <v>0</v>
      </c>
      <c r="D2">
        <v>0</v>
      </c>
      <c r="E2">
        <v>0</v>
      </c>
      <c r="F2" t="str">
        <f t="shared" ref="F2:F65" si="0">_xlfn.TEXTBEFORE(_xlfn.TEXTAFTER($A2,"_",2),".",1)</f>
        <v>060000</v>
      </c>
      <c r="G2" t="str">
        <f t="shared" ref="G2:G65" si="1">_xlfn.TEXTBEFORE(_xlfn.TEXTAFTER($A2,"_",1),"_",1)</f>
        <v>20260309</v>
      </c>
    </row>
    <row r="3" spans="1:7" x14ac:dyDescent="0.3">
      <c r="A3" s="3" t="s">
        <v>6</v>
      </c>
      <c r="B3">
        <v>24805.445729851723</v>
      </c>
      <c r="C3">
        <v>23580.303003191948</v>
      </c>
      <c r="D3">
        <v>0</v>
      </c>
      <c r="E3">
        <v>653.03741455078125</v>
      </c>
      <c r="F3" t="str">
        <f t="shared" si="0"/>
        <v>070000</v>
      </c>
      <c r="G3" t="str">
        <f t="shared" si="1"/>
        <v>20260309</v>
      </c>
    </row>
    <row r="4" spans="1:7" x14ac:dyDescent="0.3">
      <c r="A4" s="3" t="s">
        <v>7</v>
      </c>
      <c r="B4">
        <v>12098.050971031189</v>
      </c>
      <c r="C4">
        <v>11789.806976079941</v>
      </c>
      <c r="D4">
        <v>0</v>
      </c>
      <c r="E4">
        <v>0</v>
      </c>
      <c r="F4" t="str">
        <f t="shared" si="0"/>
        <v>080000</v>
      </c>
      <c r="G4" t="str">
        <f t="shared" si="1"/>
        <v>20260309</v>
      </c>
    </row>
    <row r="5" spans="1:7" x14ac:dyDescent="0.3">
      <c r="A5" s="3" t="s">
        <v>8</v>
      </c>
      <c r="B5">
        <v>23315.131974697113</v>
      </c>
      <c r="C5">
        <v>16497.030608594418</v>
      </c>
      <c r="D5">
        <v>0</v>
      </c>
      <c r="E5">
        <v>0</v>
      </c>
      <c r="F5" t="str">
        <f t="shared" si="0"/>
        <v>090000</v>
      </c>
      <c r="G5" t="str">
        <f t="shared" si="1"/>
        <v>20260309</v>
      </c>
    </row>
    <row r="6" spans="1:7" x14ac:dyDescent="0.3">
      <c r="A6" s="3" t="s">
        <v>9</v>
      </c>
      <c r="B6">
        <v>26525.686078727245</v>
      </c>
      <c r="C6">
        <v>23824.339626789093</v>
      </c>
      <c r="D6">
        <v>0</v>
      </c>
      <c r="E6">
        <v>0</v>
      </c>
      <c r="F6" t="str">
        <f t="shared" si="0"/>
        <v>100000</v>
      </c>
      <c r="G6" t="str">
        <f t="shared" si="1"/>
        <v>20260309</v>
      </c>
    </row>
    <row r="7" spans="1:7" x14ac:dyDescent="0.3">
      <c r="A7" s="3" t="s">
        <v>10</v>
      </c>
      <c r="B7">
        <v>113639.2827988863</v>
      </c>
      <c r="C7">
        <v>92213.685069024563</v>
      </c>
      <c r="D7">
        <v>77148.0691010952</v>
      </c>
      <c r="E7">
        <v>57413.838357925415</v>
      </c>
      <c r="F7" t="str">
        <f t="shared" si="0"/>
        <v>110000</v>
      </c>
      <c r="G7" t="str">
        <f t="shared" si="1"/>
        <v>20260309</v>
      </c>
    </row>
    <row r="8" spans="1:7" x14ac:dyDescent="0.3">
      <c r="A8" s="3" t="s">
        <v>11</v>
      </c>
      <c r="B8">
        <v>2238005.6015663743</v>
      </c>
      <c r="C8">
        <v>2190601.5106469393</v>
      </c>
      <c r="D8">
        <v>1846683.3863700628</v>
      </c>
      <c r="E8">
        <v>1796248.0591835976</v>
      </c>
      <c r="F8" t="str">
        <f t="shared" si="0"/>
        <v>120000</v>
      </c>
      <c r="G8" t="str">
        <f t="shared" si="1"/>
        <v>20260309</v>
      </c>
    </row>
    <row r="9" spans="1:7" x14ac:dyDescent="0.3">
      <c r="A9" s="3" t="s">
        <v>12</v>
      </c>
      <c r="B9">
        <v>1386005.7892594934</v>
      </c>
      <c r="C9">
        <v>1291589.1904513836</v>
      </c>
      <c r="D9">
        <v>1226255.9707520008</v>
      </c>
      <c r="E9">
        <v>1088494.5157449245</v>
      </c>
      <c r="F9" t="str">
        <f t="shared" si="0"/>
        <v>130000</v>
      </c>
      <c r="G9" t="str">
        <f t="shared" si="1"/>
        <v>20260309</v>
      </c>
    </row>
    <row r="10" spans="1:7" x14ac:dyDescent="0.3">
      <c r="A10" s="3" t="s">
        <v>13</v>
      </c>
      <c r="B10">
        <v>18394091.677616715</v>
      </c>
      <c r="C10">
        <v>26189432.444676638</v>
      </c>
      <c r="D10">
        <v>17253644.716198206</v>
      </c>
      <c r="E10">
        <v>24854055.573209286</v>
      </c>
      <c r="F10" t="str">
        <f t="shared" si="0"/>
        <v>140000</v>
      </c>
      <c r="G10" t="str">
        <f t="shared" si="1"/>
        <v>20260309</v>
      </c>
    </row>
    <row r="11" spans="1:7" x14ac:dyDescent="0.3">
      <c r="A11" s="3" t="s">
        <v>14</v>
      </c>
      <c r="B11">
        <v>3875801.7780742645</v>
      </c>
      <c r="C11">
        <v>4086176.3614405394</v>
      </c>
      <c r="D11">
        <v>3438869.3007063866</v>
      </c>
      <c r="E11">
        <v>3556576.1901942492</v>
      </c>
      <c r="F11" t="str">
        <f t="shared" si="0"/>
        <v>150000</v>
      </c>
      <c r="G11" t="str">
        <f t="shared" si="1"/>
        <v>20260309</v>
      </c>
    </row>
    <row r="12" spans="1:7" x14ac:dyDescent="0.3">
      <c r="A12" s="3" t="s">
        <v>15</v>
      </c>
      <c r="B12">
        <v>12289443.441933632</v>
      </c>
      <c r="C12">
        <v>12186988.883207619</v>
      </c>
      <c r="D12">
        <v>11276384.87306428</v>
      </c>
      <c r="E12">
        <v>11149128.67882514</v>
      </c>
      <c r="F12" t="str">
        <f t="shared" si="0"/>
        <v>160000</v>
      </c>
      <c r="G12" t="str">
        <f t="shared" si="1"/>
        <v>20260309</v>
      </c>
    </row>
    <row r="13" spans="1:7" x14ac:dyDescent="0.3">
      <c r="A13" s="3" t="s">
        <v>16</v>
      </c>
      <c r="B13">
        <v>249633.68624347448</v>
      </c>
      <c r="C13">
        <v>194086.79542899132</v>
      </c>
      <c r="D13">
        <v>183095.82399368286</v>
      </c>
      <c r="E13">
        <v>144254.21170783043</v>
      </c>
      <c r="F13" t="str">
        <f t="shared" si="0"/>
        <v>170000</v>
      </c>
      <c r="G13" t="str">
        <f t="shared" si="1"/>
        <v>20260309</v>
      </c>
    </row>
    <row r="14" spans="1:7" x14ac:dyDescent="0.3">
      <c r="A14" s="3" t="s">
        <v>17</v>
      </c>
      <c r="B14">
        <v>36874.781161427498</v>
      </c>
      <c r="C14">
        <v>31125.038272738457</v>
      </c>
      <c r="D14">
        <v>1826.12890625</v>
      </c>
      <c r="E14">
        <v>898.67529296875</v>
      </c>
      <c r="F14" t="str">
        <f t="shared" si="0"/>
        <v>180000</v>
      </c>
      <c r="G14" t="str">
        <f t="shared" si="1"/>
        <v>20260309</v>
      </c>
    </row>
    <row r="15" spans="1:7" x14ac:dyDescent="0.3">
      <c r="A15" s="3" t="s">
        <v>18</v>
      </c>
      <c r="B15">
        <v>0</v>
      </c>
      <c r="C15">
        <v>0</v>
      </c>
      <c r="D15">
        <v>0</v>
      </c>
      <c r="E15">
        <v>0</v>
      </c>
      <c r="F15" t="str">
        <f t="shared" si="0"/>
        <v>190000</v>
      </c>
      <c r="G15" t="str">
        <f t="shared" si="1"/>
        <v>20260309</v>
      </c>
    </row>
    <row r="16" spans="1:7" x14ac:dyDescent="0.3">
      <c r="A16" s="3" t="s">
        <v>19</v>
      </c>
      <c r="B16">
        <v>0</v>
      </c>
      <c r="C16">
        <v>0</v>
      </c>
      <c r="D16">
        <v>0</v>
      </c>
      <c r="E16">
        <v>0</v>
      </c>
      <c r="F16" t="str">
        <f t="shared" si="0"/>
        <v>060000</v>
      </c>
      <c r="G16" t="str">
        <f t="shared" si="1"/>
        <v>20260310</v>
      </c>
    </row>
    <row r="17" spans="1:7" x14ac:dyDescent="0.3">
      <c r="A17" s="3" t="s">
        <v>20</v>
      </c>
      <c r="B17">
        <v>17483.814832448959</v>
      </c>
      <c r="C17">
        <v>18019.536707341671</v>
      </c>
      <c r="D17">
        <v>0</v>
      </c>
      <c r="E17">
        <v>0</v>
      </c>
      <c r="F17" t="str">
        <f t="shared" si="0"/>
        <v>070000</v>
      </c>
      <c r="G17" t="str">
        <f t="shared" si="1"/>
        <v>20260310</v>
      </c>
    </row>
    <row r="18" spans="1:7" x14ac:dyDescent="0.3">
      <c r="A18" s="3" t="s">
        <v>21</v>
      </c>
      <c r="B18">
        <v>21571.793378472328</v>
      </c>
      <c r="C18">
        <v>16178.584658026695</v>
      </c>
      <c r="D18">
        <v>0</v>
      </c>
      <c r="E18">
        <v>375.9088134765625</v>
      </c>
      <c r="F18" t="str">
        <f t="shared" si="0"/>
        <v>080000</v>
      </c>
      <c r="G18" t="str">
        <f t="shared" si="1"/>
        <v>20260310</v>
      </c>
    </row>
    <row r="19" spans="1:7" x14ac:dyDescent="0.3">
      <c r="A19" s="3" t="s">
        <v>22</v>
      </c>
      <c r="B19">
        <v>55634.137969136238</v>
      </c>
      <c r="C19">
        <v>61790.96310210228</v>
      </c>
      <c r="D19">
        <v>24303.275741577148</v>
      </c>
      <c r="E19">
        <v>34511.403137207031</v>
      </c>
      <c r="F19" t="str">
        <f t="shared" si="0"/>
        <v>090000</v>
      </c>
      <c r="G19" t="str">
        <f t="shared" si="1"/>
        <v>20260310</v>
      </c>
    </row>
    <row r="20" spans="1:7" x14ac:dyDescent="0.3">
      <c r="A20" s="3" t="s">
        <v>23</v>
      </c>
      <c r="B20">
        <v>37066.664385914803</v>
      </c>
      <c r="C20">
        <v>35947.969261288643</v>
      </c>
      <c r="D20">
        <v>5125.9956359863281</v>
      </c>
      <c r="E20">
        <v>1446.5431823730469</v>
      </c>
      <c r="F20" t="str">
        <f t="shared" si="0"/>
        <v>100000</v>
      </c>
      <c r="G20" t="str">
        <f t="shared" si="1"/>
        <v>20260310</v>
      </c>
    </row>
    <row r="21" spans="1:7" x14ac:dyDescent="0.3">
      <c r="A21" s="3" t="s">
        <v>24</v>
      </c>
      <c r="B21">
        <v>188799.85386931896</v>
      </c>
      <c r="C21">
        <v>387973.54918980598</v>
      </c>
      <c r="D21">
        <v>139249.01967668533</v>
      </c>
      <c r="E21">
        <v>321748.96688842773</v>
      </c>
      <c r="F21" t="str">
        <f t="shared" si="0"/>
        <v>110000</v>
      </c>
      <c r="G21" t="str">
        <f t="shared" si="1"/>
        <v>20260310</v>
      </c>
    </row>
    <row r="22" spans="1:7" x14ac:dyDescent="0.3">
      <c r="A22" s="3" t="s">
        <v>25</v>
      </c>
      <c r="B22">
        <v>12687555.065363467</v>
      </c>
      <c r="C22">
        <v>16538252.342171907</v>
      </c>
      <c r="D22">
        <v>11696898.27611208</v>
      </c>
      <c r="E22">
        <v>15258344.404387951</v>
      </c>
      <c r="F22" t="str">
        <f t="shared" si="0"/>
        <v>120000</v>
      </c>
      <c r="G22" t="str">
        <f t="shared" si="1"/>
        <v>20260310</v>
      </c>
    </row>
    <row r="23" spans="1:7" x14ac:dyDescent="0.3">
      <c r="A23" s="3" t="s">
        <v>26</v>
      </c>
      <c r="B23">
        <v>16571959.156757951</v>
      </c>
      <c r="C23">
        <v>14766105.043807983</v>
      </c>
      <c r="D23">
        <v>14756194.959057808</v>
      </c>
      <c r="E23">
        <v>12912965.811117411</v>
      </c>
      <c r="F23" t="str">
        <f t="shared" si="0"/>
        <v>130000</v>
      </c>
      <c r="G23" t="str">
        <f t="shared" si="1"/>
        <v>20260310</v>
      </c>
    </row>
    <row r="24" spans="1:7" x14ac:dyDescent="0.3">
      <c r="A24" s="3" t="s">
        <v>27</v>
      </c>
      <c r="B24">
        <v>16144863.351161957</v>
      </c>
      <c r="C24">
        <v>23261857.958233356</v>
      </c>
      <c r="D24">
        <v>15011613.783888102</v>
      </c>
      <c r="E24">
        <v>22031264.97639823</v>
      </c>
      <c r="F24" t="str">
        <f t="shared" si="0"/>
        <v>140000</v>
      </c>
      <c r="G24" t="str">
        <f t="shared" si="1"/>
        <v>20260310</v>
      </c>
    </row>
    <row r="25" spans="1:7" x14ac:dyDescent="0.3">
      <c r="A25" s="3" t="s">
        <v>28</v>
      </c>
      <c r="B25">
        <v>22169867.923904419</v>
      </c>
      <c r="C25">
        <v>26193946.616954803</v>
      </c>
      <c r="D25">
        <v>20834356.483322144</v>
      </c>
      <c r="E25">
        <v>24856503.843166351</v>
      </c>
      <c r="F25" t="str">
        <f t="shared" si="0"/>
        <v>150000</v>
      </c>
      <c r="G25" t="str">
        <f t="shared" si="1"/>
        <v>20260310</v>
      </c>
    </row>
    <row r="26" spans="1:7" x14ac:dyDescent="0.3">
      <c r="A26" s="3" t="s">
        <v>29</v>
      </c>
      <c r="B26">
        <v>6852459.6469230652</v>
      </c>
      <c r="C26">
        <v>5709885.5266131163</v>
      </c>
      <c r="D26">
        <v>6165873.0403131247</v>
      </c>
      <c r="E26">
        <v>5059951.3715363741</v>
      </c>
      <c r="F26" t="str">
        <f t="shared" si="0"/>
        <v>160000</v>
      </c>
      <c r="G26" t="str">
        <f t="shared" si="1"/>
        <v>20260310</v>
      </c>
    </row>
    <row r="27" spans="1:7" x14ac:dyDescent="0.3">
      <c r="A27" s="3" t="s">
        <v>30</v>
      </c>
      <c r="B27">
        <v>1258049.1418196559</v>
      </c>
      <c r="C27">
        <v>1263126.6412318349</v>
      </c>
      <c r="D27">
        <v>1095592.3479184508</v>
      </c>
      <c r="E27">
        <v>1064944.581786871</v>
      </c>
      <c r="F27" t="str">
        <f t="shared" si="0"/>
        <v>170000</v>
      </c>
      <c r="G27" t="str">
        <f t="shared" si="1"/>
        <v>20260310</v>
      </c>
    </row>
    <row r="28" spans="1:7" x14ac:dyDescent="0.3">
      <c r="A28" s="3" t="s">
        <v>31</v>
      </c>
      <c r="B28">
        <v>109050.18059676886</v>
      </c>
      <c r="C28">
        <v>136746.82118463516</v>
      </c>
      <c r="D28">
        <v>63105.391967773438</v>
      </c>
      <c r="E28">
        <v>94593.698699951172</v>
      </c>
      <c r="F28" t="str">
        <f t="shared" si="0"/>
        <v>180000</v>
      </c>
      <c r="G28" t="str">
        <f t="shared" si="1"/>
        <v>20260310</v>
      </c>
    </row>
    <row r="29" spans="1:7" x14ac:dyDescent="0.3">
      <c r="A29" s="3" t="s">
        <v>32</v>
      </c>
      <c r="B29">
        <v>0</v>
      </c>
      <c r="C29">
        <v>0</v>
      </c>
      <c r="D29">
        <v>0</v>
      </c>
      <c r="E29">
        <v>0</v>
      </c>
      <c r="F29" t="str">
        <f t="shared" si="0"/>
        <v>190000</v>
      </c>
      <c r="G29" t="str">
        <f t="shared" si="1"/>
        <v>20260310</v>
      </c>
    </row>
    <row r="30" spans="1:7" x14ac:dyDescent="0.3">
      <c r="A30" s="3" t="s">
        <v>33</v>
      </c>
      <c r="B30">
        <v>0</v>
      </c>
      <c r="C30">
        <v>0</v>
      </c>
      <c r="D30">
        <v>0</v>
      </c>
      <c r="E30">
        <v>0</v>
      </c>
      <c r="F30" t="str">
        <f t="shared" si="0"/>
        <v>060000</v>
      </c>
      <c r="G30" t="str">
        <f t="shared" si="1"/>
        <v>20260311</v>
      </c>
    </row>
    <row r="31" spans="1:7" x14ac:dyDescent="0.3">
      <c r="A31" s="3" t="s">
        <v>34</v>
      </c>
      <c r="B31">
        <v>15521.79085791111</v>
      </c>
      <c r="C31">
        <v>19858.241949319839</v>
      </c>
      <c r="D31">
        <v>0</v>
      </c>
      <c r="E31">
        <v>0</v>
      </c>
      <c r="F31" t="str">
        <f t="shared" si="0"/>
        <v>070000</v>
      </c>
      <c r="G31" t="str">
        <f t="shared" si="1"/>
        <v>20260311</v>
      </c>
    </row>
    <row r="32" spans="1:7" x14ac:dyDescent="0.3">
      <c r="A32" s="3" t="s">
        <v>35</v>
      </c>
      <c r="B32">
        <v>16744.590581774712</v>
      </c>
      <c r="C32">
        <v>18215.33254057169</v>
      </c>
      <c r="D32">
        <v>0</v>
      </c>
      <c r="E32">
        <v>434.16287231445313</v>
      </c>
      <c r="F32" t="str">
        <f t="shared" si="0"/>
        <v>080000</v>
      </c>
      <c r="G32" t="str">
        <f t="shared" si="1"/>
        <v>20260311</v>
      </c>
    </row>
    <row r="33" spans="1:7" x14ac:dyDescent="0.3">
      <c r="A33" s="3" t="s">
        <v>36</v>
      </c>
      <c r="B33">
        <v>133403.55634474754</v>
      </c>
      <c r="C33">
        <v>96874.477764248848</v>
      </c>
      <c r="D33">
        <v>98619.410827636719</v>
      </c>
      <c r="E33">
        <v>63532.926666259766</v>
      </c>
      <c r="F33" t="str">
        <f t="shared" si="0"/>
        <v>090000</v>
      </c>
      <c r="G33" t="str">
        <f t="shared" si="1"/>
        <v>20260311</v>
      </c>
    </row>
    <row r="34" spans="1:7" x14ac:dyDescent="0.3">
      <c r="A34" s="3" t="s">
        <v>37</v>
      </c>
      <c r="B34">
        <v>694935.82799476385</v>
      </c>
      <c r="C34">
        <v>846999.65805339813</v>
      </c>
      <c r="D34">
        <v>509953.69052785635</v>
      </c>
      <c r="E34">
        <v>669444.89037466049</v>
      </c>
      <c r="F34" t="str">
        <f t="shared" si="0"/>
        <v>100000</v>
      </c>
      <c r="G34" t="str">
        <f t="shared" si="1"/>
        <v>20260311</v>
      </c>
    </row>
    <row r="35" spans="1:7" x14ac:dyDescent="0.3">
      <c r="A35" s="3" t="s">
        <v>38</v>
      </c>
      <c r="B35">
        <v>373989.02263617516</v>
      </c>
      <c r="C35">
        <v>280033.97981274128</v>
      </c>
      <c r="D35">
        <v>311468.56627655029</v>
      </c>
      <c r="E35">
        <v>209146.35030889511</v>
      </c>
      <c r="F35" t="str">
        <f t="shared" si="0"/>
        <v>110000</v>
      </c>
      <c r="G35" t="str">
        <f t="shared" si="1"/>
        <v>20260311</v>
      </c>
    </row>
    <row r="36" spans="1:7" x14ac:dyDescent="0.3">
      <c r="A36" s="3" t="s">
        <v>39</v>
      </c>
      <c r="B36">
        <v>21483417.06562376</v>
      </c>
      <c r="C36">
        <v>23359730.678487778</v>
      </c>
      <c r="D36">
        <v>19982917.095532179</v>
      </c>
      <c r="E36">
        <v>21840045.298530579</v>
      </c>
      <c r="F36" t="str">
        <f t="shared" si="0"/>
        <v>120000</v>
      </c>
      <c r="G36" t="str">
        <f t="shared" si="1"/>
        <v>20260311</v>
      </c>
    </row>
    <row r="37" spans="1:7" x14ac:dyDescent="0.3">
      <c r="A37" s="3" t="s">
        <v>40</v>
      </c>
      <c r="B37">
        <v>21743542.902350426</v>
      </c>
      <c r="C37">
        <v>22066542.626754761</v>
      </c>
      <c r="D37">
        <v>20313530.778186798</v>
      </c>
      <c r="E37">
        <v>20574039.192743301</v>
      </c>
      <c r="F37" t="str">
        <f t="shared" si="0"/>
        <v>130000</v>
      </c>
      <c r="G37" t="str">
        <f t="shared" si="1"/>
        <v>20260311</v>
      </c>
    </row>
    <row r="38" spans="1:7" x14ac:dyDescent="0.3">
      <c r="A38" s="3" t="s">
        <v>41</v>
      </c>
      <c r="B38">
        <v>30047164.75982666</v>
      </c>
      <c r="C38">
        <v>30122857.43347168</v>
      </c>
      <c r="D38">
        <v>29034860.077011108</v>
      </c>
      <c r="E38">
        <v>29096066.376815796</v>
      </c>
      <c r="F38" t="str">
        <f t="shared" si="0"/>
        <v>140000</v>
      </c>
      <c r="G38" t="str">
        <f t="shared" si="1"/>
        <v>20260311</v>
      </c>
    </row>
    <row r="39" spans="1:7" x14ac:dyDescent="0.3">
      <c r="A39" s="3" t="s">
        <v>42</v>
      </c>
      <c r="B39">
        <v>18592036.84733963</v>
      </c>
      <c r="C39">
        <v>17089779.560621738</v>
      </c>
      <c r="D39">
        <v>17403634.742860794</v>
      </c>
      <c r="E39">
        <v>15927695.636529148</v>
      </c>
      <c r="F39" t="str">
        <f t="shared" si="0"/>
        <v>150000</v>
      </c>
      <c r="G39" t="str">
        <f t="shared" si="1"/>
        <v>20260311</v>
      </c>
    </row>
    <row r="40" spans="1:7" x14ac:dyDescent="0.3">
      <c r="A40" s="3" t="s">
        <v>43</v>
      </c>
      <c r="B40">
        <v>10938302.772187412</v>
      </c>
      <c r="C40">
        <v>5662068.945717752</v>
      </c>
      <c r="D40">
        <v>10068280.7776196</v>
      </c>
      <c r="E40">
        <v>4970402.0202424526</v>
      </c>
      <c r="F40" t="str">
        <f t="shared" si="0"/>
        <v>160000</v>
      </c>
      <c r="G40" t="str">
        <f t="shared" si="1"/>
        <v>20260311</v>
      </c>
    </row>
    <row r="41" spans="1:7" x14ac:dyDescent="0.3">
      <c r="A41" s="3" t="s">
        <v>44</v>
      </c>
      <c r="B41">
        <v>4998961.4017829895</v>
      </c>
      <c r="C41">
        <v>3464544.8295950294</v>
      </c>
      <c r="D41">
        <v>4535994.0313160419</v>
      </c>
      <c r="E41">
        <v>3083193.4688996077</v>
      </c>
      <c r="F41" t="str">
        <f t="shared" si="0"/>
        <v>170000</v>
      </c>
      <c r="G41" t="str">
        <f t="shared" si="1"/>
        <v>20260311</v>
      </c>
    </row>
    <row r="42" spans="1:7" x14ac:dyDescent="0.3">
      <c r="A42" s="3" t="s">
        <v>45</v>
      </c>
      <c r="B42">
        <v>626161.41830652952</v>
      </c>
      <c r="C42">
        <v>601498.83411371708</v>
      </c>
      <c r="D42">
        <v>549156.43677830696</v>
      </c>
      <c r="E42">
        <v>506887.81992340088</v>
      </c>
      <c r="F42" t="str">
        <f t="shared" si="0"/>
        <v>180000</v>
      </c>
      <c r="G42" t="str">
        <f t="shared" si="1"/>
        <v>20260311</v>
      </c>
    </row>
    <row r="43" spans="1:7" x14ac:dyDescent="0.3">
      <c r="A43" s="3" t="s">
        <v>46</v>
      </c>
      <c r="B43">
        <v>0</v>
      </c>
      <c r="C43">
        <v>0</v>
      </c>
      <c r="D43">
        <v>0</v>
      </c>
      <c r="E43">
        <v>0</v>
      </c>
      <c r="F43" t="str">
        <f t="shared" si="0"/>
        <v>190000</v>
      </c>
      <c r="G43" t="str">
        <f t="shared" si="1"/>
        <v>20260311</v>
      </c>
    </row>
    <row r="44" spans="1:7" x14ac:dyDescent="0.3">
      <c r="A44" s="3" t="s">
        <v>47</v>
      </c>
      <c r="B44">
        <v>0</v>
      </c>
      <c r="C44">
        <v>0</v>
      </c>
      <c r="D44">
        <v>0</v>
      </c>
      <c r="E44">
        <v>0</v>
      </c>
      <c r="F44" t="str">
        <f t="shared" si="0"/>
        <v>060000</v>
      </c>
      <c r="G44" t="str">
        <f t="shared" si="1"/>
        <v>20260312</v>
      </c>
    </row>
    <row r="45" spans="1:7" x14ac:dyDescent="0.3">
      <c r="A45" s="3" t="s">
        <v>48</v>
      </c>
      <c r="B45">
        <v>18230.533167719841</v>
      </c>
      <c r="C45">
        <v>16819.208027482033</v>
      </c>
      <c r="D45">
        <v>0</v>
      </c>
      <c r="E45">
        <v>0</v>
      </c>
      <c r="F45" t="str">
        <f t="shared" si="0"/>
        <v>070000</v>
      </c>
      <c r="G45" t="str">
        <f t="shared" si="1"/>
        <v>20260312</v>
      </c>
    </row>
    <row r="46" spans="1:7" x14ac:dyDescent="0.3">
      <c r="A46" s="3" t="s">
        <v>49</v>
      </c>
      <c r="B46">
        <v>335917.65894603729</v>
      </c>
      <c r="C46">
        <v>269308.89211499691</v>
      </c>
      <c r="D46">
        <v>237236.74044036865</v>
      </c>
      <c r="E46">
        <v>178118.19815325737</v>
      </c>
      <c r="F46" t="str">
        <f t="shared" si="0"/>
        <v>080000</v>
      </c>
      <c r="G46" t="str">
        <f t="shared" si="1"/>
        <v>20260312</v>
      </c>
    </row>
    <row r="47" spans="1:7" x14ac:dyDescent="0.3">
      <c r="A47" s="3" t="s">
        <v>50</v>
      </c>
      <c r="B47">
        <v>89870.950867414474</v>
      </c>
      <c r="C47">
        <v>102630.71161144972</v>
      </c>
      <c r="D47">
        <v>49239.873992919922</v>
      </c>
      <c r="E47">
        <v>55252.2060546875</v>
      </c>
      <c r="F47" t="str">
        <f t="shared" si="0"/>
        <v>090000</v>
      </c>
      <c r="G47" t="str">
        <f t="shared" si="1"/>
        <v>20260312</v>
      </c>
    </row>
    <row r="48" spans="1:7" x14ac:dyDescent="0.3">
      <c r="A48" s="3" t="s">
        <v>51</v>
      </c>
      <c r="B48">
        <v>723763.83999198675</v>
      </c>
      <c r="C48">
        <v>769650.35962486267</v>
      </c>
      <c r="D48">
        <v>589016.05381196737</v>
      </c>
      <c r="E48">
        <v>605809.94394755363</v>
      </c>
      <c r="F48" t="str">
        <f t="shared" si="0"/>
        <v>100000</v>
      </c>
      <c r="G48" t="str">
        <f t="shared" si="1"/>
        <v>20260312</v>
      </c>
    </row>
    <row r="49" spans="1:7" x14ac:dyDescent="0.3">
      <c r="A49" s="3" t="s">
        <v>52</v>
      </c>
      <c r="B49">
        <v>16469473.558650255</v>
      </c>
      <c r="C49">
        <v>22488001.22964704</v>
      </c>
      <c r="D49">
        <v>15334600.128327966</v>
      </c>
      <c r="E49">
        <v>21058857.189665794</v>
      </c>
      <c r="F49" t="str">
        <f t="shared" si="0"/>
        <v>110000</v>
      </c>
      <c r="G49" t="str">
        <f t="shared" si="1"/>
        <v>20260312</v>
      </c>
    </row>
    <row r="50" spans="1:7" x14ac:dyDescent="0.3">
      <c r="A50" s="3" t="s">
        <v>53</v>
      </c>
      <c r="B50">
        <v>7207119.7063499093</v>
      </c>
      <c r="C50">
        <v>8859935.121260047</v>
      </c>
      <c r="D50">
        <v>6498316.0194120407</v>
      </c>
      <c r="E50">
        <v>8063487.4567864537</v>
      </c>
      <c r="F50" t="str">
        <f t="shared" si="0"/>
        <v>120000</v>
      </c>
      <c r="G50" t="str">
        <f t="shared" si="1"/>
        <v>20260312</v>
      </c>
    </row>
    <row r="51" spans="1:7" x14ac:dyDescent="0.3">
      <c r="A51" s="3" t="s">
        <v>54</v>
      </c>
      <c r="B51">
        <v>4969012.4339470863</v>
      </c>
      <c r="C51">
        <v>3810772.3491176367</v>
      </c>
      <c r="D51">
        <v>4520524.9467513561</v>
      </c>
      <c r="E51">
        <v>3354580.3633283377</v>
      </c>
      <c r="F51" t="str">
        <f t="shared" si="0"/>
        <v>130000</v>
      </c>
      <c r="G51" t="str">
        <f t="shared" si="1"/>
        <v>20260312</v>
      </c>
    </row>
    <row r="52" spans="1:7" x14ac:dyDescent="0.3">
      <c r="A52" s="3" t="s">
        <v>55</v>
      </c>
      <c r="B52">
        <v>3394554.6670922637</v>
      </c>
      <c r="C52">
        <v>3401375.302524209</v>
      </c>
      <c r="D52">
        <v>2927181.9094917774</v>
      </c>
      <c r="E52">
        <v>2901260.5326207876</v>
      </c>
      <c r="F52" t="str">
        <f t="shared" si="0"/>
        <v>140000</v>
      </c>
      <c r="G52" t="str">
        <f t="shared" si="1"/>
        <v>20260312</v>
      </c>
    </row>
    <row r="53" spans="1:7" x14ac:dyDescent="0.3">
      <c r="A53" s="3" t="s">
        <v>56</v>
      </c>
      <c r="B53">
        <v>2374898.9768388867</v>
      </c>
      <c r="C53">
        <v>2015778.4584435821</v>
      </c>
      <c r="D53">
        <v>2092092.9173784256</v>
      </c>
      <c r="E53">
        <v>1727031.4929556847</v>
      </c>
      <c r="F53" t="str">
        <f t="shared" si="0"/>
        <v>150000</v>
      </c>
      <c r="G53" t="str">
        <f t="shared" si="1"/>
        <v>20260312</v>
      </c>
    </row>
    <row r="54" spans="1:7" x14ac:dyDescent="0.3">
      <c r="A54" s="3" t="s">
        <v>57</v>
      </c>
      <c r="B54">
        <v>1388156.73331213</v>
      </c>
      <c r="C54">
        <v>1312019.0452567339</v>
      </c>
      <c r="D54">
        <v>1181533.897988081</v>
      </c>
      <c r="E54">
        <v>1094337.2332799435</v>
      </c>
      <c r="F54" t="str">
        <f t="shared" si="0"/>
        <v>160000</v>
      </c>
      <c r="G54" t="str">
        <f t="shared" si="1"/>
        <v>20260312</v>
      </c>
    </row>
    <row r="55" spans="1:7" x14ac:dyDescent="0.3">
      <c r="A55" s="3" t="s">
        <v>58</v>
      </c>
      <c r="B55">
        <v>527899.75930190086</v>
      </c>
      <c r="C55">
        <v>485383.86419689655</v>
      </c>
      <c r="D55">
        <v>399910.98045754433</v>
      </c>
      <c r="E55">
        <v>339270.87903118134</v>
      </c>
      <c r="F55" t="str">
        <f t="shared" si="0"/>
        <v>170000</v>
      </c>
      <c r="G55" t="str">
        <f t="shared" si="1"/>
        <v>20260312</v>
      </c>
    </row>
    <row r="56" spans="1:7" x14ac:dyDescent="0.3">
      <c r="A56" s="3" t="s">
        <v>59</v>
      </c>
      <c r="B56">
        <v>1503234.1090321541</v>
      </c>
      <c r="C56">
        <v>1506394.9182310104</v>
      </c>
      <c r="D56">
        <v>1219219.9592466354</v>
      </c>
      <c r="E56">
        <v>1211166.6458779573</v>
      </c>
      <c r="F56" t="str">
        <f t="shared" si="0"/>
        <v>180000</v>
      </c>
      <c r="G56" t="str">
        <f t="shared" si="1"/>
        <v>20260312</v>
      </c>
    </row>
    <row r="57" spans="1:7" x14ac:dyDescent="0.3">
      <c r="A57" s="3" t="s">
        <v>60</v>
      </c>
      <c r="B57">
        <v>0</v>
      </c>
      <c r="C57">
        <v>0</v>
      </c>
      <c r="D57">
        <v>0</v>
      </c>
      <c r="E57">
        <v>0</v>
      </c>
      <c r="F57" t="str">
        <f t="shared" si="0"/>
        <v>190000</v>
      </c>
      <c r="G57" t="str">
        <f t="shared" si="1"/>
        <v>20260312</v>
      </c>
    </row>
    <row r="58" spans="1:7" x14ac:dyDescent="0.3">
      <c r="A58" s="3" t="s">
        <v>61</v>
      </c>
      <c r="B58">
        <v>0</v>
      </c>
      <c r="C58">
        <v>0</v>
      </c>
      <c r="D58">
        <v>0</v>
      </c>
      <c r="E58">
        <v>0</v>
      </c>
      <c r="F58" t="str">
        <f t="shared" si="0"/>
        <v>060000</v>
      </c>
      <c r="G58" t="str">
        <f t="shared" si="1"/>
        <v>20260313</v>
      </c>
    </row>
    <row r="59" spans="1:7" x14ac:dyDescent="0.3">
      <c r="A59" s="3" t="s">
        <v>62</v>
      </c>
      <c r="B59">
        <v>21054.873053789139</v>
      </c>
      <c r="C59">
        <v>19344.840269386768</v>
      </c>
      <c r="D59">
        <v>0</v>
      </c>
      <c r="E59">
        <v>331.7869873046875</v>
      </c>
      <c r="F59" t="str">
        <f t="shared" si="0"/>
        <v>070000</v>
      </c>
      <c r="G59" t="str">
        <f t="shared" si="1"/>
        <v>20260313</v>
      </c>
    </row>
    <row r="60" spans="1:7" x14ac:dyDescent="0.3">
      <c r="A60" s="3" t="s">
        <v>63</v>
      </c>
      <c r="B60">
        <v>165335.96379745007</v>
      </c>
      <c r="C60">
        <v>149315.67645215988</v>
      </c>
      <c r="D60">
        <v>123958.69643378258</v>
      </c>
      <c r="E60">
        <v>98552.595165252686</v>
      </c>
      <c r="F60" t="str">
        <f t="shared" si="0"/>
        <v>080000</v>
      </c>
      <c r="G60" t="str">
        <f t="shared" si="1"/>
        <v>20260313</v>
      </c>
    </row>
    <row r="61" spans="1:7" x14ac:dyDescent="0.3">
      <c r="A61" s="3" t="s">
        <v>64</v>
      </c>
      <c r="B61">
        <v>27148.436441838741</v>
      </c>
      <c r="C61">
        <v>29718.871452093124</v>
      </c>
      <c r="D61">
        <v>0</v>
      </c>
      <c r="E61">
        <v>0</v>
      </c>
      <c r="F61" t="str">
        <f t="shared" si="0"/>
        <v>090000</v>
      </c>
      <c r="G61" t="str">
        <f t="shared" si="1"/>
        <v>20260313</v>
      </c>
    </row>
    <row r="62" spans="1:7" x14ac:dyDescent="0.3">
      <c r="A62" s="3" t="s">
        <v>65</v>
      </c>
      <c r="B62">
        <v>388367.74442273378</v>
      </c>
      <c r="C62">
        <v>425330.94969069958</v>
      </c>
      <c r="D62">
        <v>321909.44303131104</v>
      </c>
      <c r="E62">
        <v>344668.94588136673</v>
      </c>
      <c r="F62" t="str">
        <f t="shared" si="0"/>
        <v>100000</v>
      </c>
      <c r="G62" t="str">
        <f t="shared" si="1"/>
        <v>20260313</v>
      </c>
    </row>
    <row r="63" spans="1:7" x14ac:dyDescent="0.3">
      <c r="A63" s="3" t="s">
        <v>66</v>
      </c>
      <c r="B63">
        <v>1069332.1773420572</v>
      </c>
      <c r="C63">
        <v>1029139.6031398773</v>
      </c>
      <c r="D63">
        <v>910751.41589128971</v>
      </c>
      <c r="E63">
        <v>844085.89761638641</v>
      </c>
      <c r="F63" t="str">
        <f t="shared" si="0"/>
        <v>110000</v>
      </c>
      <c r="G63" t="str">
        <f t="shared" si="1"/>
        <v>20260313</v>
      </c>
    </row>
    <row r="64" spans="1:7" x14ac:dyDescent="0.3">
      <c r="A64" s="3" t="s">
        <v>67</v>
      </c>
      <c r="B64">
        <v>5377753.2765691876</v>
      </c>
      <c r="C64">
        <v>5178152.2545144558</v>
      </c>
      <c r="D64">
        <v>4525887.0554643869</v>
      </c>
      <c r="E64">
        <v>4255912.5822706819</v>
      </c>
      <c r="F64" t="str">
        <f t="shared" si="0"/>
        <v>120000</v>
      </c>
      <c r="G64" t="str">
        <f t="shared" si="1"/>
        <v>20260313</v>
      </c>
    </row>
    <row r="65" spans="1:7" x14ac:dyDescent="0.3">
      <c r="A65" s="3" t="s">
        <v>68</v>
      </c>
      <c r="B65">
        <v>15781543.85057199</v>
      </c>
      <c r="C65">
        <v>17904311.438394785</v>
      </c>
      <c r="D65">
        <v>14447207.222707748</v>
      </c>
      <c r="E65">
        <v>16526892.167306364</v>
      </c>
      <c r="F65" t="str">
        <f t="shared" si="0"/>
        <v>130000</v>
      </c>
      <c r="G65" t="str">
        <f t="shared" si="1"/>
        <v>20260313</v>
      </c>
    </row>
    <row r="66" spans="1:7" x14ac:dyDescent="0.3">
      <c r="A66" s="3" t="s">
        <v>69</v>
      </c>
      <c r="B66">
        <v>5486088.6327749491</v>
      </c>
      <c r="C66">
        <v>5816349.7591900229</v>
      </c>
      <c r="D66">
        <v>4844186.0140362978</v>
      </c>
      <c r="E66">
        <v>5151462.2215262651</v>
      </c>
      <c r="F66" t="str">
        <f t="shared" ref="F66:F129" si="2">_xlfn.TEXTBEFORE(_xlfn.TEXTAFTER($A66,"_",2),".",1)</f>
        <v>140000</v>
      </c>
      <c r="G66" t="str">
        <f t="shared" ref="G66:G129" si="3">_xlfn.TEXTBEFORE(_xlfn.TEXTAFTER($A66,"_",1),"_",1)</f>
        <v>20260313</v>
      </c>
    </row>
    <row r="67" spans="1:7" x14ac:dyDescent="0.3">
      <c r="A67" s="3" t="s">
        <v>70</v>
      </c>
      <c r="B67">
        <v>4472496.5116090178</v>
      </c>
      <c r="C67">
        <v>4381171.5909656286</v>
      </c>
      <c r="D67">
        <v>3842500.5143333077</v>
      </c>
      <c r="E67">
        <v>3661386.9571867585</v>
      </c>
      <c r="F67" t="str">
        <f t="shared" si="2"/>
        <v>150000</v>
      </c>
      <c r="G67" t="str">
        <f t="shared" si="3"/>
        <v>20260313</v>
      </c>
    </row>
    <row r="68" spans="1:7" x14ac:dyDescent="0.3">
      <c r="A68" s="3" t="s">
        <v>71</v>
      </c>
      <c r="B68">
        <v>520827.1803227663</v>
      </c>
      <c r="C68">
        <v>271363.35806727409</v>
      </c>
      <c r="D68">
        <v>455635.81453323364</v>
      </c>
      <c r="E68">
        <v>228383.33867102861</v>
      </c>
      <c r="F68" t="str">
        <f t="shared" si="2"/>
        <v>160000</v>
      </c>
      <c r="G68" t="str">
        <f t="shared" si="3"/>
        <v>20260313</v>
      </c>
    </row>
    <row r="69" spans="1:7" x14ac:dyDescent="0.3">
      <c r="A69" s="3" t="s">
        <v>72</v>
      </c>
      <c r="B69">
        <v>759766.98347520828</v>
      </c>
      <c r="C69">
        <v>613760.38670098782</v>
      </c>
      <c r="D69">
        <v>637562.13119316101</v>
      </c>
      <c r="E69">
        <v>489061.1175788641</v>
      </c>
      <c r="F69" t="str">
        <f t="shared" si="2"/>
        <v>170000</v>
      </c>
      <c r="G69" t="str">
        <f t="shared" si="3"/>
        <v>20260313</v>
      </c>
    </row>
    <row r="70" spans="1:7" x14ac:dyDescent="0.3">
      <c r="A70" s="3" t="s">
        <v>73</v>
      </c>
      <c r="B70">
        <v>145532.82646679878</v>
      </c>
      <c r="C70">
        <v>132987.1783130765</v>
      </c>
      <c r="D70">
        <v>93512.590291976929</v>
      </c>
      <c r="E70">
        <v>74986.970163822174</v>
      </c>
      <c r="F70" t="str">
        <f t="shared" si="2"/>
        <v>180000</v>
      </c>
      <c r="G70" t="str">
        <f t="shared" si="3"/>
        <v>20260313</v>
      </c>
    </row>
    <row r="71" spans="1:7" x14ac:dyDescent="0.3">
      <c r="A71" s="3" t="s">
        <v>74</v>
      </c>
      <c r="B71">
        <v>0</v>
      </c>
      <c r="C71">
        <v>0</v>
      </c>
      <c r="D71">
        <v>0</v>
      </c>
      <c r="E71">
        <v>0</v>
      </c>
      <c r="F71" t="str">
        <f t="shared" si="2"/>
        <v>190000</v>
      </c>
      <c r="G71" t="str">
        <f t="shared" si="3"/>
        <v>20260313</v>
      </c>
    </row>
    <row r="72" spans="1:7" x14ac:dyDescent="0.3">
      <c r="A72" s="3" t="s">
        <v>75</v>
      </c>
      <c r="B72">
        <v>0</v>
      </c>
      <c r="C72">
        <v>0</v>
      </c>
      <c r="D72">
        <v>0</v>
      </c>
      <c r="E72">
        <v>0</v>
      </c>
      <c r="F72" t="str">
        <f t="shared" si="2"/>
        <v>060000</v>
      </c>
      <c r="G72" t="str">
        <f t="shared" si="3"/>
        <v>20260314</v>
      </c>
    </row>
    <row r="73" spans="1:7" x14ac:dyDescent="0.3">
      <c r="A73" s="3" t="s">
        <v>76</v>
      </c>
      <c r="B73">
        <v>25299.392470002174</v>
      </c>
      <c r="C73">
        <v>28994.840776443481</v>
      </c>
      <c r="D73">
        <v>0</v>
      </c>
      <c r="E73">
        <v>315.618896484375</v>
      </c>
      <c r="F73" t="str">
        <f t="shared" si="2"/>
        <v>070000</v>
      </c>
      <c r="G73" t="str">
        <f t="shared" si="3"/>
        <v>20260314</v>
      </c>
    </row>
    <row r="74" spans="1:7" x14ac:dyDescent="0.3">
      <c r="A74" s="3" t="s">
        <v>77</v>
      </c>
      <c r="B74">
        <v>24590.450791239738</v>
      </c>
      <c r="C74">
        <v>26295.147262215614</v>
      </c>
      <c r="D74">
        <v>506.82510375976563</v>
      </c>
      <c r="E74">
        <v>350.36322021484375</v>
      </c>
      <c r="F74" t="str">
        <f t="shared" si="2"/>
        <v>080000</v>
      </c>
      <c r="G74" t="str">
        <f t="shared" si="3"/>
        <v>20260314</v>
      </c>
    </row>
    <row r="75" spans="1:7" x14ac:dyDescent="0.3">
      <c r="A75" s="3" t="s">
        <v>78</v>
      </c>
      <c r="B75">
        <v>15013.669719815254</v>
      </c>
      <c r="C75">
        <v>16494.88297867775</v>
      </c>
      <c r="D75">
        <v>0</v>
      </c>
      <c r="E75">
        <v>0</v>
      </c>
      <c r="F75" t="str">
        <f t="shared" si="2"/>
        <v>090000</v>
      </c>
      <c r="G75" t="str">
        <f t="shared" si="3"/>
        <v>20260314</v>
      </c>
    </row>
    <row r="76" spans="1:7" x14ac:dyDescent="0.3">
      <c r="A76" s="3" t="s">
        <v>79</v>
      </c>
      <c r="B76">
        <v>79146.338108181953</v>
      </c>
      <c r="C76">
        <v>68817.114188790321</v>
      </c>
      <c r="D76">
        <v>29251.417114257813</v>
      </c>
      <c r="E76">
        <v>17727.700119018555</v>
      </c>
      <c r="F76" t="str">
        <f t="shared" si="2"/>
        <v>100000</v>
      </c>
      <c r="G76" t="str">
        <f t="shared" si="3"/>
        <v>20260314</v>
      </c>
    </row>
    <row r="77" spans="1:7" x14ac:dyDescent="0.3">
      <c r="A77" s="3" t="s">
        <v>80</v>
      </c>
      <c r="B77">
        <v>259992.27790772915</v>
      </c>
      <c r="C77">
        <v>211665.76341098547</v>
      </c>
      <c r="D77">
        <v>199432.14050292969</v>
      </c>
      <c r="E77">
        <v>153078.25313067436</v>
      </c>
      <c r="F77" t="str">
        <f t="shared" si="2"/>
        <v>110000</v>
      </c>
      <c r="G77" t="str">
        <f t="shared" si="3"/>
        <v>20260314</v>
      </c>
    </row>
    <row r="78" spans="1:7" x14ac:dyDescent="0.3">
      <c r="A78" s="3" t="s">
        <v>81</v>
      </c>
      <c r="B78">
        <v>40407.736577272415</v>
      </c>
      <c r="C78">
        <v>38011.540953040123</v>
      </c>
      <c r="D78">
        <v>17892.098602294922</v>
      </c>
      <c r="E78">
        <v>12430.879730224609</v>
      </c>
      <c r="F78" t="str">
        <f t="shared" si="2"/>
        <v>120000</v>
      </c>
      <c r="G78" t="str">
        <f t="shared" si="3"/>
        <v>20260314</v>
      </c>
    </row>
    <row r="79" spans="1:7" x14ac:dyDescent="0.3">
      <c r="A79" s="3" t="s">
        <v>82</v>
      </c>
      <c r="B79">
        <v>25486626.481842041</v>
      </c>
      <c r="C79">
        <v>25708059.482744217</v>
      </c>
      <c r="D79">
        <v>24351031.751304626</v>
      </c>
      <c r="E79">
        <v>24622157.731117249</v>
      </c>
      <c r="F79" t="str">
        <f t="shared" si="2"/>
        <v>130000</v>
      </c>
      <c r="G79" t="str">
        <f t="shared" si="3"/>
        <v>20260314</v>
      </c>
    </row>
    <row r="80" spans="1:7" x14ac:dyDescent="0.3">
      <c r="A80" s="3" t="s">
        <v>83</v>
      </c>
      <c r="B80">
        <v>29841854.114456177</v>
      </c>
      <c r="C80">
        <v>38364828.847930908</v>
      </c>
      <c r="D80">
        <v>28999930.685230494</v>
      </c>
      <c r="E80">
        <v>37497464.023147583</v>
      </c>
      <c r="F80" t="str">
        <f t="shared" si="2"/>
        <v>140000</v>
      </c>
      <c r="G80" t="str">
        <f t="shared" si="3"/>
        <v>20260314</v>
      </c>
    </row>
    <row r="81" spans="1:7" x14ac:dyDescent="0.3">
      <c r="A81" s="3" t="s">
        <v>84</v>
      </c>
      <c r="B81">
        <v>20037410.065450668</v>
      </c>
      <c r="C81">
        <v>21112888.455562592</v>
      </c>
      <c r="D81">
        <v>18751388.14402771</v>
      </c>
      <c r="E81">
        <v>19839127.960111618</v>
      </c>
      <c r="F81" t="str">
        <f t="shared" si="2"/>
        <v>150000</v>
      </c>
      <c r="G81" t="str">
        <f t="shared" si="3"/>
        <v>20260314</v>
      </c>
    </row>
    <row r="82" spans="1:7" x14ac:dyDescent="0.3">
      <c r="A82" s="3" t="s">
        <v>85</v>
      </c>
      <c r="B82">
        <v>10816200.635233998</v>
      </c>
      <c r="C82">
        <v>9235553.1810471416</v>
      </c>
      <c r="D82">
        <v>9808206.7986739874</v>
      </c>
      <c r="E82">
        <v>8238989.5785006285</v>
      </c>
      <c r="F82" t="str">
        <f t="shared" si="2"/>
        <v>160000</v>
      </c>
      <c r="G82" t="str">
        <f t="shared" si="3"/>
        <v>20260314</v>
      </c>
    </row>
    <row r="83" spans="1:7" x14ac:dyDescent="0.3">
      <c r="A83" s="3" t="s">
        <v>86</v>
      </c>
      <c r="B83">
        <v>4803366.0622907877</v>
      </c>
      <c r="C83">
        <v>3213415.4317668676</v>
      </c>
      <c r="D83">
        <v>4374482.6930208206</v>
      </c>
      <c r="E83">
        <v>2810161.5652327538</v>
      </c>
      <c r="F83" t="str">
        <f t="shared" si="2"/>
        <v>170000</v>
      </c>
      <c r="G83" t="str">
        <f t="shared" si="3"/>
        <v>20260314</v>
      </c>
    </row>
    <row r="84" spans="1:7" x14ac:dyDescent="0.3">
      <c r="A84" s="3" t="s">
        <v>87</v>
      </c>
      <c r="B84">
        <v>1953195.430130899</v>
      </c>
      <c r="C84">
        <v>2191227.8867782354</v>
      </c>
      <c r="D84">
        <v>1632896.9030780792</v>
      </c>
      <c r="E84">
        <v>1837607.5647507906</v>
      </c>
      <c r="F84" t="str">
        <f t="shared" si="2"/>
        <v>180000</v>
      </c>
      <c r="G84" t="str">
        <f t="shared" si="3"/>
        <v>20260314</v>
      </c>
    </row>
    <row r="85" spans="1:7" x14ac:dyDescent="0.3">
      <c r="A85" s="3" t="s">
        <v>88</v>
      </c>
      <c r="B85">
        <v>0</v>
      </c>
      <c r="C85">
        <v>0</v>
      </c>
      <c r="D85">
        <v>0</v>
      </c>
      <c r="E85">
        <v>0</v>
      </c>
      <c r="F85" t="str">
        <f t="shared" si="2"/>
        <v>190000</v>
      </c>
      <c r="G85" t="str">
        <f t="shared" si="3"/>
        <v>20260314</v>
      </c>
    </row>
    <row r="86" spans="1:7" x14ac:dyDescent="0.3">
      <c r="A86" s="3" t="s">
        <v>89</v>
      </c>
      <c r="B86">
        <v>0</v>
      </c>
      <c r="C86">
        <v>0</v>
      </c>
      <c r="D86">
        <v>0</v>
      </c>
      <c r="E86">
        <v>0</v>
      </c>
      <c r="F86" t="str">
        <f t="shared" si="2"/>
        <v>060000</v>
      </c>
      <c r="G86" t="str">
        <f t="shared" si="3"/>
        <v>20260315</v>
      </c>
    </row>
    <row r="87" spans="1:7" x14ac:dyDescent="0.3">
      <c r="A87" s="3" t="s">
        <v>90</v>
      </c>
      <c r="B87">
        <v>17949.348775744438</v>
      </c>
      <c r="C87">
        <v>23013.494725883007</v>
      </c>
      <c r="D87">
        <v>0</v>
      </c>
      <c r="E87">
        <v>459.20364379882813</v>
      </c>
      <c r="F87" t="str">
        <f t="shared" si="2"/>
        <v>070000</v>
      </c>
      <c r="G87" t="str">
        <f t="shared" si="3"/>
        <v>20260315</v>
      </c>
    </row>
    <row r="88" spans="1:7" x14ac:dyDescent="0.3">
      <c r="A88" s="3" t="s">
        <v>91</v>
      </c>
      <c r="B88">
        <v>6585.7560595273972</v>
      </c>
      <c r="C88">
        <v>7731.277939260006</v>
      </c>
      <c r="D88">
        <v>0</v>
      </c>
      <c r="E88">
        <v>0</v>
      </c>
      <c r="F88" t="str">
        <f t="shared" si="2"/>
        <v>080000</v>
      </c>
      <c r="G88" t="str">
        <f t="shared" si="3"/>
        <v>20260315</v>
      </c>
    </row>
    <row r="89" spans="1:7" x14ac:dyDescent="0.3">
      <c r="A89" s="3" t="s">
        <v>92</v>
      </c>
      <c r="B89">
        <v>225198.78292000294</v>
      </c>
      <c r="C89">
        <v>263339.16682577133</v>
      </c>
      <c r="D89">
        <v>155047.10052490234</v>
      </c>
      <c r="E89">
        <v>159358.9521484375</v>
      </c>
      <c r="F89" t="str">
        <f t="shared" si="2"/>
        <v>090000</v>
      </c>
      <c r="G89" t="str">
        <f t="shared" si="3"/>
        <v>20260315</v>
      </c>
    </row>
    <row r="90" spans="1:7" x14ac:dyDescent="0.3">
      <c r="A90" s="3" t="s">
        <v>93</v>
      </c>
      <c r="B90">
        <v>521621.90026140213</v>
      </c>
      <c r="C90">
        <v>570894.41284710169</v>
      </c>
      <c r="D90">
        <v>433887.73046207428</v>
      </c>
      <c r="E90">
        <v>483628.80710601807</v>
      </c>
      <c r="F90" t="str">
        <f t="shared" si="2"/>
        <v>100000</v>
      </c>
      <c r="G90" t="str">
        <f t="shared" si="3"/>
        <v>20260315</v>
      </c>
    </row>
    <row r="91" spans="1:7" x14ac:dyDescent="0.3">
      <c r="A91" s="3" t="s">
        <v>94</v>
      </c>
      <c r="B91">
        <v>658463.35031300783</v>
      </c>
      <c r="C91">
        <v>840002.2215102911</v>
      </c>
      <c r="D91">
        <v>561046.12301492691</v>
      </c>
      <c r="E91">
        <v>720812.94337594509</v>
      </c>
      <c r="F91" t="str">
        <f t="shared" si="2"/>
        <v>110000</v>
      </c>
      <c r="G91" t="str">
        <f t="shared" si="3"/>
        <v>20260315</v>
      </c>
    </row>
    <row r="92" spans="1:7" x14ac:dyDescent="0.3">
      <c r="A92" s="3" t="s">
        <v>95</v>
      </c>
      <c r="B92">
        <v>311366.49971783161</v>
      </c>
      <c r="C92">
        <v>121339.12826240063</v>
      </c>
      <c r="D92">
        <v>262397.33953857422</v>
      </c>
      <c r="E92">
        <v>77697.110523223877</v>
      </c>
      <c r="F92" t="str">
        <f t="shared" si="2"/>
        <v>120000</v>
      </c>
      <c r="G92" t="str">
        <f t="shared" si="3"/>
        <v>20260315</v>
      </c>
    </row>
    <row r="93" spans="1:7" x14ac:dyDescent="0.3">
      <c r="A93" s="3" t="s">
        <v>96</v>
      </c>
      <c r="B93">
        <v>1297268.9066892862</v>
      </c>
      <c r="C93">
        <v>684311.95912843943</v>
      </c>
      <c r="D93">
        <v>1080309.1281013489</v>
      </c>
      <c r="E93">
        <v>490347.58120083809</v>
      </c>
      <c r="F93" t="str">
        <f t="shared" si="2"/>
        <v>130000</v>
      </c>
      <c r="G93" t="str">
        <f t="shared" si="3"/>
        <v>20260315</v>
      </c>
    </row>
    <row r="94" spans="1:7" x14ac:dyDescent="0.3">
      <c r="A94" s="3" t="s">
        <v>97</v>
      </c>
      <c r="B94">
        <v>435440.99968546629</v>
      </c>
      <c r="C94">
        <v>446428.31743627787</v>
      </c>
      <c r="D94">
        <v>359274.35829788446</v>
      </c>
      <c r="E94">
        <v>367099.13597393036</v>
      </c>
      <c r="F94" t="str">
        <f t="shared" si="2"/>
        <v>140000</v>
      </c>
      <c r="G94" t="str">
        <f t="shared" si="3"/>
        <v>20260315</v>
      </c>
    </row>
    <row r="95" spans="1:7" x14ac:dyDescent="0.3">
      <c r="A95" s="3" t="s">
        <v>98</v>
      </c>
      <c r="B95">
        <v>2151713.8471288085</v>
      </c>
      <c r="C95">
        <v>1981253.4506145716</v>
      </c>
      <c r="D95">
        <v>1807191.2983723879</v>
      </c>
      <c r="E95">
        <v>1596994.1139562726</v>
      </c>
      <c r="F95" t="str">
        <f t="shared" si="2"/>
        <v>150000</v>
      </c>
      <c r="G95" t="str">
        <f t="shared" si="3"/>
        <v>20260315</v>
      </c>
    </row>
    <row r="96" spans="1:7" x14ac:dyDescent="0.3">
      <c r="A96" s="3" t="s">
        <v>99</v>
      </c>
      <c r="B96">
        <v>1541243.6464785933</v>
      </c>
      <c r="C96">
        <v>962057.01680010557</v>
      </c>
      <c r="D96">
        <v>1377872.6379282475</v>
      </c>
      <c r="E96">
        <v>827846.80112743378</v>
      </c>
      <c r="F96" t="str">
        <f t="shared" si="2"/>
        <v>160000</v>
      </c>
      <c r="G96" t="str">
        <f t="shared" si="3"/>
        <v>20260315</v>
      </c>
    </row>
    <row r="97" spans="1:7" x14ac:dyDescent="0.3">
      <c r="A97" s="3" t="s">
        <v>100</v>
      </c>
      <c r="B97">
        <v>2117819.2622749805</v>
      </c>
      <c r="C97">
        <v>2147452.3533640504</v>
      </c>
      <c r="D97">
        <v>1720567.8275079727</v>
      </c>
      <c r="E97">
        <v>1721588.1958608627</v>
      </c>
      <c r="F97" t="str">
        <f t="shared" si="2"/>
        <v>170000</v>
      </c>
      <c r="G97" t="str">
        <f t="shared" si="3"/>
        <v>20260315</v>
      </c>
    </row>
    <row r="98" spans="1:7" x14ac:dyDescent="0.3">
      <c r="A98" s="3" t="s">
        <v>101</v>
      </c>
      <c r="B98">
        <v>38764.106619477272</v>
      </c>
      <c r="C98">
        <v>43748.765070736408</v>
      </c>
      <c r="D98">
        <v>15394.091278076172</v>
      </c>
      <c r="E98">
        <v>15030.857437133789</v>
      </c>
      <c r="F98" t="str">
        <f t="shared" si="2"/>
        <v>180000</v>
      </c>
      <c r="G98" t="str">
        <f t="shared" si="3"/>
        <v>20260315</v>
      </c>
    </row>
    <row r="99" spans="1:7" x14ac:dyDescent="0.3">
      <c r="A99" s="3" t="s">
        <v>102</v>
      </c>
      <c r="B99">
        <v>0</v>
      </c>
      <c r="C99">
        <v>0</v>
      </c>
      <c r="D99">
        <v>0</v>
      </c>
      <c r="E99">
        <v>0</v>
      </c>
      <c r="F99" t="str">
        <f t="shared" si="2"/>
        <v>190000</v>
      </c>
      <c r="G99" t="str">
        <f t="shared" si="3"/>
        <v>20260315</v>
      </c>
    </row>
    <row r="100" spans="1:7" x14ac:dyDescent="0.3">
      <c r="A100" s="3" t="s">
        <v>103</v>
      </c>
      <c r="B100">
        <v>0</v>
      </c>
      <c r="C100">
        <v>0</v>
      </c>
      <c r="D100">
        <v>0</v>
      </c>
      <c r="E100">
        <v>0</v>
      </c>
      <c r="F100" t="str">
        <f t="shared" si="2"/>
        <v>060000</v>
      </c>
      <c r="G100" t="str">
        <f t="shared" si="3"/>
        <v>20260316</v>
      </c>
    </row>
    <row r="101" spans="1:7" x14ac:dyDescent="0.3">
      <c r="A101" s="3" t="s">
        <v>104</v>
      </c>
      <c r="B101">
        <v>27078.479794502258</v>
      </c>
      <c r="C101">
        <v>29964.097523510456</v>
      </c>
      <c r="D101">
        <v>313.3028564453125</v>
      </c>
      <c r="E101">
        <v>836.09161376953125</v>
      </c>
      <c r="F101" t="str">
        <f t="shared" si="2"/>
        <v>070000</v>
      </c>
      <c r="G101" t="str">
        <f t="shared" si="3"/>
        <v>20260316</v>
      </c>
    </row>
    <row r="102" spans="1:7" x14ac:dyDescent="0.3">
      <c r="A102" s="3" t="s">
        <v>105</v>
      </c>
      <c r="B102">
        <v>18237.967823207378</v>
      </c>
      <c r="C102">
        <v>17645.454968571663</v>
      </c>
      <c r="D102">
        <v>0</v>
      </c>
      <c r="E102">
        <v>0</v>
      </c>
      <c r="F102" t="str">
        <f t="shared" si="2"/>
        <v>080000</v>
      </c>
      <c r="G102" t="str">
        <f t="shared" si="3"/>
        <v>20260316</v>
      </c>
    </row>
    <row r="103" spans="1:7" x14ac:dyDescent="0.3">
      <c r="A103" s="3" t="s">
        <v>106</v>
      </c>
      <c r="B103">
        <v>187087.53318637609</v>
      </c>
      <c r="C103">
        <v>191974.89533162117</v>
      </c>
      <c r="D103">
        <v>119856.17848205566</v>
      </c>
      <c r="E103">
        <v>118888.8931312561</v>
      </c>
      <c r="F103" t="str">
        <f t="shared" si="2"/>
        <v>090000</v>
      </c>
      <c r="G103" t="str">
        <f t="shared" si="3"/>
        <v>20260316</v>
      </c>
    </row>
    <row r="104" spans="1:7" x14ac:dyDescent="0.3">
      <c r="A104" s="3" t="s">
        <v>107</v>
      </c>
      <c r="B104">
        <v>705156.42615646124</v>
      </c>
      <c r="C104">
        <v>741326.52649515867</v>
      </c>
      <c r="D104">
        <v>592105.91866111755</v>
      </c>
      <c r="E104">
        <v>610007.49532699585</v>
      </c>
      <c r="F104" t="str">
        <f t="shared" si="2"/>
        <v>100000</v>
      </c>
      <c r="G104" t="str">
        <f t="shared" si="3"/>
        <v>20260316</v>
      </c>
    </row>
    <row r="105" spans="1:7" x14ac:dyDescent="0.3">
      <c r="A105" s="3" t="s">
        <v>108</v>
      </c>
      <c r="B105">
        <v>18463596.411026001</v>
      </c>
      <c r="C105">
        <v>18984721.51919663</v>
      </c>
      <c r="D105">
        <v>17173737.865557671</v>
      </c>
      <c r="E105">
        <v>17706907.9015131</v>
      </c>
      <c r="F105" t="str">
        <f t="shared" si="2"/>
        <v>110000</v>
      </c>
      <c r="G105" t="str">
        <f t="shared" si="3"/>
        <v>20260316</v>
      </c>
    </row>
    <row r="106" spans="1:7" x14ac:dyDescent="0.3">
      <c r="A106" s="3" t="s">
        <v>109</v>
      </c>
      <c r="B106">
        <v>23567069.004104257</v>
      </c>
      <c r="C106">
        <v>25570347.580218315</v>
      </c>
      <c r="D106">
        <v>22315075.187872231</v>
      </c>
      <c r="E106">
        <v>24194546.839140177</v>
      </c>
      <c r="F106" t="str">
        <f t="shared" si="2"/>
        <v>120000</v>
      </c>
      <c r="G106" t="str">
        <f t="shared" si="3"/>
        <v>20260316</v>
      </c>
    </row>
    <row r="107" spans="1:7" x14ac:dyDescent="0.3">
      <c r="A107" s="3" t="s">
        <v>110</v>
      </c>
      <c r="B107">
        <v>22911987.355624259</v>
      </c>
      <c r="C107">
        <v>23397603.69875735</v>
      </c>
      <c r="D107">
        <v>21699326.888191223</v>
      </c>
      <c r="E107">
        <v>22100497.987516642</v>
      </c>
      <c r="F107" t="str">
        <f t="shared" si="2"/>
        <v>130000</v>
      </c>
      <c r="G107" t="str">
        <f t="shared" si="3"/>
        <v>20260316</v>
      </c>
    </row>
    <row r="108" spans="1:7" x14ac:dyDescent="0.3">
      <c r="A108" s="3" t="s">
        <v>111</v>
      </c>
      <c r="B108">
        <v>12791848.09866637</v>
      </c>
      <c r="C108">
        <v>16611044.037088633</v>
      </c>
      <c r="D108">
        <v>11806181.16933167</v>
      </c>
      <c r="E108">
        <v>15424005.399956703</v>
      </c>
      <c r="F108" t="str">
        <f t="shared" si="2"/>
        <v>140000</v>
      </c>
      <c r="G108" t="str">
        <f t="shared" si="3"/>
        <v>20260316</v>
      </c>
    </row>
    <row r="109" spans="1:7" x14ac:dyDescent="0.3">
      <c r="A109" s="3" t="s">
        <v>112</v>
      </c>
      <c r="B109">
        <v>13113085.576064289</v>
      </c>
      <c r="C109">
        <v>16829199.896122694</v>
      </c>
      <c r="D109">
        <v>12158454.387859583</v>
      </c>
      <c r="E109">
        <v>15588322.046575427</v>
      </c>
      <c r="F109" t="str">
        <f t="shared" si="2"/>
        <v>150000</v>
      </c>
      <c r="G109" t="str">
        <f t="shared" si="3"/>
        <v>20260316</v>
      </c>
    </row>
    <row r="110" spans="1:7" x14ac:dyDescent="0.3">
      <c r="A110" s="3" t="s">
        <v>113</v>
      </c>
      <c r="B110">
        <v>13261985.200205445</v>
      </c>
      <c r="C110">
        <v>8252294.0554464459</v>
      </c>
      <c r="D110">
        <v>12272323.958425522</v>
      </c>
      <c r="E110">
        <v>7397522.5644145012</v>
      </c>
      <c r="F110" t="str">
        <f t="shared" si="2"/>
        <v>160000</v>
      </c>
      <c r="G110" t="str">
        <f t="shared" si="3"/>
        <v>20260316</v>
      </c>
    </row>
    <row r="111" spans="1:7" x14ac:dyDescent="0.3">
      <c r="A111" s="3" t="s">
        <v>114</v>
      </c>
      <c r="B111">
        <v>4700388.2293551564</v>
      </c>
      <c r="C111">
        <v>4879966.883344233</v>
      </c>
      <c r="D111">
        <v>4145772.2895196676</v>
      </c>
      <c r="E111">
        <v>4314719.7519356012</v>
      </c>
      <c r="F111" t="str">
        <f t="shared" si="2"/>
        <v>170000</v>
      </c>
      <c r="G111" t="str">
        <f t="shared" si="3"/>
        <v>20260316</v>
      </c>
    </row>
    <row r="112" spans="1:7" x14ac:dyDescent="0.3">
      <c r="A112" s="3" t="s">
        <v>115</v>
      </c>
      <c r="B112">
        <v>1662020.0571010709</v>
      </c>
      <c r="C112">
        <v>1157284.8078303337</v>
      </c>
      <c r="D112">
        <v>1488092.2086735964</v>
      </c>
      <c r="E112">
        <v>976888.36846733093</v>
      </c>
      <c r="F112" t="str">
        <f t="shared" si="2"/>
        <v>180000</v>
      </c>
      <c r="G112" t="str">
        <f t="shared" si="3"/>
        <v>20260316</v>
      </c>
    </row>
    <row r="113" spans="1:7" x14ac:dyDescent="0.3">
      <c r="A113" s="3" t="s">
        <v>116</v>
      </c>
      <c r="B113">
        <v>0</v>
      </c>
      <c r="C113">
        <v>0</v>
      </c>
      <c r="D113">
        <v>0</v>
      </c>
      <c r="E113">
        <v>0</v>
      </c>
      <c r="F113" t="str">
        <f t="shared" si="2"/>
        <v>190000</v>
      </c>
      <c r="G113" t="str">
        <f t="shared" si="3"/>
        <v>20260316</v>
      </c>
    </row>
    <row r="114" spans="1:7" x14ac:dyDescent="0.3">
      <c r="A114" s="3" t="s">
        <v>117</v>
      </c>
      <c r="B114">
        <v>0</v>
      </c>
      <c r="C114">
        <v>0</v>
      </c>
      <c r="D114">
        <v>0</v>
      </c>
      <c r="E114">
        <v>0</v>
      </c>
      <c r="F114" t="str">
        <f t="shared" si="2"/>
        <v>060000</v>
      </c>
      <c r="G114" t="str">
        <f t="shared" si="3"/>
        <v>20260317</v>
      </c>
    </row>
    <row r="115" spans="1:7" x14ac:dyDescent="0.3">
      <c r="A115" s="3" t="s">
        <v>118</v>
      </c>
      <c r="B115">
        <v>14209.690964758396</v>
      </c>
      <c r="C115">
        <v>19238.428591132164</v>
      </c>
      <c r="D115">
        <v>334.69573974609375</v>
      </c>
      <c r="E115">
        <v>662.87222290039063</v>
      </c>
      <c r="F115" t="str">
        <f t="shared" si="2"/>
        <v>070000</v>
      </c>
      <c r="G115" t="str">
        <f t="shared" si="3"/>
        <v>20260317</v>
      </c>
    </row>
    <row r="116" spans="1:7" x14ac:dyDescent="0.3">
      <c r="A116" s="3" t="s">
        <v>119</v>
      </c>
      <c r="B116">
        <v>134177.84921348095</v>
      </c>
      <c r="C116">
        <v>110023.4036346674</v>
      </c>
      <c r="D116">
        <v>108262.93252563477</v>
      </c>
      <c r="E116">
        <v>83138.314147949219</v>
      </c>
      <c r="F116" t="str">
        <f t="shared" si="2"/>
        <v>080000</v>
      </c>
      <c r="G116" t="str">
        <f t="shared" si="3"/>
        <v>20260317</v>
      </c>
    </row>
    <row r="117" spans="1:7" x14ac:dyDescent="0.3">
      <c r="A117" s="3" t="s">
        <v>120</v>
      </c>
      <c r="B117">
        <v>151985.75073605776</v>
      </c>
      <c r="C117">
        <v>257295.22681385279</v>
      </c>
      <c r="D117">
        <v>93303.056884765625</v>
      </c>
      <c r="E117">
        <v>186200.20195770264</v>
      </c>
      <c r="F117" t="str">
        <f t="shared" si="2"/>
        <v>090000</v>
      </c>
      <c r="G117" t="str">
        <f t="shared" si="3"/>
        <v>20260317</v>
      </c>
    </row>
    <row r="118" spans="1:7" x14ac:dyDescent="0.3">
      <c r="A118" s="3" t="s">
        <v>121</v>
      </c>
      <c r="B118">
        <v>1384956.082390666</v>
      </c>
      <c r="C118">
        <v>1617930.7713211775</v>
      </c>
      <c r="D118">
        <v>1022160.2049428225</v>
      </c>
      <c r="E118">
        <v>1306633.5833137035</v>
      </c>
      <c r="F118" t="str">
        <f t="shared" si="2"/>
        <v>100000</v>
      </c>
      <c r="G118" t="str">
        <f t="shared" si="3"/>
        <v>20260317</v>
      </c>
    </row>
    <row r="119" spans="1:7" x14ac:dyDescent="0.3">
      <c r="A119" s="3" t="s">
        <v>122</v>
      </c>
      <c r="B119">
        <v>19398983.221171856</v>
      </c>
      <c r="C119">
        <v>23313038.952553332</v>
      </c>
      <c r="D119">
        <v>18203215.033717871</v>
      </c>
      <c r="E119">
        <v>21891423.496673584</v>
      </c>
      <c r="F119" t="str">
        <f t="shared" si="2"/>
        <v>110000</v>
      </c>
      <c r="G119" t="str">
        <f t="shared" si="3"/>
        <v>20260317</v>
      </c>
    </row>
    <row r="120" spans="1:7" x14ac:dyDescent="0.3">
      <c r="A120" s="3" t="s">
        <v>123</v>
      </c>
      <c r="B120">
        <v>23385509.58982116</v>
      </c>
      <c r="C120">
        <v>25632242.874298096</v>
      </c>
      <c r="D120">
        <v>22061804.354986668</v>
      </c>
      <c r="E120">
        <v>24210206.061226845</v>
      </c>
      <c r="F120" t="str">
        <f t="shared" si="2"/>
        <v>120000</v>
      </c>
      <c r="G120" t="str">
        <f t="shared" si="3"/>
        <v>20260317</v>
      </c>
    </row>
    <row r="121" spans="1:7" x14ac:dyDescent="0.3">
      <c r="A121" s="3" t="s">
        <v>124</v>
      </c>
      <c r="B121">
        <v>20230002.590812802</v>
      </c>
      <c r="C121">
        <v>20795847.426117778</v>
      </c>
      <c r="D121">
        <v>18847137.599683285</v>
      </c>
      <c r="E121">
        <v>19372601.853520572</v>
      </c>
      <c r="F121" t="str">
        <f t="shared" si="2"/>
        <v>130000</v>
      </c>
      <c r="G121" t="str">
        <f t="shared" si="3"/>
        <v>20260317</v>
      </c>
    </row>
    <row r="122" spans="1:7" x14ac:dyDescent="0.3">
      <c r="A122" s="3" t="s">
        <v>125</v>
      </c>
      <c r="B122">
        <v>24717034.015942574</v>
      </c>
      <c r="C122">
        <v>24857592.198636055</v>
      </c>
      <c r="D122">
        <v>23537584.266275406</v>
      </c>
      <c r="E122">
        <v>23579119.719133139</v>
      </c>
      <c r="F122" t="str">
        <f t="shared" si="2"/>
        <v>140000</v>
      </c>
      <c r="G122" t="str">
        <f t="shared" si="3"/>
        <v>20260317</v>
      </c>
    </row>
    <row r="123" spans="1:7" x14ac:dyDescent="0.3">
      <c r="A123" s="3" t="s">
        <v>126</v>
      </c>
      <c r="B123">
        <v>23908385.324432373</v>
      </c>
      <c r="C123">
        <v>26163747.906181335</v>
      </c>
      <c r="D123">
        <v>22575884.739765167</v>
      </c>
      <c r="E123">
        <v>24803828.174586535</v>
      </c>
      <c r="F123" t="str">
        <f t="shared" si="2"/>
        <v>150000</v>
      </c>
      <c r="G123" t="str">
        <f t="shared" si="3"/>
        <v>20260317</v>
      </c>
    </row>
    <row r="124" spans="1:7" x14ac:dyDescent="0.3">
      <c r="A124" s="3" t="s">
        <v>127</v>
      </c>
      <c r="B124">
        <v>15837557.341241479</v>
      </c>
      <c r="C124">
        <v>15181175.909648657</v>
      </c>
      <c r="D124">
        <v>14514005.587245941</v>
      </c>
      <c r="E124">
        <v>13849971.180322528</v>
      </c>
      <c r="F124" t="str">
        <f t="shared" si="2"/>
        <v>160000</v>
      </c>
      <c r="G124" t="str">
        <f t="shared" si="3"/>
        <v>20260317</v>
      </c>
    </row>
    <row r="125" spans="1:7" x14ac:dyDescent="0.3">
      <c r="A125" s="3" t="s">
        <v>128</v>
      </c>
      <c r="B125">
        <v>16525534.706836224</v>
      </c>
      <c r="C125">
        <v>16058142.435850263</v>
      </c>
      <c r="D125">
        <v>15447296.660314322</v>
      </c>
      <c r="E125">
        <v>14922525.887480021</v>
      </c>
      <c r="F125" t="str">
        <f t="shared" si="2"/>
        <v>170000</v>
      </c>
      <c r="G125" t="str">
        <f t="shared" si="3"/>
        <v>20260317</v>
      </c>
    </row>
    <row r="126" spans="1:7" x14ac:dyDescent="0.3">
      <c r="A126" s="3" t="s">
        <v>129</v>
      </c>
      <c r="B126">
        <v>13855262.920369685</v>
      </c>
      <c r="C126">
        <v>12504112.071988046</v>
      </c>
      <c r="D126">
        <v>12890267.001496553</v>
      </c>
      <c r="E126">
        <v>11427131.354395211</v>
      </c>
      <c r="F126" t="str">
        <f t="shared" si="2"/>
        <v>180000</v>
      </c>
      <c r="G126" t="str">
        <f t="shared" si="3"/>
        <v>20260317</v>
      </c>
    </row>
    <row r="127" spans="1:7" x14ac:dyDescent="0.3">
      <c r="A127" s="3" t="s">
        <v>130</v>
      </c>
      <c r="B127">
        <v>0</v>
      </c>
      <c r="C127">
        <v>0</v>
      </c>
      <c r="D127">
        <v>0</v>
      </c>
      <c r="E127">
        <v>0</v>
      </c>
      <c r="F127" t="str">
        <f t="shared" si="2"/>
        <v>190000</v>
      </c>
      <c r="G127" t="str">
        <f t="shared" si="3"/>
        <v>20260317</v>
      </c>
    </row>
    <row r="128" spans="1:7" x14ac:dyDescent="0.3">
      <c r="A128" s="3" t="s">
        <v>131</v>
      </c>
      <c r="B128">
        <v>0</v>
      </c>
      <c r="C128">
        <v>0</v>
      </c>
      <c r="D128">
        <v>0</v>
      </c>
      <c r="E128">
        <v>0</v>
      </c>
      <c r="F128" t="str">
        <f t="shared" si="2"/>
        <v>060000</v>
      </c>
      <c r="G128" t="str">
        <f t="shared" si="3"/>
        <v>20260318</v>
      </c>
    </row>
    <row r="129" spans="1:7" x14ac:dyDescent="0.3">
      <c r="A129" s="3" t="s">
        <v>132</v>
      </c>
      <c r="B129">
        <v>122257.16045886278</v>
      </c>
      <c r="C129">
        <v>127122.03157192469</v>
      </c>
      <c r="D129">
        <v>14918.212646484375</v>
      </c>
      <c r="E129">
        <v>12627.924774169922</v>
      </c>
      <c r="F129" t="str">
        <f t="shared" si="2"/>
        <v>070000</v>
      </c>
      <c r="G129" t="str">
        <f t="shared" si="3"/>
        <v>20260318</v>
      </c>
    </row>
    <row r="130" spans="1:7" x14ac:dyDescent="0.3">
      <c r="A130" s="3" t="s">
        <v>133</v>
      </c>
      <c r="B130">
        <v>127116.7276815176</v>
      </c>
      <c r="C130">
        <v>113460.07775479555</v>
      </c>
      <c r="D130">
        <v>44138.958114624023</v>
      </c>
      <c r="E130">
        <v>37215.806594848633</v>
      </c>
      <c r="F130" t="str">
        <f t="shared" ref="F130:F193" si="4">_xlfn.TEXTBEFORE(_xlfn.TEXTAFTER($A130,"_",2),".",1)</f>
        <v>080000</v>
      </c>
      <c r="G130" t="str">
        <f t="shared" ref="G130:G193" si="5">_xlfn.TEXTBEFORE(_xlfn.TEXTAFTER($A130,"_",1),"_",1)</f>
        <v>20260318</v>
      </c>
    </row>
    <row r="131" spans="1:7" x14ac:dyDescent="0.3">
      <c r="A131" s="3" t="s">
        <v>134</v>
      </c>
      <c r="B131">
        <v>338917.33331674337</v>
      </c>
      <c r="C131">
        <v>260709.45975923538</v>
      </c>
      <c r="D131">
        <v>268224.55996704102</v>
      </c>
      <c r="E131">
        <v>191199.88738822937</v>
      </c>
      <c r="F131" t="str">
        <f t="shared" si="4"/>
        <v>090000</v>
      </c>
      <c r="G131" t="str">
        <f t="shared" si="5"/>
        <v>20260318</v>
      </c>
    </row>
    <row r="132" spans="1:7" x14ac:dyDescent="0.3">
      <c r="A132" s="3" t="s">
        <v>135</v>
      </c>
      <c r="B132">
        <v>763671.53750705719</v>
      </c>
      <c r="C132">
        <v>663922.91994285583</v>
      </c>
      <c r="D132">
        <v>608908.41490268707</v>
      </c>
      <c r="E132">
        <v>491819.75388336182</v>
      </c>
      <c r="F132" t="str">
        <f t="shared" si="4"/>
        <v>100000</v>
      </c>
      <c r="G132" t="str">
        <f t="shared" si="5"/>
        <v>20260318</v>
      </c>
    </row>
    <row r="133" spans="1:7" x14ac:dyDescent="0.3">
      <c r="A133" s="3" t="s">
        <v>136</v>
      </c>
      <c r="B133">
        <v>805686.44755852222</v>
      </c>
      <c r="C133">
        <v>714003.86557233334</v>
      </c>
      <c r="D133">
        <v>637944.51054191589</v>
      </c>
      <c r="E133">
        <v>552550.12325668335</v>
      </c>
      <c r="F133" t="str">
        <f t="shared" si="4"/>
        <v>110000</v>
      </c>
      <c r="G133" t="str">
        <f t="shared" si="5"/>
        <v>20260318</v>
      </c>
    </row>
    <row r="134" spans="1:7" x14ac:dyDescent="0.3">
      <c r="A134" s="3" t="s">
        <v>137</v>
      </c>
      <c r="B134">
        <v>820117.11317503452</v>
      </c>
      <c r="C134">
        <v>661710.40966576338</v>
      </c>
      <c r="D134">
        <v>651456.22350955009</v>
      </c>
      <c r="E134">
        <v>501014.69733089209</v>
      </c>
      <c r="F134" t="str">
        <f t="shared" si="4"/>
        <v>120000</v>
      </c>
      <c r="G134" t="str">
        <f t="shared" si="5"/>
        <v>20260318</v>
      </c>
    </row>
    <row r="135" spans="1:7" x14ac:dyDescent="0.3">
      <c r="A135" s="3" t="s">
        <v>138</v>
      </c>
      <c r="B135">
        <v>75083.77531683445</v>
      </c>
      <c r="C135">
        <v>119109.60453212261</v>
      </c>
      <c r="D135">
        <v>34343.557830810547</v>
      </c>
      <c r="E135">
        <v>64033.932952880859</v>
      </c>
      <c r="F135" t="str">
        <f t="shared" si="4"/>
        <v>130000</v>
      </c>
      <c r="G135" t="str">
        <f t="shared" si="5"/>
        <v>20260318</v>
      </c>
    </row>
    <row r="136" spans="1:7" x14ac:dyDescent="0.3">
      <c r="A136" s="3" t="s">
        <v>139</v>
      </c>
      <c r="B136">
        <v>5088579.9718793631</v>
      </c>
      <c r="C136">
        <v>5207488.313629508</v>
      </c>
      <c r="D136">
        <v>4488420.443841815</v>
      </c>
      <c r="E136">
        <v>4521809.4146277905</v>
      </c>
      <c r="F136" t="str">
        <f t="shared" si="4"/>
        <v>140000</v>
      </c>
      <c r="G136" t="str">
        <f t="shared" si="5"/>
        <v>20260318</v>
      </c>
    </row>
    <row r="137" spans="1:7" x14ac:dyDescent="0.3">
      <c r="A137" s="3" t="s">
        <v>140</v>
      </c>
      <c r="B137">
        <v>3005779.8387845159</v>
      </c>
      <c r="C137">
        <v>2364893.1644194722</v>
      </c>
      <c r="D137">
        <v>2613376.0088801384</v>
      </c>
      <c r="E137">
        <v>2002646.3528474569</v>
      </c>
      <c r="F137" t="str">
        <f t="shared" si="4"/>
        <v>150000</v>
      </c>
      <c r="G137" t="str">
        <f t="shared" si="5"/>
        <v>20260318</v>
      </c>
    </row>
    <row r="138" spans="1:7" x14ac:dyDescent="0.3">
      <c r="A138" s="3" t="s">
        <v>141</v>
      </c>
      <c r="B138">
        <v>2445400.8489711285</v>
      </c>
      <c r="C138">
        <v>2651811.9298266172</v>
      </c>
      <c r="D138">
        <v>2120919.6406549215</v>
      </c>
      <c r="E138">
        <v>2309482.6867684722</v>
      </c>
      <c r="F138" t="str">
        <f t="shared" si="4"/>
        <v>160000</v>
      </c>
      <c r="G138" t="str">
        <f t="shared" si="5"/>
        <v>20260318</v>
      </c>
    </row>
    <row r="139" spans="1:7" x14ac:dyDescent="0.3">
      <c r="A139" s="3" t="s">
        <v>142</v>
      </c>
      <c r="B139">
        <v>3789998.4317476153</v>
      </c>
      <c r="C139">
        <v>2872519.4758350849</v>
      </c>
      <c r="D139">
        <v>3296756.5971853733</v>
      </c>
      <c r="E139">
        <v>2407320.7158491611</v>
      </c>
      <c r="F139" t="str">
        <f t="shared" si="4"/>
        <v>170000</v>
      </c>
      <c r="G139" t="str">
        <f t="shared" si="5"/>
        <v>20260318</v>
      </c>
    </row>
    <row r="140" spans="1:7" x14ac:dyDescent="0.3">
      <c r="A140" s="3" t="s">
        <v>143</v>
      </c>
      <c r="B140">
        <v>499615.18216443062</v>
      </c>
      <c r="C140">
        <v>511691.45830523968</v>
      </c>
      <c r="D140">
        <v>385371.24632668495</v>
      </c>
      <c r="E140">
        <v>379607.53471112251</v>
      </c>
      <c r="F140" t="str">
        <f t="shared" si="4"/>
        <v>180000</v>
      </c>
      <c r="G140" t="str">
        <f t="shared" si="5"/>
        <v>20260318</v>
      </c>
    </row>
    <row r="141" spans="1:7" x14ac:dyDescent="0.3">
      <c r="A141" s="3" t="s">
        <v>144</v>
      </c>
      <c r="B141">
        <v>0</v>
      </c>
      <c r="C141">
        <v>0</v>
      </c>
      <c r="D141">
        <v>0</v>
      </c>
      <c r="E141">
        <v>0</v>
      </c>
      <c r="F141" t="str">
        <f t="shared" si="4"/>
        <v>190000</v>
      </c>
      <c r="G141" t="str">
        <f t="shared" si="5"/>
        <v>20260318</v>
      </c>
    </row>
    <row r="142" spans="1:7" x14ac:dyDescent="0.3">
      <c r="A142" s="3" t="s">
        <v>145</v>
      </c>
      <c r="B142">
        <v>2381330.6022664905</v>
      </c>
      <c r="C142">
        <v>2227097.2013472319</v>
      </c>
      <c r="D142">
        <v>784613.69198155403</v>
      </c>
      <c r="E142">
        <v>720560.49379020929</v>
      </c>
      <c r="F142" t="str">
        <f t="shared" si="4"/>
        <v>070000</v>
      </c>
      <c r="G142" t="str">
        <f t="shared" si="5"/>
        <v>20260319</v>
      </c>
    </row>
    <row r="143" spans="1:7" x14ac:dyDescent="0.3">
      <c r="A143" s="3" t="s">
        <v>146</v>
      </c>
      <c r="B143">
        <v>89501.986973762512</v>
      </c>
      <c r="C143">
        <v>178028.08378481865</v>
      </c>
      <c r="D143">
        <v>21575.741165161133</v>
      </c>
      <c r="E143">
        <v>111627.45909118652</v>
      </c>
      <c r="F143" t="str">
        <f t="shared" si="4"/>
        <v>090000</v>
      </c>
      <c r="G143" t="str">
        <f t="shared" si="5"/>
        <v>20260319</v>
      </c>
    </row>
    <row r="144" spans="1:7" x14ac:dyDescent="0.3">
      <c r="A144" s="3" t="s">
        <v>147</v>
      </c>
      <c r="B144">
        <v>232893.01965308189</v>
      </c>
      <c r="C144">
        <v>192726.44128382206</v>
      </c>
      <c r="D144">
        <v>191068.12728309631</v>
      </c>
      <c r="E144">
        <v>147228.94108748436</v>
      </c>
      <c r="F144" t="str">
        <f t="shared" si="4"/>
        <v>100000</v>
      </c>
      <c r="G144" t="str">
        <f t="shared" si="5"/>
        <v>20260319</v>
      </c>
    </row>
    <row r="145" spans="1:7" x14ac:dyDescent="0.3">
      <c r="A145" s="3" t="s">
        <v>148</v>
      </c>
      <c r="B145">
        <v>9939231.2238081694</v>
      </c>
      <c r="C145">
        <v>16145943.023877621</v>
      </c>
      <c r="D145">
        <v>8978792.9483156204</v>
      </c>
      <c r="E145">
        <v>14909448.953486562</v>
      </c>
      <c r="F145" t="str">
        <f t="shared" si="4"/>
        <v>110000</v>
      </c>
      <c r="G145" t="str">
        <f t="shared" si="5"/>
        <v>20260319</v>
      </c>
    </row>
    <row r="146" spans="1:7" x14ac:dyDescent="0.3">
      <c r="A146" s="3" t="s">
        <v>149</v>
      </c>
      <c r="B146">
        <v>19891981.005620956</v>
      </c>
      <c r="C146">
        <v>24512216.890295506</v>
      </c>
      <c r="D146">
        <v>18579742.163083792</v>
      </c>
      <c r="E146">
        <v>23055983.57615757</v>
      </c>
      <c r="F146" t="str">
        <f t="shared" si="4"/>
        <v>120000</v>
      </c>
      <c r="G146" t="str">
        <f t="shared" si="5"/>
        <v>20260319</v>
      </c>
    </row>
    <row r="147" spans="1:7" x14ac:dyDescent="0.3">
      <c r="A147" s="3" t="s">
        <v>150</v>
      </c>
      <c r="B147">
        <v>17412409.430150211</v>
      </c>
      <c r="C147">
        <v>19994356.649935246</v>
      </c>
      <c r="D147">
        <v>16241072.65837121</v>
      </c>
      <c r="E147">
        <v>18659435.16630888</v>
      </c>
      <c r="F147" t="str">
        <f t="shared" si="4"/>
        <v>130000</v>
      </c>
      <c r="G147" t="str">
        <f t="shared" si="5"/>
        <v>20260319</v>
      </c>
    </row>
    <row r="148" spans="1:7" x14ac:dyDescent="0.3">
      <c r="A148" s="3" t="s">
        <v>151</v>
      </c>
      <c r="B148">
        <v>25987301.453079224</v>
      </c>
      <c r="C148">
        <v>22365996.515634537</v>
      </c>
      <c r="D148">
        <v>24512823.625248194</v>
      </c>
      <c r="E148">
        <v>20915541.249255419</v>
      </c>
      <c r="F148" t="str">
        <f t="shared" si="4"/>
        <v>140000</v>
      </c>
      <c r="G148" t="str">
        <f t="shared" si="5"/>
        <v>20260319</v>
      </c>
    </row>
    <row r="149" spans="1:7" x14ac:dyDescent="0.3">
      <c r="A149" s="3" t="s">
        <v>152</v>
      </c>
      <c r="B149">
        <v>13956100.103332281</v>
      </c>
      <c r="C149">
        <v>7825803.7040984631</v>
      </c>
      <c r="D149">
        <v>12861579.624191821</v>
      </c>
      <c r="E149">
        <v>6913548.4311243296</v>
      </c>
      <c r="F149" t="str">
        <f t="shared" si="4"/>
        <v>150000</v>
      </c>
      <c r="G149" t="str">
        <f t="shared" si="5"/>
        <v>20260319</v>
      </c>
    </row>
    <row r="150" spans="1:7" x14ac:dyDescent="0.3">
      <c r="A150" s="3" t="s">
        <v>153</v>
      </c>
      <c r="B150">
        <v>8627048.7557445765</v>
      </c>
      <c r="C150">
        <v>8841982.2977578044</v>
      </c>
      <c r="D150">
        <v>7791465.9873110056</v>
      </c>
      <c r="E150">
        <v>7893204.2624101639</v>
      </c>
      <c r="F150" t="str">
        <f t="shared" si="4"/>
        <v>160000</v>
      </c>
      <c r="G150" t="str">
        <f t="shared" si="5"/>
        <v>20260319</v>
      </c>
    </row>
    <row r="151" spans="1:7" x14ac:dyDescent="0.3">
      <c r="A151" s="3" t="s">
        <v>154</v>
      </c>
      <c r="B151">
        <v>11525541.335730195</v>
      </c>
      <c r="C151">
        <v>11714896.819438696</v>
      </c>
      <c r="D151">
        <v>10737399.08429122</v>
      </c>
      <c r="E151">
        <v>10841933.566082358</v>
      </c>
      <c r="F151" t="str">
        <f t="shared" si="4"/>
        <v>170000</v>
      </c>
      <c r="G151" t="str">
        <f t="shared" si="5"/>
        <v>20260319</v>
      </c>
    </row>
    <row r="152" spans="1:7" x14ac:dyDescent="0.3">
      <c r="A152" s="3" t="s">
        <v>155</v>
      </c>
      <c r="B152">
        <v>2872674.9726440907</v>
      </c>
      <c r="C152">
        <v>2841654.9464743137</v>
      </c>
      <c r="D152">
        <v>2554654.8145099878</v>
      </c>
      <c r="E152">
        <v>2490425.7993696332</v>
      </c>
      <c r="F152" t="str">
        <f t="shared" si="4"/>
        <v>180000</v>
      </c>
      <c r="G152" t="str">
        <f t="shared" si="5"/>
        <v>20260319</v>
      </c>
    </row>
    <row r="153" spans="1:7" x14ac:dyDescent="0.3">
      <c r="A153" s="3" t="s">
        <v>156</v>
      </c>
      <c r="B153">
        <v>0</v>
      </c>
      <c r="C153">
        <v>0</v>
      </c>
      <c r="D153">
        <v>0</v>
      </c>
      <c r="E153">
        <v>0</v>
      </c>
      <c r="F153" t="str">
        <f t="shared" si="4"/>
        <v>190000</v>
      </c>
      <c r="G153" t="str">
        <f t="shared" si="5"/>
        <v>20260319</v>
      </c>
    </row>
    <row r="154" spans="1:7" x14ac:dyDescent="0.3">
      <c r="A154" s="3" t="s">
        <v>157</v>
      </c>
      <c r="B154">
        <v>0</v>
      </c>
      <c r="C154">
        <v>0</v>
      </c>
      <c r="D154">
        <v>0</v>
      </c>
      <c r="E154">
        <v>0</v>
      </c>
      <c r="F154" t="str">
        <f t="shared" si="4"/>
        <v>060000</v>
      </c>
      <c r="G154" t="str">
        <f t="shared" si="5"/>
        <v>20260320</v>
      </c>
    </row>
    <row r="155" spans="1:7" x14ac:dyDescent="0.3">
      <c r="A155" s="3" t="s">
        <v>158</v>
      </c>
      <c r="B155">
        <v>18986.53477370739</v>
      </c>
      <c r="C155">
        <v>17394.515999376774</v>
      </c>
      <c r="D155">
        <v>0</v>
      </c>
      <c r="E155">
        <v>1206.3168334960938</v>
      </c>
      <c r="F155" t="str">
        <f t="shared" si="4"/>
        <v>070000</v>
      </c>
      <c r="G155" t="str">
        <f t="shared" si="5"/>
        <v>20260320</v>
      </c>
    </row>
    <row r="156" spans="1:7" x14ac:dyDescent="0.3">
      <c r="A156" s="3" t="s">
        <v>159</v>
      </c>
      <c r="B156">
        <v>100344.58723640442</v>
      </c>
      <c r="C156">
        <v>75343.125184297562</v>
      </c>
      <c r="D156">
        <v>70608.814300537109</v>
      </c>
      <c r="E156">
        <v>45521.438766479492</v>
      </c>
      <c r="F156" t="str">
        <f t="shared" si="4"/>
        <v>080000</v>
      </c>
      <c r="G156" t="str">
        <f t="shared" si="5"/>
        <v>20260320</v>
      </c>
    </row>
    <row r="157" spans="1:7" x14ac:dyDescent="0.3">
      <c r="A157" s="3" t="s">
        <v>160</v>
      </c>
      <c r="B157">
        <v>31373.121538519859</v>
      </c>
      <c r="C157">
        <v>25097.704500079155</v>
      </c>
      <c r="D157">
        <v>665.73077392578125</v>
      </c>
      <c r="E157">
        <v>1094.4171447753906</v>
      </c>
      <c r="F157" t="str">
        <f t="shared" si="4"/>
        <v>090000</v>
      </c>
      <c r="G157" t="str">
        <f t="shared" si="5"/>
        <v>20260320</v>
      </c>
    </row>
    <row r="158" spans="1:7" x14ac:dyDescent="0.3">
      <c r="A158" s="3" t="s">
        <v>161</v>
      </c>
      <c r="B158">
        <v>4164927.8729596138</v>
      </c>
      <c r="C158">
        <v>3760558.4657180905</v>
      </c>
      <c r="D158">
        <v>3627246.5247440338</v>
      </c>
      <c r="E158">
        <v>3220339.2264258265</v>
      </c>
      <c r="F158" t="str">
        <f t="shared" si="4"/>
        <v>100000</v>
      </c>
      <c r="G158" t="str">
        <f t="shared" si="5"/>
        <v>20260320</v>
      </c>
    </row>
    <row r="159" spans="1:7" x14ac:dyDescent="0.3">
      <c r="A159" s="3" t="s">
        <v>162</v>
      </c>
      <c r="B159">
        <v>17468080.139955521</v>
      </c>
      <c r="C159">
        <v>19110615.395047784</v>
      </c>
      <c r="D159">
        <v>16050994.726481438</v>
      </c>
      <c r="E159">
        <v>17573918.635627866</v>
      </c>
      <c r="F159" t="str">
        <f t="shared" si="4"/>
        <v>110000</v>
      </c>
      <c r="G159" t="str">
        <f t="shared" si="5"/>
        <v>20260320</v>
      </c>
    </row>
    <row r="160" spans="1:7" x14ac:dyDescent="0.3">
      <c r="A160" s="3" t="s">
        <v>163</v>
      </c>
      <c r="B160">
        <v>20685110.048321068</v>
      </c>
      <c r="C160">
        <v>19448908.423660755</v>
      </c>
      <c r="D160">
        <v>19184727.836628258</v>
      </c>
      <c r="E160">
        <v>17979213.253194392</v>
      </c>
      <c r="F160" t="str">
        <f t="shared" si="4"/>
        <v>120000</v>
      </c>
      <c r="G160" t="str">
        <f t="shared" si="5"/>
        <v>20260320</v>
      </c>
    </row>
    <row r="161" spans="1:7" x14ac:dyDescent="0.3">
      <c r="A161" s="3" t="s">
        <v>164</v>
      </c>
      <c r="B161">
        <v>14856647.12944746</v>
      </c>
      <c r="C161">
        <v>14084214.686270297</v>
      </c>
      <c r="D161">
        <v>13572494.162072897</v>
      </c>
      <c r="E161">
        <v>12781919.110742211</v>
      </c>
      <c r="F161" t="str">
        <f t="shared" si="4"/>
        <v>130000</v>
      </c>
      <c r="G161" t="str">
        <f t="shared" si="5"/>
        <v>20260320</v>
      </c>
    </row>
    <row r="162" spans="1:7" x14ac:dyDescent="0.3">
      <c r="A162" s="3" t="s">
        <v>165</v>
      </c>
      <c r="B162">
        <v>18176650.150565147</v>
      </c>
      <c r="C162">
        <v>21784185.807488203</v>
      </c>
      <c r="D162">
        <v>16894864.003411114</v>
      </c>
      <c r="E162">
        <v>20432630.98257494</v>
      </c>
      <c r="F162" t="str">
        <f t="shared" si="4"/>
        <v>140000</v>
      </c>
      <c r="G162" t="str">
        <f t="shared" si="5"/>
        <v>20260320</v>
      </c>
    </row>
    <row r="163" spans="1:7" x14ac:dyDescent="0.3">
      <c r="A163" s="3" t="s">
        <v>166</v>
      </c>
      <c r="B163">
        <v>23667262.436797142</v>
      </c>
      <c r="C163">
        <v>29865566.076160431</v>
      </c>
      <c r="D163">
        <v>22385430.229818344</v>
      </c>
      <c r="E163">
        <v>28506389.102817416</v>
      </c>
      <c r="F163" t="str">
        <f t="shared" si="4"/>
        <v>150000</v>
      </c>
      <c r="G163" t="str">
        <f t="shared" si="5"/>
        <v>20260320</v>
      </c>
    </row>
    <row r="164" spans="1:7" x14ac:dyDescent="0.3">
      <c r="A164" s="3" t="s">
        <v>167</v>
      </c>
      <c r="B164">
        <v>13811491.76021862</v>
      </c>
      <c r="C164">
        <v>13623480.395697594</v>
      </c>
      <c r="D164">
        <v>12320694.393933296</v>
      </c>
      <c r="E164">
        <v>12116817.241020739</v>
      </c>
      <c r="F164" t="str">
        <f t="shared" si="4"/>
        <v>160000</v>
      </c>
      <c r="G164" t="str">
        <f t="shared" si="5"/>
        <v>20260320</v>
      </c>
    </row>
    <row r="165" spans="1:7" x14ac:dyDescent="0.3">
      <c r="A165" s="3" t="s">
        <v>168</v>
      </c>
      <c r="B165">
        <v>20549411.664868832</v>
      </c>
      <c r="C165">
        <v>19951993.912020445</v>
      </c>
      <c r="D165">
        <v>19424506.554961443</v>
      </c>
      <c r="E165">
        <v>18791554.465418816</v>
      </c>
      <c r="F165" t="str">
        <f t="shared" si="4"/>
        <v>170000</v>
      </c>
      <c r="G165" t="str">
        <f t="shared" si="5"/>
        <v>20260320</v>
      </c>
    </row>
    <row r="166" spans="1:7" x14ac:dyDescent="0.3">
      <c r="A166" s="3" t="s">
        <v>169</v>
      </c>
      <c r="B166">
        <v>13306275.112574279</v>
      </c>
      <c r="C166">
        <v>11635839.050911009</v>
      </c>
      <c r="D166">
        <v>12458769.74118197</v>
      </c>
      <c r="E166">
        <v>10788428.358893752</v>
      </c>
      <c r="F166" t="str">
        <f t="shared" si="4"/>
        <v>180000</v>
      </c>
      <c r="G166" t="str">
        <f t="shared" si="5"/>
        <v>20260320</v>
      </c>
    </row>
    <row r="167" spans="1:7" x14ac:dyDescent="0.3">
      <c r="A167" s="3" t="s">
        <v>170</v>
      </c>
      <c r="B167">
        <v>0</v>
      </c>
      <c r="C167">
        <v>0</v>
      </c>
      <c r="D167">
        <v>0</v>
      </c>
      <c r="E167">
        <v>0</v>
      </c>
      <c r="F167" t="str">
        <f t="shared" si="4"/>
        <v>190000</v>
      </c>
      <c r="G167" t="str">
        <f t="shared" si="5"/>
        <v>20260320</v>
      </c>
    </row>
    <row r="168" spans="1:7" x14ac:dyDescent="0.3">
      <c r="A168" s="3" t="s">
        <v>171</v>
      </c>
      <c r="B168">
        <v>0</v>
      </c>
      <c r="C168">
        <v>0</v>
      </c>
      <c r="D168">
        <v>0</v>
      </c>
      <c r="E168">
        <v>0</v>
      </c>
      <c r="F168" t="str">
        <f t="shared" si="4"/>
        <v>060000</v>
      </c>
      <c r="G168" t="str">
        <f t="shared" si="5"/>
        <v>20260321</v>
      </c>
    </row>
    <row r="169" spans="1:7" x14ac:dyDescent="0.3">
      <c r="A169" s="3" t="s">
        <v>172</v>
      </c>
      <c r="B169">
        <v>18338.14899289608</v>
      </c>
      <c r="C169">
        <v>20606.799908280373</v>
      </c>
      <c r="D169">
        <v>381.87408447265625</v>
      </c>
      <c r="E169">
        <v>0</v>
      </c>
      <c r="F169" t="str">
        <f t="shared" si="4"/>
        <v>070000</v>
      </c>
      <c r="G169" t="str">
        <f t="shared" si="5"/>
        <v>20260321</v>
      </c>
    </row>
    <row r="170" spans="1:7" x14ac:dyDescent="0.3">
      <c r="A170" s="3" t="s">
        <v>173</v>
      </c>
      <c r="B170">
        <v>94494.192663133144</v>
      </c>
      <c r="C170">
        <v>93966.042770802975</v>
      </c>
      <c r="D170">
        <v>70434.178497314453</v>
      </c>
      <c r="E170">
        <v>70279.398712158203</v>
      </c>
      <c r="F170" t="str">
        <f t="shared" si="4"/>
        <v>080000</v>
      </c>
      <c r="G170" t="str">
        <f t="shared" si="5"/>
        <v>20260321</v>
      </c>
    </row>
    <row r="171" spans="1:7" x14ac:dyDescent="0.3">
      <c r="A171" s="3" t="s">
        <v>174</v>
      </c>
      <c r="B171">
        <v>1828034.0775002241</v>
      </c>
      <c r="C171">
        <v>2003973.0291119218</v>
      </c>
      <c r="D171">
        <v>1468929.4306466579</v>
      </c>
      <c r="E171">
        <v>1577488.9861903191</v>
      </c>
      <c r="F171" t="str">
        <f t="shared" si="4"/>
        <v>090000</v>
      </c>
      <c r="G171" t="str">
        <f t="shared" si="5"/>
        <v>20260321</v>
      </c>
    </row>
    <row r="172" spans="1:7" x14ac:dyDescent="0.3">
      <c r="A172" s="3" t="s">
        <v>175</v>
      </c>
      <c r="B172">
        <v>1970054.5218003392</v>
      </c>
      <c r="C172">
        <v>2339574.132343173</v>
      </c>
      <c r="D172">
        <v>1683941.916138649</v>
      </c>
      <c r="E172">
        <v>1967082.2547199726</v>
      </c>
      <c r="F172" t="str">
        <f t="shared" si="4"/>
        <v>100000</v>
      </c>
      <c r="G172" t="str">
        <f t="shared" si="5"/>
        <v>20260321</v>
      </c>
    </row>
    <row r="173" spans="1:7" x14ac:dyDescent="0.3">
      <c r="A173" s="3" t="s">
        <v>176</v>
      </c>
      <c r="B173">
        <v>16410381.677278042</v>
      </c>
      <c r="C173">
        <v>19292586.166143537</v>
      </c>
      <c r="D173">
        <v>15141688.257556558</v>
      </c>
      <c r="E173">
        <v>17837136.564701676</v>
      </c>
      <c r="F173" t="str">
        <f t="shared" si="4"/>
        <v>110000</v>
      </c>
      <c r="G173" t="str">
        <f t="shared" si="5"/>
        <v>20260321</v>
      </c>
    </row>
    <row r="174" spans="1:7" x14ac:dyDescent="0.3">
      <c r="A174" s="3" t="s">
        <v>177</v>
      </c>
      <c r="B174">
        <v>19468574.951353371</v>
      </c>
      <c r="C174">
        <v>21943354.854658604</v>
      </c>
      <c r="D174">
        <v>18062482.452353001</v>
      </c>
      <c r="E174">
        <v>20451170.882905006</v>
      </c>
      <c r="F174" t="str">
        <f t="shared" si="4"/>
        <v>120000</v>
      </c>
      <c r="G174" t="str">
        <f t="shared" si="5"/>
        <v>20260321</v>
      </c>
    </row>
    <row r="175" spans="1:7" x14ac:dyDescent="0.3">
      <c r="A175" s="3" t="s">
        <v>178</v>
      </c>
      <c r="B175">
        <v>22153408.531638026</v>
      </c>
      <c r="C175">
        <v>22742301.312701404</v>
      </c>
      <c r="D175">
        <v>20796504.974128008</v>
      </c>
      <c r="E175">
        <v>21313590.960193157</v>
      </c>
      <c r="F175" t="str">
        <f t="shared" si="4"/>
        <v>130000</v>
      </c>
      <c r="G175" t="str">
        <f t="shared" si="5"/>
        <v>20260321</v>
      </c>
    </row>
    <row r="176" spans="1:7" x14ac:dyDescent="0.3">
      <c r="A176" s="3" t="s">
        <v>179</v>
      </c>
      <c r="B176">
        <v>24982134.900856018</v>
      </c>
      <c r="C176">
        <v>29422869.557142258</v>
      </c>
      <c r="D176">
        <v>23713484.916539192</v>
      </c>
      <c r="E176">
        <v>27983331.534703255</v>
      </c>
      <c r="F176" t="str">
        <f t="shared" si="4"/>
        <v>140000</v>
      </c>
      <c r="G176" t="str">
        <f t="shared" si="5"/>
        <v>20260321</v>
      </c>
    </row>
    <row r="177" spans="1:7" x14ac:dyDescent="0.3">
      <c r="A177" s="3" t="s">
        <v>180</v>
      </c>
      <c r="B177">
        <v>24245087.922635019</v>
      </c>
      <c r="C177">
        <v>22470343.015841246</v>
      </c>
      <c r="D177">
        <v>22873502.120970964</v>
      </c>
      <c r="E177">
        <v>20954566.498408437</v>
      </c>
      <c r="F177" t="str">
        <f t="shared" si="4"/>
        <v>150000</v>
      </c>
      <c r="G177" t="str">
        <f t="shared" si="5"/>
        <v>20260321</v>
      </c>
    </row>
    <row r="178" spans="1:7" x14ac:dyDescent="0.3">
      <c r="A178" s="3" t="s">
        <v>181</v>
      </c>
      <c r="B178">
        <v>13482451.622942626</v>
      </c>
      <c r="C178">
        <v>11291039.491959453</v>
      </c>
      <c r="D178">
        <v>12398351.733998299</v>
      </c>
      <c r="E178">
        <v>10245136.346580029</v>
      </c>
      <c r="F178" t="str">
        <f t="shared" si="4"/>
        <v>160000</v>
      </c>
      <c r="G178" t="str">
        <f t="shared" si="5"/>
        <v>20260321</v>
      </c>
    </row>
    <row r="179" spans="1:7" x14ac:dyDescent="0.3">
      <c r="A179" s="3" t="s">
        <v>182</v>
      </c>
      <c r="B179">
        <v>10042320.727199316</v>
      </c>
      <c r="C179">
        <v>8750673.2904202938</v>
      </c>
      <c r="D179">
        <v>9165287.0213022232</v>
      </c>
      <c r="E179">
        <v>7869664.8857908249</v>
      </c>
      <c r="F179" t="str">
        <f t="shared" si="4"/>
        <v>170000</v>
      </c>
      <c r="G179" t="str">
        <f t="shared" si="5"/>
        <v>20260321</v>
      </c>
    </row>
    <row r="180" spans="1:7" x14ac:dyDescent="0.3">
      <c r="A180" s="3" t="s">
        <v>183</v>
      </c>
      <c r="B180">
        <v>1482931.2577645779</v>
      </c>
      <c r="C180">
        <v>966128.19658780098</v>
      </c>
      <c r="D180">
        <v>1327154.6022168994</v>
      </c>
      <c r="E180">
        <v>811891.35620307922</v>
      </c>
      <c r="F180" t="str">
        <f t="shared" si="4"/>
        <v>180000</v>
      </c>
      <c r="G180" t="str">
        <f t="shared" si="5"/>
        <v>20260321</v>
      </c>
    </row>
    <row r="181" spans="1:7" x14ac:dyDescent="0.3">
      <c r="A181" s="3" t="s">
        <v>184</v>
      </c>
      <c r="B181">
        <v>0</v>
      </c>
      <c r="C181">
        <v>0</v>
      </c>
      <c r="D181">
        <v>0</v>
      </c>
      <c r="E181">
        <v>0</v>
      </c>
      <c r="F181" t="str">
        <f t="shared" si="4"/>
        <v>190000</v>
      </c>
      <c r="G181" t="str">
        <f t="shared" si="5"/>
        <v>20260321</v>
      </c>
    </row>
    <row r="182" spans="1:7" x14ac:dyDescent="0.3">
      <c r="A182" s="3" t="s">
        <v>185</v>
      </c>
      <c r="B182">
        <v>0</v>
      </c>
      <c r="C182">
        <v>0</v>
      </c>
      <c r="D182">
        <v>0</v>
      </c>
      <c r="E182">
        <v>0</v>
      </c>
      <c r="F182" t="str">
        <f t="shared" si="4"/>
        <v>060000</v>
      </c>
      <c r="G182" t="str">
        <f t="shared" si="5"/>
        <v>20260322</v>
      </c>
    </row>
    <row r="183" spans="1:7" x14ac:dyDescent="0.3">
      <c r="A183" s="3" t="s">
        <v>186</v>
      </c>
      <c r="B183">
        <v>4913.1766184568405</v>
      </c>
      <c r="C183">
        <v>5035.1047015786171</v>
      </c>
      <c r="D183">
        <v>0</v>
      </c>
      <c r="E183">
        <v>0</v>
      </c>
      <c r="F183" t="str">
        <f t="shared" si="4"/>
        <v>070000</v>
      </c>
      <c r="G183" t="str">
        <f t="shared" si="5"/>
        <v>20260322</v>
      </c>
    </row>
    <row r="184" spans="1:7" x14ac:dyDescent="0.3">
      <c r="A184" s="3" t="s">
        <v>187</v>
      </c>
      <c r="B184">
        <v>83603.951650679111</v>
      </c>
      <c r="C184">
        <v>96508.622759997845</v>
      </c>
      <c r="D184">
        <v>50533.518518447876</v>
      </c>
      <c r="E184">
        <v>54748.966804385185</v>
      </c>
      <c r="F184" t="str">
        <f t="shared" si="4"/>
        <v>080000</v>
      </c>
      <c r="G184" t="str">
        <f t="shared" si="5"/>
        <v>20260322</v>
      </c>
    </row>
    <row r="185" spans="1:7" x14ac:dyDescent="0.3">
      <c r="A185" s="3" t="s">
        <v>188</v>
      </c>
      <c r="B185">
        <v>22789.828587532043</v>
      </c>
      <c r="C185">
        <v>19765.131915569305</v>
      </c>
      <c r="D185">
        <v>5878.9109191894531</v>
      </c>
      <c r="E185">
        <v>1950.1586303710938</v>
      </c>
      <c r="F185" t="str">
        <f t="shared" si="4"/>
        <v>090000</v>
      </c>
      <c r="G185" t="str">
        <f t="shared" si="5"/>
        <v>20260322</v>
      </c>
    </row>
    <row r="186" spans="1:7" x14ac:dyDescent="0.3">
      <c r="A186" s="3" t="s">
        <v>189</v>
      </c>
      <c r="B186">
        <v>3242597.6060264707</v>
      </c>
      <c r="C186">
        <v>3117154.7270153761</v>
      </c>
      <c r="D186">
        <v>2818599.3162064552</v>
      </c>
      <c r="E186">
        <v>2638452.9982548952</v>
      </c>
      <c r="F186" t="str">
        <f t="shared" si="4"/>
        <v>100000</v>
      </c>
      <c r="G186" t="str">
        <f t="shared" si="5"/>
        <v>20260322</v>
      </c>
    </row>
    <row r="187" spans="1:7" x14ac:dyDescent="0.3">
      <c r="A187" s="3" t="s">
        <v>190</v>
      </c>
      <c r="B187">
        <v>4683663.3079341054</v>
      </c>
      <c r="C187">
        <v>4645950.2756292224</v>
      </c>
      <c r="D187">
        <v>4181074.2408730984</v>
      </c>
      <c r="E187">
        <v>4129091.0481938124</v>
      </c>
      <c r="F187" t="str">
        <f t="shared" si="4"/>
        <v>110000</v>
      </c>
      <c r="G187" t="str">
        <f t="shared" si="5"/>
        <v>20260322</v>
      </c>
    </row>
    <row r="188" spans="1:7" x14ac:dyDescent="0.3">
      <c r="A188" s="3" t="s">
        <v>191</v>
      </c>
      <c r="B188">
        <v>12702019.980433285</v>
      </c>
      <c r="C188">
        <v>12307601.303869784</v>
      </c>
      <c r="D188">
        <v>11553902.72860539</v>
      </c>
      <c r="E188">
        <v>11086055.524187565</v>
      </c>
      <c r="F188" t="str">
        <f t="shared" si="4"/>
        <v>120000</v>
      </c>
      <c r="G188" t="str">
        <f t="shared" si="5"/>
        <v>20260322</v>
      </c>
    </row>
    <row r="189" spans="1:7" x14ac:dyDescent="0.3">
      <c r="A189" s="3" t="s">
        <v>192</v>
      </c>
      <c r="B189">
        <v>18095218.39729023</v>
      </c>
      <c r="C189">
        <v>17866654.590235114</v>
      </c>
      <c r="D189">
        <v>16873844.634045899</v>
      </c>
      <c r="E189">
        <v>16505139.281252742</v>
      </c>
      <c r="F189" t="str">
        <f t="shared" si="4"/>
        <v>130000</v>
      </c>
      <c r="G189" t="str">
        <f t="shared" si="5"/>
        <v>20260322</v>
      </c>
    </row>
    <row r="190" spans="1:7" x14ac:dyDescent="0.3">
      <c r="A190" s="3" t="s">
        <v>193</v>
      </c>
      <c r="B190">
        <v>31386438.024108887</v>
      </c>
      <c r="C190">
        <v>30914587.757535934</v>
      </c>
      <c r="D190">
        <v>30228748.137083054</v>
      </c>
      <c r="E190">
        <v>29620001.157513857</v>
      </c>
      <c r="F190" t="str">
        <f t="shared" si="4"/>
        <v>140000</v>
      </c>
      <c r="G190" t="str">
        <f t="shared" si="5"/>
        <v>20260322</v>
      </c>
    </row>
    <row r="191" spans="1:7" x14ac:dyDescent="0.3">
      <c r="A191" s="3" t="s">
        <v>194</v>
      </c>
      <c r="B191">
        <v>16424264.828371763</v>
      </c>
      <c r="C191">
        <v>19122796.276696086</v>
      </c>
      <c r="D191">
        <v>15235970.147269428</v>
      </c>
      <c r="E191">
        <v>17785395.703823447</v>
      </c>
      <c r="F191" t="str">
        <f t="shared" si="4"/>
        <v>150000</v>
      </c>
      <c r="G191" t="str">
        <f t="shared" si="5"/>
        <v>20260322</v>
      </c>
    </row>
    <row r="192" spans="1:7" x14ac:dyDescent="0.3">
      <c r="A192" s="3" t="s">
        <v>195</v>
      </c>
      <c r="B192">
        <v>11715948.370751977</v>
      </c>
      <c r="C192">
        <v>11330108.604807734</v>
      </c>
      <c r="D192">
        <v>10621226.957215428</v>
      </c>
      <c r="E192">
        <v>10123871.213277698</v>
      </c>
      <c r="F192" t="str">
        <f t="shared" si="4"/>
        <v>160000</v>
      </c>
      <c r="G192" t="str">
        <f t="shared" si="5"/>
        <v>20260322</v>
      </c>
    </row>
    <row r="193" spans="1:7" x14ac:dyDescent="0.3">
      <c r="A193" s="3" t="s">
        <v>196</v>
      </c>
      <c r="B193">
        <v>8595678.8819565177</v>
      </c>
      <c r="C193">
        <v>8396948.7539355755</v>
      </c>
      <c r="D193">
        <v>7759706.2716717124</v>
      </c>
      <c r="E193">
        <v>7579377.0869182944</v>
      </c>
      <c r="F193" t="str">
        <f t="shared" si="4"/>
        <v>170000</v>
      </c>
      <c r="G193" t="str">
        <f t="shared" si="5"/>
        <v>20260322</v>
      </c>
    </row>
    <row r="194" spans="1:7" x14ac:dyDescent="0.3">
      <c r="A194" s="3" t="s">
        <v>197</v>
      </c>
      <c r="B194">
        <v>2611885.0287513733</v>
      </c>
      <c r="C194">
        <v>1662699.8348169923</v>
      </c>
      <c r="D194">
        <v>2282257.5017217994</v>
      </c>
      <c r="E194">
        <v>1344643.9196311235</v>
      </c>
      <c r="F194" t="str">
        <f t="shared" ref="F194:F257" si="6">_xlfn.TEXTBEFORE(_xlfn.TEXTAFTER($A194,"_",2),".",1)</f>
        <v>180000</v>
      </c>
      <c r="G194" t="str">
        <f t="shared" ref="G194:G257" si="7">_xlfn.TEXTBEFORE(_xlfn.TEXTAFTER($A194,"_",1),"_",1)</f>
        <v>20260322</v>
      </c>
    </row>
    <row r="195" spans="1:7" x14ac:dyDescent="0.3">
      <c r="A195" s="3" t="s">
        <v>198</v>
      </c>
      <c r="B195">
        <v>0</v>
      </c>
      <c r="C195">
        <v>0</v>
      </c>
      <c r="D195">
        <v>0</v>
      </c>
      <c r="E195">
        <v>0</v>
      </c>
      <c r="F195" t="str">
        <f t="shared" si="6"/>
        <v>190000</v>
      </c>
      <c r="G195" t="str">
        <f t="shared" si="7"/>
        <v>20260322</v>
      </c>
    </row>
    <row r="196" spans="1:7" x14ac:dyDescent="0.3">
      <c r="A196" s="3" t="s">
        <v>199</v>
      </c>
      <c r="B196">
        <v>0</v>
      </c>
      <c r="C196">
        <v>0</v>
      </c>
      <c r="D196">
        <v>0</v>
      </c>
      <c r="E196">
        <v>0</v>
      </c>
      <c r="F196" t="str">
        <f t="shared" si="6"/>
        <v>060000</v>
      </c>
      <c r="G196" t="str">
        <f t="shared" si="7"/>
        <v>20260323</v>
      </c>
    </row>
    <row r="197" spans="1:7" x14ac:dyDescent="0.3">
      <c r="A197" s="3" t="s">
        <v>200</v>
      </c>
      <c r="B197">
        <v>18394.239746212959</v>
      </c>
      <c r="C197">
        <v>14139.376463651657</v>
      </c>
      <c r="D197">
        <v>0</v>
      </c>
      <c r="E197">
        <v>0</v>
      </c>
      <c r="F197" t="str">
        <f t="shared" si="6"/>
        <v>070000</v>
      </c>
      <c r="G197" t="str">
        <f t="shared" si="7"/>
        <v>20260323</v>
      </c>
    </row>
    <row r="198" spans="1:7" x14ac:dyDescent="0.3">
      <c r="A198" s="3" t="s">
        <v>201</v>
      </c>
      <c r="B198">
        <v>99155.412628173828</v>
      </c>
      <c r="C198">
        <v>120450.46937596798</v>
      </c>
      <c r="D198">
        <v>47237.05092048645</v>
      </c>
      <c r="E198">
        <v>50416.977345466614</v>
      </c>
      <c r="F198" t="str">
        <f t="shared" si="6"/>
        <v>080000</v>
      </c>
      <c r="G198" t="str">
        <f t="shared" si="7"/>
        <v>20260323</v>
      </c>
    </row>
    <row r="199" spans="1:7" x14ac:dyDescent="0.3">
      <c r="A199" s="3" t="s">
        <v>202</v>
      </c>
      <c r="B199">
        <v>78919.678647637367</v>
      </c>
      <c r="C199">
        <v>115377.84920251369</v>
      </c>
      <c r="D199">
        <v>36593.653137207031</v>
      </c>
      <c r="E199">
        <v>64765.573104858398</v>
      </c>
      <c r="F199" t="str">
        <f t="shared" si="6"/>
        <v>090000</v>
      </c>
      <c r="G199" t="str">
        <f t="shared" si="7"/>
        <v>20260323</v>
      </c>
    </row>
    <row r="200" spans="1:7" x14ac:dyDescent="0.3">
      <c r="A200" s="3" t="s">
        <v>203</v>
      </c>
      <c r="B200">
        <v>10136040.287217319</v>
      </c>
      <c r="C200">
        <v>18319567.486450255</v>
      </c>
      <c r="D200">
        <v>9128432.7012951374</v>
      </c>
      <c r="E200">
        <v>16958102.391959429</v>
      </c>
      <c r="F200" t="str">
        <f t="shared" si="6"/>
        <v>100000</v>
      </c>
      <c r="G200" t="str">
        <f t="shared" si="7"/>
        <v>20260323</v>
      </c>
    </row>
    <row r="201" spans="1:7" x14ac:dyDescent="0.3">
      <c r="A201" s="3" t="s">
        <v>204</v>
      </c>
      <c r="B201">
        <v>13839498.888140142</v>
      </c>
      <c r="C201">
        <v>16308535.153655291</v>
      </c>
      <c r="D201">
        <v>12504243.370382905</v>
      </c>
      <c r="E201">
        <v>14917213.495163381</v>
      </c>
      <c r="F201" t="str">
        <f t="shared" si="6"/>
        <v>110000</v>
      </c>
      <c r="G201" t="str">
        <f t="shared" si="7"/>
        <v>20260323</v>
      </c>
    </row>
    <row r="202" spans="1:7" x14ac:dyDescent="0.3">
      <c r="A202" s="3" t="s">
        <v>205</v>
      </c>
      <c r="B202">
        <v>19557390.526940227</v>
      </c>
      <c r="C202">
        <v>23325527.260193348</v>
      </c>
      <c r="D202">
        <v>18098155.507376969</v>
      </c>
      <c r="E202">
        <v>21642702.241095304</v>
      </c>
      <c r="F202" t="str">
        <f t="shared" si="6"/>
        <v>120000</v>
      </c>
      <c r="G202" t="str">
        <f t="shared" si="7"/>
        <v>20260323</v>
      </c>
    </row>
    <row r="203" spans="1:7" x14ac:dyDescent="0.3">
      <c r="A203" s="3" t="s">
        <v>206</v>
      </c>
      <c r="B203">
        <v>21331683.403054714</v>
      </c>
      <c r="C203">
        <v>21980156.260255814</v>
      </c>
      <c r="D203">
        <v>19933698.487493753</v>
      </c>
      <c r="E203">
        <v>20497543.195296049</v>
      </c>
      <c r="F203" t="str">
        <f t="shared" si="6"/>
        <v>130000</v>
      </c>
      <c r="G203" t="str">
        <f t="shared" si="7"/>
        <v>20260323</v>
      </c>
    </row>
    <row r="204" spans="1:7" x14ac:dyDescent="0.3">
      <c r="A204" s="3" t="s">
        <v>207</v>
      </c>
      <c r="B204">
        <v>24123131.021523714</v>
      </c>
      <c r="C204">
        <v>23981049.818897009</v>
      </c>
      <c r="D204">
        <v>22694499.003260255</v>
      </c>
      <c r="E204">
        <v>22418902.264966011</v>
      </c>
      <c r="F204" t="str">
        <f t="shared" si="6"/>
        <v>140000</v>
      </c>
      <c r="G204" t="str">
        <f t="shared" si="7"/>
        <v>20260323</v>
      </c>
    </row>
    <row r="205" spans="1:7" x14ac:dyDescent="0.3">
      <c r="A205" s="3" t="s">
        <v>208</v>
      </c>
      <c r="B205">
        <v>21522187.806307793</v>
      </c>
      <c r="C205">
        <v>23245780.180547953</v>
      </c>
      <c r="D205">
        <v>20264625.853125215</v>
      </c>
      <c r="E205">
        <v>21883683.939491272</v>
      </c>
      <c r="F205" t="str">
        <f t="shared" si="6"/>
        <v>150000</v>
      </c>
      <c r="G205" t="str">
        <f t="shared" si="7"/>
        <v>20260323</v>
      </c>
    </row>
    <row r="206" spans="1:7" x14ac:dyDescent="0.3">
      <c r="A206" s="3" t="s">
        <v>209</v>
      </c>
      <c r="B206">
        <v>13102291.113916159</v>
      </c>
      <c r="C206">
        <v>13960534.003495216</v>
      </c>
      <c r="D206">
        <v>11997119.386372805</v>
      </c>
      <c r="E206">
        <v>12767359.066292524</v>
      </c>
      <c r="F206" t="str">
        <f t="shared" si="6"/>
        <v>160000</v>
      </c>
      <c r="G206" t="str">
        <f t="shared" si="7"/>
        <v>20260323</v>
      </c>
    </row>
    <row r="207" spans="1:7" x14ac:dyDescent="0.3">
      <c r="A207" s="3" t="s">
        <v>210</v>
      </c>
      <c r="B207">
        <v>12329552.653376818</v>
      </c>
      <c r="C207">
        <v>11999471.013529539</v>
      </c>
      <c r="D207">
        <v>11451847.892483711</v>
      </c>
      <c r="E207">
        <v>11116346.028734744</v>
      </c>
      <c r="F207" t="str">
        <f t="shared" si="6"/>
        <v>170000</v>
      </c>
      <c r="G207" t="str">
        <f t="shared" si="7"/>
        <v>20260323</v>
      </c>
    </row>
    <row r="208" spans="1:7" x14ac:dyDescent="0.3">
      <c r="A208" s="3" t="s">
        <v>211</v>
      </c>
      <c r="B208">
        <v>15451984.290868759</v>
      </c>
      <c r="C208">
        <v>15871958.310135484</v>
      </c>
      <c r="D208">
        <v>14418957.840808034</v>
      </c>
      <c r="E208">
        <v>14856677.059732437</v>
      </c>
      <c r="F208" t="str">
        <f t="shared" si="6"/>
        <v>180000</v>
      </c>
      <c r="G208" t="str">
        <f t="shared" si="7"/>
        <v>20260323</v>
      </c>
    </row>
    <row r="209" spans="1:7" x14ac:dyDescent="0.3">
      <c r="A209" s="3" t="s">
        <v>212</v>
      </c>
      <c r="B209">
        <v>0</v>
      </c>
      <c r="C209">
        <v>0</v>
      </c>
      <c r="D209">
        <v>0</v>
      </c>
      <c r="E209">
        <v>0</v>
      </c>
      <c r="F209" t="str">
        <f t="shared" si="6"/>
        <v>190000</v>
      </c>
      <c r="G209" t="str">
        <f t="shared" si="7"/>
        <v>20260323</v>
      </c>
    </row>
    <row r="210" spans="1:7" x14ac:dyDescent="0.3">
      <c r="A210" s="3" t="s">
        <v>213</v>
      </c>
      <c r="B210">
        <v>0</v>
      </c>
      <c r="C210">
        <v>25.226841926574707</v>
      </c>
      <c r="D210">
        <v>0</v>
      </c>
      <c r="E210">
        <v>0</v>
      </c>
      <c r="F210" t="str">
        <f t="shared" si="6"/>
        <v>060000</v>
      </c>
      <c r="G210" t="str">
        <f t="shared" si="7"/>
        <v>20260324</v>
      </c>
    </row>
    <row r="211" spans="1:7" x14ac:dyDescent="0.3">
      <c r="A211" s="3" t="s">
        <v>214</v>
      </c>
      <c r="B211">
        <v>131362.83661013842</v>
      </c>
      <c r="C211">
        <v>100925.2334407568</v>
      </c>
      <c r="D211">
        <v>88943.408096313477</v>
      </c>
      <c r="E211">
        <v>64088.195846557617</v>
      </c>
      <c r="F211" t="str">
        <f t="shared" si="6"/>
        <v>070000</v>
      </c>
      <c r="G211" t="str">
        <f t="shared" si="7"/>
        <v>20260324</v>
      </c>
    </row>
    <row r="212" spans="1:7" x14ac:dyDescent="0.3">
      <c r="A212" s="3" t="s">
        <v>215</v>
      </c>
      <c r="B212">
        <v>54782.816131472588</v>
      </c>
      <c r="C212">
        <v>50438.791130423546</v>
      </c>
      <c r="D212">
        <v>17892.047317504883</v>
      </c>
      <c r="E212">
        <v>12079.860046386719</v>
      </c>
      <c r="F212" t="str">
        <f t="shared" si="6"/>
        <v>080000</v>
      </c>
      <c r="G212" t="str">
        <f t="shared" si="7"/>
        <v>20260324</v>
      </c>
    </row>
    <row r="213" spans="1:7" x14ac:dyDescent="0.3">
      <c r="A213" s="3" t="s">
        <v>216</v>
      </c>
      <c r="B213">
        <v>1551513.4866242409</v>
      </c>
      <c r="C213">
        <v>1534668.2340028286</v>
      </c>
      <c r="D213">
        <v>1247262.0773832202</v>
      </c>
      <c r="E213">
        <v>1204496.3483997583</v>
      </c>
      <c r="F213" t="str">
        <f t="shared" si="6"/>
        <v>090000</v>
      </c>
      <c r="G213" t="str">
        <f t="shared" si="7"/>
        <v>20260324</v>
      </c>
    </row>
    <row r="214" spans="1:7" x14ac:dyDescent="0.3">
      <c r="A214" s="3" t="s">
        <v>217</v>
      </c>
      <c r="B214">
        <v>6478170.2166575193</v>
      </c>
      <c r="C214">
        <v>7699420.2280808091</v>
      </c>
      <c r="D214">
        <v>5427346.3280693889</v>
      </c>
      <c r="E214">
        <v>6595604.6719878316</v>
      </c>
      <c r="F214" t="str">
        <f t="shared" si="6"/>
        <v>100000</v>
      </c>
      <c r="G214" t="str">
        <f t="shared" si="7"/>
        <v>20260324</v>
      </c>
    </row>
    <row r="215" spans="1:7" x14ac:dyDescent="0.3">
      <c r="A215" s="3" t="s">
        <v>218</v>
      </c>
      <c r="B215">
        <v>11451551.07701242</v>
      </c>
      <c r="C215">
        <v>7802076.1105520725</v>
      </c>
      <c r="D215">
        <v>10498214.127761841</v>
      </c>
      <c r="E215">
        <v>7016051.1648417115</v>
      </c>
      <c r="F215" t="str">
        <f t="shared" si="6"/>
        <v>110000</v>
      </c>
      <c r="G215" t="str">
        <f t="shared" si="7"/>
        <v>20260324</v>
      </c>
    </row>
    <row r="216" spans="1:7" x14ac:dyDescent="0.3">
      <c r="A216" s="3" t="s">
        <v>219</v>
      </c>
      <c r="B216">
        <v>14413459.488967061</v>
      </c>
      <c r="C216">
        <v>17543124.579570115</v>
      </c>
      <c r="D216">
        <v>13154060.16708672</v>
      </c>
      <c r="E216">
        <v>16149723.84356302</v>
      </c>
      <c r="F216" t="str">
        <f t="shared" si="6"/>
        <v>120000</v>
      </c>
      <c r="G216" t="str">
        <f t="shared" si="7"/>
        <v>20260324</v>
      </c>
    </row>
    <row r="217" spans="1:7" x14ac:dyDescent="0.3">
      <c r="A217" s="3" t="s">
        <v>220</v>
      </c>
      <c r="B217">
        <v>20099286.089137793</v>
      </c>
      <c r="C217">
        <v>20998884.63790381</v>
      </c>
      <c r="D217">
        <v>18830596.010698795</v>
      </c>
      <c r="E217">
        <v>19572270.959468365</v>
      </c>
      <c r="F217" t="str">
        <f t="shared" si="6"/>
        <v>130000</v>
      </c>
      <c r="G217" t="str">
        <f t="shared" si="7"/>
        <v>20260324</v>
      </c>
    </row>
    <row r="218" spans="1:7" x14ac:dyDescent="0.3">
      <c r="A218" s="3" t="s">
        <v>221</v>
      </c>
      <c r="B218">
        <v>28983013.177396774</v>
      </c>
      <c r="C218">
        <v>32368291.848356247</v>
      </c>
      <c r="D218">
        <v>27892906.282486439</v>
      </c>
      <c r="E218">
        <v>31108638.165073752</v>
      </c>
      <c r="F218" t="str">
        <f t="shared" si="6"/>
        <v>140000</v>
      </c>
      <c r="G218" t="str">
        <f t="shared" si="7"/>
        <v>20260324</v>
      </c>
    </row>
    <row r="219" spans="1:7" x14ac:dyDescent="0.3">
      <c r="A219" s="3" t="s">
        <v>222</v>
      </c>
      <c r="B219">
        <v>22349180.248300552</v>
      </c>
      <c r="C219">
        <v>26708252.964813232</v>
      </c>
      <c r="D219">
        <v>21141008.6135782</v>
      </c>
      <c r="E219">
        <v>25320558.241771817</v>
      </c>
      <c r="F219" t="str">
        <f t="shared" si="6"/>
        <v>150000</v>
      </c>
      <c r="G219" t="str">
        <f t="shared" si="7"/>
        <v>20260324</v>
      </c>
    </row>
    <row r="220" spans="1:7" x14ac:dyDescent="0.3">
      <c r="A220" s="3" t="s">
        <v>223</v>
      </c>
      <c r="B220">
        <v>23524034.465631485</v>
      </c>
      <c r="C220">
        <v>23452505.013811111</v>
      </c>
      <c r="D220">
        <v>22221037.887974024</v>
      </c>
      <c r="E220">
        <v>22174438.650832891</v>
      </c>
      <c r="F220" t="str">
        <f t="shared" si="6"/>
        <v>160000</v>
      </c>
      <c r="G220" t="str">
        <f t="shared" si="7"/>
        <v>20260324</v>
      </c>
    </row>
    <row r="221" spans="1:7" x14ac:dyDescent="0.3">
      <c r="A221" s="3" t="s">
        <v>224</v>
      </c>
      <c r="B221">
        <v>18846779.241020918</v>
      </c>
      <c r="C221">
        <v>16830341.905871391</v>
      </c>
      <c r="D221">
        <v>17860093.553703785</v>
      </c>
      <c r="E221">
        <v>15705228.264656067</v>
      </c>
      <c r="F221" t="str">
        <f t="shared" si="6"/>
        <v>170000</v>
      </c>
      <c r="G221" t="str">
        <f t="shared" si="7"/>
        <v>20260324</v>
      </c>
    </row>
    <row r="222" spans="1:7" x14ac:dyDescent="0.3">
      <c r="A222" s="3" t="s">
        <v>225</v>
      </c>
      <c r="B222">
        <v>12131079.492917418</v>
      </c>
      <c r="C222">
        <v>11275074.324998558</v>
      </c>
      <c r="D222">
        <v>11263076.091673851</v>
      </c>
      <c r="E222">
        <v>10348871.435476065</v>
      </c>
      <c r="F222" t="str">
        <f t="shared" si="6"/>
        <v>180000</v>
      </c>
      <c r="G222" t="str">
        <f t="shared" si="7"/>
        <v>20260324</v>
      </c>
    </row>
    <row r="223" spans="1:7" x14ac:dyDescent="0.3">
      <c r="A223" s="3" t="s">
        <v>226</v>
      </c>
      <c r="B223">
        <v>0</v>
      </c>
      <c r="C223">
        <v>0</v>
      </c>
      <c r="D223">
        <v>0</v>
      </c>
      <c r="E223">
        <v>0</v>
      </c>
      <c r="F223" t="str">
        <f t="shared" si="6"/>
        <v>190000</v>
      </c>
      <c r="G223" t="str">
        <f t="shared" si="7"/>
        <v>20260324</v>
      </c>
    </row>
    <row r="224" spans="1:7" x14ac:dyDescent="0.3">
      <c r="A224" s="3" t="s">
        <v>227</v>
      </c>
      <c r="B224">
        <v>0</v>
      </c>
      <c r="C224">
        <v>53.587589263916016</v>
      </c>
      <c r="D224">
        <v>0</v>
      </c>
      <c r="E224">
        <v>0</v>
      </c>
      <c r="F224" t="str">
        <f t="shared" si="6"/>
        <v>060000</v>
      </c>
      <c r="G224" t="str">
        <f t="shared" si="7"/>
        <v>20260325</v>
      </c>
    </row>
    <row r="225" spans="1:7" x14ac:dyDescent="0.3">
      <c r="A225" s="3" t="s">
        <v>228</v>
      </c>
      <c r="B225">
        <v>183663.49455350637</v>
      </c>
      <c r="C225">
        <v>248991.93215620518</v>
      </c>
      <c r="D225">
        <v>146534.60451674461</v>
      </c>
      <c r="E225">
        <v>200300.30584621429</v>
      </c>
      <c r="F225" t="str">
        <f t="shared" si="6"/>
        <v>070000</v>
      </c>
      <c r="G225" t="str">
        <f t="shared" si="7"/>
        <v>20260325</v>
      </c>
    </row>
    <row r="226" spans="1:7" x14ac:dyDescent="0.3">
      <c r="A226" s="3" t="s">
        <v>229</v>
      </c>
      <c r="B226">
        <v>1010847.0674750805</v>
      </c>
      <c r="C226">
        <v>1141518.3389867544</v>
      </c>
      <c r="D226">
        <v>849641.15984153748</v>
      </c>
      <c r="E226">
        <v>948350.41123008728</v>
      </c>
      <c r="F226" t="str">
        <f t="shared" si="6"/>
        <v>080000</v>
      </c>
      <c r="G226" t="str">
        <f t="shared" si="7"/>
        <v>20260325</v>
      </c>
    </row>
    <row r="227" spans="1:7" x14ac:dyDescent="0.3">
      <c r="A227" s="3" t="s">
        <v>230</v>
      </c>
      <c r="B227">
        <v>2801493.6152888536</v>
      </c>
      <c r="C227">
        <v>2594872.0625365973</v>
      </c>
      <c r="D227">
        <v>2338913.8666403294</v>
      </c>
      <c r="E227">
        <v>2088184.558909893</v>
      </c>
      <c r="F227" t="str">
        <f t="shared" si="6"/>
        <v>090000</v>
      </c>
      <c r="G227" t="str">
        <f t="shared" si="7"/>
        <v>20260325</v>
      </c>
    </row>
    <row r="228" spans="1:7" x14ac:dyDescent="0.3">
      <c r="A228" s="3" t="s">
        <v>231</v>
      </c>
      <c r="B228">
        <v>9057747.852338016</v>
      </c>
      <c r="C228">
        <v>17048498.433040321</v>
      </c>
      <c r="D228">
        <v>8150615.8051285148</v>
      </c>
      <c r="E228">
        <v>15743624.265983582</v>
      </c>
      <c r="F228" t="str">
        <f t="shared" si="6"/>
        <v>100000</v>
      </c>
      <c r="G228" t="str">
        <f t="shared" si="7"/>
        <v>20260325</v>
      </c>
    </row>
    <row r="229" spans="1:7" x14ac:dyDescent="0.3">
      <c r="A229" s="3" t="s">
        <v>232</v>
      </c>
      <c r="B229">
        <v>17516214.262857974</v>
      </c>
      <c r="C229">
        <v>16132478.062229931</v>
      </c>
      <c r="D229">
        <v>16372628.068180561</v>
      </c>
      <c r="E229">
        <v>14867663.691299319</v>
      </c>
      <c r="F229" t="str">
        <f t="shared" si="6"/>
        <v>110000</v>
      </c>
      <c r="G229" t="str">
        <f t="shared" si="7"/>
        <v>20260325</v>
      </c>
    </row>
    <row r="230" spans="1:7" x14ac:dyDescent="0.3">
      <c r="A230" s="3" t="s">
        <v>233</v>
      </c>
      <c r="B230">
        <v>18781115.050783396</v>
      </c>
      <c r="C230">
        <v>18325917.890657425</v>
      </c>
      <c r="D230">
        <v>17631999.365501881</v>
      </c>
      <c r="E230">
        <v>17022839.411970377</v>
      </c>
      <c r="F230" t="str">
        <f t="shared" si="6"/>
        <v>120000</v>
      </c>
      <c r="G230" t="str">
        <f t="shared" si="7"/>
        <v>20260325</v>
      </c>
    </row>
    <row r="231" spans="1:7" x14ac:dyDescent="0.3">
      <c r="A231" s="3" t="s">
        <v>234</v>
      </c>
      <c r="B231">
        <v>24515047.350203037</v>
      </c>
      <c r="C231">
        <v>23988246.608781934</v>
      </c>
      <c r="D231">
        <v>23439837.18776226</v>
      </c>
      <c r="E231">
        <v>22783890.723784924</v>
      </c>
      <c r="F231" t="str">
        <f t="shared" si="6"/>
        <v>130000</v>
      </c>
      <c r="G231" t="str">
        <f t="shared" si="7"/>
        <v>20260325</v>
      </c>
    </row>
    <row r="232" spans="1:7" x14ac:dyDescent="0.3">
      <c r="A232" s="3" t="s">
        <v>235</v>
      </c>
      <c r="B232">
        <v>24783053.199552536</v>
      </c>
      <c r="C232">
        <v>26115926.038677216</v>
      </c>
      <c r="D232">
        <v>23649859.266000748</v>
      </c>
      <c r="E232">
        <v>24865528.058717012</v>
      </c>
      <c r="F232" t="str">
        <f t="shared" si="6"/>
        <v>140000</v>
      </c>
      <c r="G232" t="str">
        <f t="shared" si="7"/>
        <v>20260325</v>
      </c>
    </row>
    <row r="233" spans="1:7" x14ac:dyDescent="0.3">
      <c r="A233" s="3" t="s">
        <v>236</v>
      </c>
      <c r="B233">
        <v>23247509.339463234</v>
      </c>
      <c r="C233">
        <v>26873768.572658539</v>
      </c>
      <c r="D233">
        <v>22057932.252816796</v>
      </c>
      <c r="E233">
        <v>25574235.760833383</v>
      </c>
      <c r="F233" t="str">
        <f t="shared" si="6"/>
        <v>150000</v>
      </c>
      <c r="G233" t="str">
        <f t="shared" si="7"/>
        <v>20260325</v>
      </c>
    </row>
    <row r="234" spans="1:7" x14ac:dyDescent="0.3">
      <c r="A234" s="3" t="s">
        <v>237</v>
      </c>
      <c r="B234">
        <v>20402778.340965271</v>
      </c>
      <c r="C234">
        <v>20160543.516552985</v>
      </c>
      <c r="D234">
        <v>19205469.896045446</v>
      </c>
      <c r="E234">
        <v>18819783.06263423</v>
      </c>
      <c r="F234" t="str">
        <f t="shared" si="6"/>
        <v>160000</v>
      </c>
      <c r="G234" t="str">
        <f t="shared" si="7"/>
        <v>20260325</v>
      </c>
    </row>
    <row r="235" spans="1:7" x14ac:dyDescent="0.3">
      <c r="A235" s="3" t="s">
        <v>238</v>
      </c>
      <c r="B235">
        <v>21390209.586623728</v>
      </c>
      <c r="C235">
        <v>17880967.31589967</v>
      </c>
      <c r="D235">
        <v>20245207.582960129</v>
      </c>
      <c r="E235">
        <v>16708807.232868731</v>
      </c>
      <c r="F235" t="str">
        <f t="shared" si="6"/>
        <v>170000</v>
      </c>
      <c r="G235" t="str">
        <f t="shared" si="7"/>
        <v>20260325</v>
      </c>
    </row>
    <row r="236" spans="1:7" x14ac:dyDescent="0.3">
      <c r="A236" s="3" t="s">
        <v>239</v>
      </c>
      <c r="B236">
        <v>12989292.303669214</v>
      </c>
      <c r="C236">
        <v>9790983.9984297156</v>
      </c>
      <c r="D236">
        <v>12123743.21447742</v>
      </c>
      <c r="E236">
        <v>9022577.8765463829</v>
      </c>
      <c r="F236" t="str">
        <f t="shared" si="6"/>
        <v>180000</v>
      </c>
      <c r="G236" t="str">
        <f t="shared" si="7"/>
        <v>20260325</v>
      </c>
    </row>
    <row r="237" spans="1:7" x14ac:dyDescent="0.3">
      <c r="A237" s="3" t="s">
        <v>240</v>
      </c>
      <c r="B237">
        <v>13.049715995788574</v>
      </c>
      <c r="C237">
        <v>0</v>
      </c>
      <c r="D237">
        <v>0</v>
      </c>
      <c r="E237">
        <v>0</v>
      </c>
      <c r="F237" t="str">
        <f t="shared" si="6"/>
        <v>190000</v>
      </c>
      <c r="G237" t="str">
        <f t="shared" si="7"/>
        <v>20260325</v>
      </c>
    </row>
    <row r="238" spans="1:7" x14ac:dyDescent="0.3">
      <c r="A238" s="3" t="s">
        <v>241</v>
      </c>
      <c r="B238">
        <v>3169.4788091182709</v>
      </c>
      <c r="C238">
        <v>2693.2883661985397</v>
      </c>
      <c r="D238">
        <v>0</v>
      </c>
      <c r="E238">
        <v>0</v>
      </c>
      <c r="F238" t="str">
        <f t="shared" si="6"/>
        <v>060000</v>
      </c>
      <c r="G238" t="str">
        <f t="shared" si="7"/>
        <v>20260326</v>
      </c>
    </row>
    <row r="239" spans="1:7" x14ac:dyDescent="0.3">
      <c r="A239" s="3" t="s">
        <v>242</v>
      </c>
      <c r="B239">
        <v>148584.35300678015</v>
      </c>
      <c r="C239">
        <v>154148.70455539227</v>
      </c>
      <c r="D239">
        <v>111667.55949401855</v>
      </c>
      <c r="E239">
        <v>104190.75625610352</v>
      </c>
      <c r="F239" t="str">
        <f t="shared" si="6"/>
        <v>070000</v>
      </c>
      <c r="G239" t="str">
        <f t="shared" si="7"/>
        <v>20260326</v>
      </c>
    </row>
    <row r="240" spans="1:7" x14ac:dyDescent="0.3">
      <c r="A240" s="3" t="s">
        <v>243</v>
      </c>
      <c r="B240">
        <v>510593.43510496616</v>
      </c>
      <c r="C240">
        <v>441816.1495437026</v>
      </c>
      <c r="D240">
        <v>413435.61029195786</v>
      </c>
      <c r="E240">
        <v>339262.16023445129</v>
      </c>
      <c r="F240" t="str">
        <f t="shared" si="6"/>
        <v>080000</v>
      </c>
      <c r="G240" t="str">
        <f t="shared" si="7"/>
        <v>20260326</v>
      </c>
    </row>
    <row r="241" spans="1:7" x14ac:dyDescent="0.3">
      <c r="A241" s="3" t="s">
        <v>244</v>
      </c>
      <c r="B241">
        <v>574654.46076947451</v>
      </c>
      <c r="C241">
        <v>614304.31465834379</v>
      </c>
      <c r="D241">
        <v>470603.7715215683</v>
      </c>
      <c r="E241">
        <v>497546.22183537483</v>
      </c>
      <c r="F241" t="str">
        <f t="shared" si="6"/>
        <v>090000</v>
      </c>
      <c r="G241" t="str">
        <f t="shared" si="7"/>
        <v>20260326</v>
      </c>
    </row>
    <row r="242" spans="1:7" x14ac:dyDescent="0.3">
      <c r="A242" s="3" t="s">
        <v>245</v>
      </c>
      <c r="B242">
        <v>13676341.335164309</v>
      </c>
      <c r="C242">
        <v>17849027.713116169</v>
      </c>
      <c r="D242">
        <v>12546668.839367151</v>
      </c>
      <c r="E242">
        <v>16443031.655702293</v>
      </c>
      <c r="F242" t="str">
        <f t="shared" si="6"/>
        <v>100000</v>
      </c>
      <c r="G242" t="str">
        <f t="shared" si="7"/>
        <v>20260326</v>
      </c>
    </row>
    <row r="243" spans="1:7" x14ac:dyDescent="0.3">
      <c r="A243" s="3" t="s">
        <v>246</v>
      </c>
      <c r="B243">
        <v>21702929.602122128</v>
      </c>
      <c r="C243">
        <v>21522361.722235322</v>
      </c>
      <c r="D243">
        <v>20377304.593120575</v>
      </c>
      <c r="E243">
        <v>20053168.047358513</v>
      </c>
      <c r="F243" t="str">
        <f t="shared" si="6"/>
        <v>110000</v>
      </c>
      <c r="G243" t="str">
        <f t="shared" si="7"/>
        <v>20260326</v>
      </c>
    </row>
    <row r="244" spans="1:7" x14ac:dyDescent="0.3">
      <c r="A244" s="3" t="s">
        <v>247</v>
      </c>
      <c r="B244">
        <v>25872553.960699081</v>
      </c>
      <c r="C244">
        <v>27958514.004913807</v>
      </c>
      <c r="D244">
        <v>24472394.462804794</v>
      </c>
      <c r="E244">
        <v>26493890.49283123</v>
      </c>
      <c r="F244" t="str">
        <f t="shared" si="6"/>
        <v>120000</v>
      </c>
      <c r="G244" t="str">
        <f t="shared" si="7"/>
        <v>20260326</v>
      </c>
    </row>
    <row r="245" spans="1:7" x14ac:dyDescent="0.3">
      <c r="A245" s="3" t="s">
        <v>248</v>
      </c>
      <c r="B245">
        <v>26623867.310902357</v>
      </c>
      <c r="C245">
        <v>28440327.383605003</v>
      </c>
      <c r="D245">
        <v>25366992.645346642</v>
      </c>
      <c r="E245">
        <v>27026247.452280045</v>
      </c>
      <c r="F245" t="str">
        <f t="shared" si="6"/>
        <v>130000</v>
      </c>
      <c r="G245" t="str">
        <f t="shared" si="7"/>
        <v>20260326</v>
      </c>
    </row>
    <row r="246" spans="1:7" x14ac:dyDescent="0.3">
      <c r="A246" s="3" t="s">
        <v>249</v>
      </c>
      <c r="B246">
        <v>22805728.381811142</v>
      </c>
      <c r="C246">
        <v>22870699.953282356</v>
      </c>
      <c r="D246">
        <v>21504143.174415588</v>
      </c>
      <c r="E246">
        <v>21468562.320044041</v>
      </c>
      <c r="F246" t="str">
        <f t="shared" si="6"/>
        <v>140000</v>
      </c>
      <c r="G246" t="str">
        <f t="shared" si="7"/>
        <v>20260326</v>
      </c>
    </row>
    <row r="247" spans="1:7" x14ac:dyDescent="0.3">
      <c r="A247" s="3" t="s">
        <v>250</v>
      </c>
      <c r="B247">
        <v>14153912.050012708</v>
      </c>
      <c r="C247">
        <v>14401295.276726365</v>
      </c>
      <c r="D247">
        <v>12720890.877650857</v>
      </c>
      <c r="E247">
        <v>12959179.223065317</v>
      </c>
      <c r="F247" t="str">
        <f t="shared" si="6"/>
        <v>150000</v>
      </c>
      <c r="G247" t="str">
        <f t="shared" si="7"/>
        <v>20260326</v>
      </c>
    </row>
    <row r="248" spans="1:7" x14ac:dyDescent="0.3">
      <c r="A248" s="3" t="s">
        <v>251</v>
      </c>
      <c r="B248">
        <v>16194465.839367867</v>
      </c>
      <c r="C248">
        <v>17970480.632000327</v>
      </c>
      <c r="D248">
        <v>15046525.121334493</v>
      </c>
      <c r="E248">
        <v>16674913.612789154</v>
      </c>
      <c r="F248" t="str">
        <f t="shared" si="6"/>
        <v>160000</v>
      </c>
      <c r="G248" t="str">
        <f t="shared" si="7"/>
        <v>20260326</v>
      </c>
    </row>
    <row r="249" spans="1:7" x14ac:dyDescent="0.3">
      <c r="A249" s="3" t="s">
        <v>252</v>
      </c>
      <c r="B249">
        <v>9059103.6085496545</v>
      </c>
      <c r="C249">
        <v>7443378.2263993621</v>
      </c>
      <c r="D249">
        <v>8144963.952144146</v>
      </c>
      <c r="E249">
        <v>6632913.616586864</v>
      </c>
      <c r="F249" t="str">
        <f t="shared" si="6"/>
        <v>170000</v>
      </c>
      <c r="G249" t="str">
        <f t="shared" si="7"/>
        <v>20260326</v>
      </c>
    </row>
    <row r="250" spans="1:7" x14ac:dyDescent="0.3">
      <c r="A250" s="3" t="s">
        <v>253</v>
      </c>
      <c r="B250">
        <v>4541527.0310612917</v>
      </c>
      <c r="C250">
        <v>3631055.5606976748</v>
      </c>
      <c r="D250">
        <v>4081313.6291935444</v>
      </c>
      <c r="E250">
        <v>3217259.9466398358</v>
      </c>
      <c r="F250" t="str">
        <f t="shared" si="6"/>
        <v>180000</v>
      </c>
      <c r="G250" t="str">
        <f t="shared" si="7"/>
        <v>20260326</v>
      </c>
    </row>
    <row r="251" spans="1:7" x14ac:dyDescent="0.3">
      <c r="A251" s="3" t="s">
        <v>254</v>
      </c>
      <c r="B251">
        <v>1298.3362112045288</v>
      </c>
      <c r="C251">
        <v>1137.3669927716255</v>
      </c>
      <c r="D251">
        <v>0</v>
      </c>
      <c r="E251">
        <v>0</v>
      </c>
      <c r="F251" t="str">
        <f t="shared" si="6"/>
        <v>190000</v>
      </c>
      <c r="G251" t="str">
        <f t="shared" si="7"/>
        <v>20260326</v>
      </c>
    </row>
    <row r="252" spans="1:7" x14ac:dyDescent="0.3">
      <c r="A252" s="3" t="s">
        <v>255</v>
      </c>
      <c r="B252">
        <v>70966.525021135807</v>
      </c>
      <c r="C252">
        <v>57818.541395783424</v>
      </c>
      <c r="D252">
        <v>1476.0284576416016</v>
      </c>
      <c r="E252">
        <v>1954.7263488769531</v>
      </c>
      <c r="F252" t="str">
        <f t="shared" si="6"/>
        <v>060000</v>
      </c>
      <c r="G252" t="str">
        <f t="shared" si="7"/>
        <v>20260327</v>
      </c>
    </row>
    <row r="253" spans="1:7" x14ac:dyDescent="0.3">
      <c r="A253" s="3" t="s">
        <v>256</v>
      </c>
      <c r="B253">
        <v>108394.41039597988</v>
      </c>
      <c r="C253">
        <v>101176.82211714983</v>
      </c>
      <c r="D253">
        <v>73550.503658294678</v>
      </c>
      <c r="E253">
        <v>70494.450790405273</v>
      </c>
      <c r="F253" t="str">
        <f t="shared" si="6"/>
        <v>070000</v>
      </c>
      <c r="G253" t="str">
        <f t="shared" si="7"/>
        <v>20260327</v>
      </c>
    </row>
    <row r="254" spans="1:7" x14ac:dyDescent="0.3">
      <c r="A254" s="3" t="s">
        <v>257</v>
      </c>
      <c r="B254">
        <v>69071.740904927254</v>
      </c>
      <c r="C254">
        <v>48124.495315849781</v>
      </c>
      <c r="D254">
        <v>29867.861129760742</v>
      </c>
      <c r="E254">
        <v>17594.81803894043</v>
      </c>
      <c r="F254" t="str">
        <f t="shared" si="6"/>
        <v>080000</v>
      </c>
      <c r="G254" t="str">
        <f t="shared" si="7"/>
        <v>20260327</v>
      </c>
    </row>
    <row r="255" spans="1:7" x14ac:dyDescent="0.3">
      <c r="A255" s="3" t="s">
        <v>258</v>
      </c>
      <c r="B255">
        <v>1229312.3611248732</v>
      </c>
      <c r="C255">
        <v>1198429.7923349738</v>
      </c>
      <c r="D255">
        <v>1012079.1151563525</v>
      </c>
      <c r="E255">
        <v>965147.99006271362</v>
      </c>
      <c r="F255" t="str">
        <f t="shared" si="6"/>
        <v>090000</v>
      </c>
      <c r="G255" t="str">
        <f t="shared" si="7"/>
        <v>20260327</v>
      </c>
    </row>
    <row r="256" spans="1:7" x14ac:dyDescent="0.3">
      <c r="A256" s="3" t="s">
        <v>259</v>
      </c>
      <c r="B256">
        <v>9713056.0107194185</v>
      </c>
      <c r="C256">
        <v>13057971.728010893</v>
      </c>
      <c r="D256">
        <v>8689031.4269301891</v>
      </c>
      <c r="E256">
        <v>11823592.863897562</v>
      </c>
      <c r="F256" t="str">
        <f t="shared" si="6"/>
        <v>100000</v>
      </c>
      <c r="G256" t="str">
        <f t="shared" si="7"/>
        <v>20260327</v>
      </c>
    </row>
    <row r="257" spans="1:7" x14ac:dyDescent="0.3">
      <c r="A257" s="3" t="s">
        <v>260</v>
      </c>
      <c r="B257">
        <v>20149626.940276384</v>
      </c>
      <c r="C257">
        <v>19210522.803194761</v>
      </c>
      <c r="D257">
        <v>18901834.29881382</v>
      </c>
      <c r="E257">
        <v>17855338.233364582</v>
      </c>
      <c r="F257" t="str">
        <f t="shared" si="6"/>
        <v>110000</v>
      </c>
      <c r="G257" t="str">
        <f t="shared" si="7"/>
        <v>20260327</v>
      </c>
    </row>
    <row r="258" spans="1:7" x14ac:dyDescent="0.3">
      <c r="A258" s="3" t="s">
        <v>261</v>
      </c>
      <c r="B258">
        <v>22860168.392139912</v>
      </c>
      <c r="C258">
        <v>23457315.430303097</v>
      </c>
      <c r="D258">
        <v>21498645.655098438</v>
      </c>
      <c r="E258">
        <v>21973702.681447744</v>
      </c>
      <c r="F258" t="str">
        <f t="shared" ref="F258:F321" si="8">_xlfn.TEXTBEFORE(_xlfn.TEXTAFTER($A258,"_",2),".",1)</f>
        <v>120000</v>
      </c>
      <c r="G258" t="str">
        <f t="shared" ref="G258:G321" si="9">_xlfn.TEXTBEFORE(_xlfn.TEXTAFTER($A258,"_",1),"_",1)</f>
        <v>20260327</v>
      </c>
    </row>
    <row r="259" spans="1:7" x14ac:dyDescent="0.3">
      <c r="A259" s="3" t="s">
        <v>262</v>
      </c>
      <c r="B259">
        <v>18252516.827236116</v>
      </c>
      <c r="C259">
        <v>18661628.979831934</v>
      </c>
      <c r="D259">
        <v>16859950.775270224</v>
      </c>
      <c r="E259">
        <v>17291871.927218795</v>
      </c>
      <c r="F259" t="str">
        <f t="shared" si="8"/>
        <v>130000</v>
      </c>
      <c r="G259" t="str">
        <f t="shared" si="9"/>
        <v>20260327</v>
      </c>
    </row>
    <row r="260" spans="1:7" x14ac:dyDescent="0.3">
      <c r="A260" s="3" t="s">
        <v>263</v>
      </c>
      <c r="B260">
        <v>19269115.425289571</v>
      </c>
      <c r="C260">
        <v>21719606.249343872</v>
      </c>
      <c r="D260">
        <v>17945141.077248871</v>
      </c>
      <c r="E260">
        <v>20233734.042902946</v>
      </c>
      <c r="F260" t="str">
        <f t="shared" si="8"/>
        <v>140000</v>
      </c>
      <c r="G260" t="str">
        <f t="shared" si="9"/>
        <v>20260327</v>
      </c>
    </row>
    <row r="261" spans="1:7" x14ac:dyDescent="0.3">
      <c r="A261" s="3" t="s">
        <v>264</v>
      </c>
      <c r="B261">
        <v>12663310.301700294</v>
      </c>
      <c r="C261">
        <v>13841179.106813788</v>
      </c>
      <c r="D261">
        <v>11260386.123220563</v>
      </c>
      <c r="E261">
        <v>12401515.477782726</v>
      </c>
      <c r="F261" t="str">
        <f t="shared" si="8"/>
        <v>150000</v>
      </c>
      <c r="G261" t="str">
        <f t="shared" si="9"/>
        <v>20260327</v>
      </c>
    </row>
    <row r="262" spans="1:7" x14ac:dyDescent="0.3">
      <c r="A262" s="3" t="s">
        <v>265</v>
      </c>
      <c r="B262">
        <v>10970839.097693205</v>
      </c>
      <c r="C262">
        <v>10481757.693222582</v>
      </c>
      <c r="D262">
        <v>10047642.887489676</v>
      </c>
      <c r="E262">
        <v>9491620.1343875527</v>
      </c>
      <c r="F262" t="str">
        <f t="shared" si="8"/>
        <v>160000</v>
      </c>
      <c r="G262" t="str">
        <f t="shared" si="9"/>
        <v>20260327</v>
      </c>
    </row>
    <row r="263" spans="1:7" x14ac:dyDescent="0.3">
      <c r="A263" s="3" t="s">
        <v>266</v>
      </c>
      <c r="B263">
        <v>6946996.5679530501</v>
      </c>
      <c r="C263">
        <v>6142113.6928999424</v>
      </c>
      <c r="D263">
        <v>6238888.2147493362</v>
      </c>
      <c r="E263">
        <v>5425762.8882194161</v>
      </c>
      <c r="F263" t="str">
        <f t="shared" si="8"/>
        <v>170000</v>
      </c>
      <c r="G263" t="str">
        <f t="shared" si="9"/>
        <v>20260327</v>
      </c>
    </row>
    <row r="264" spans="1:7" x14ac:dyDescent="0.3">
      <c r="A264" s="3" t="s">
        <v>267</v>
      </c>
      <c r="B264">
        <v>3304472.468467176</v>
      </c>
      <c r="C264">
        <v>1774991.402330935</v>
      </c>
      <c r="D264">
        <v>2997506.4366919994</v>
      </c>
      <c r="E264">
        <v>1539441.4240518808</v>
      </c>
      <c r="F264" t="str">
        <f t="shared" si="8"/>
        <v>180000</v>
      </c>
      <c r="G264" t="str">
        <f t="shared" si="9"/>
        <v>20260327</v>
      </c>
    </row>
    <row r="265" spans="1:7" x14ac:dyDescent="0.3">
      <c r="A265" s="3" t="s">
        <v>268</v>
      </c>
      <c r="B265">
        <v>523.99274283647537</v>
      </c>
      <c r="C265">
        <v>3190.7238811254501</v>
      </c>
      <c r="D265">
        <v>0</v>
      </c>
      <c r="E265">
        <v>0</v>
      </c>
      <c r="F265" t="str">
        <f t="shared" si="8"/>
        <v>190000</v>
      </c>
      <c r="G265" t="str">
        <f t="shared" si="9"/>
        <v>20260327</v>
      </c>
    </row>
    <row r="266" spans="1:7" x14ac:dyDescent="0.3">
      <c r="A266" s="3" t="s">
        <v>269</v>
      </c>
      <c r="B266">
        <v>186206.44805198908</v>
      </c>
      <c r="C266">
        <v>187044.98825532198</v>
      </c>
      <c r="D266">
        <v>12161.272964477539</v>
      </c>
      <c r="E266">
        <v>10262.429733276367</v>
      </c>
      <c r="F266" t="str">
        <f t="shared" si="8"/>
        <v>060000</v>
      </c>
      <c r="G266" t="str">
        <f t="shared" si="9"/>
        <v>20260328</v>
      </c>
    </row>
    <row r="267" spans="1:7" x14ac:dyDescent="0.3">
      <c r="A267" s="3" t="s">
        <v>270</v>
      </c>
      <c r="B267">
        <v>18583.376669347286</v>
      </c>
      <c r="C267">
        <v>16660.489112615585</v>
      </c>
      <c r="D267">
        <v>0</v>
      </c>
      <c r="E267">
        <v>381.93447875976563</v>
      </c>
      <c r="F267" t="str">
        <f t="shared" si="8"/>
        <v>070000</v>
      </c>
      <c r="G267" t="str">
        <f t="shared" si="9"/>
        <v>20260328</v>
      </c>
    </row>
    <row r="268" spans="1:7" x14ac:dyDescent="0.3">
      <c r="A268" s="3" t="s">
        <v>271</v>
      </c>
      <c r="B268">
        <v>1137608.7235769629</v>
      </c>
      <c r="C268">
        <v>1107889.6561681032</v>
      </c>
      <c r="D268">
        <v>935440.64853906631</v>
      </c>
      <c r="E268">
        <v>890005.42741680145</v>
      </c>
      <c r="F268" t="str">
        <f t="shared" si="8"/>
        <v>080000</v>
      </c>
      <c r="G268" t="str">
        <f t="shared" si="9"/>
        <v>20260328</v>
      </c>
    </row>
    <row r="269" spans="1:7" x14ac:dyDescent="0.3">
      <c r="A269" s="3" t="s">
        <v>272</v>
      </c>
      <c r="B269">
        <v>4505679.3414658308</v>
      </c>
      <c r="C269">
        <v>4117591.6869066358</v>
      </c>
      <c r="D269">
        <v>3948592.902225256</v>
      </c>
      <c r="E269">
        <v>3557199.9558855295</v>
      </c>
      <c r="F269" t="str">
        <f t="shared" si="8"/>
        <v>090000</v>
      </c>
      <c r="G269" t="str">
        <f t="shared" si="9"/>
        <v>20260328</v>
      </c>
    </row>
    <row r="270" spans="1:7" x14ac:dyDescent="0.3">
      <c r="A270" s="3" t="s">
        <v>273</v>
      </c>
      <c r="B270">
        <v>16741476.409360468</v>
      </c>
      <c r="C270">
        <v>17641892.266932309</v>
      </c>
      <c r="D270">
        <v>15523327.786489367</v>
      </c>
      <c r="E270">
        <v>16264937.749357462</v>
      </c>
      <c r="F270" t="str">
        <f t="shared" si="8"/>
        <v>100000</v>
      </c>
      <c r="G270" t="str">
        <f t="shared" si="9"/>
        <v>20260328</v>
      </c>
    </row>
    <row r="271" spans="1:7" x14ac:dyDescent="0.3">
      <c r="A271" s="3" t="s">
        <v>274</v>
      </c>
      <c r="B271">
        <v>19837601.123378515</v>
      </c>
      <c r="C271">
        <v>23076741.922421455</v>
      </c>
      <c r="D271">
        <v>18488753.095000386</v>
      </c>
      <c r="E271">
        <v>21568955.259690285</v>
      </c>
      <c r="F271" t="str">
        <f t="shared" si="8"/>
        <v>110000</v>
      </c>
      <c r="G271" t="str">
        <f t="shared" si="9"/>
        <v>20260328</v>
      </c>
    </row>
    <row r="272" spans="1:7" x14ac:dyDescent="0.3">
      <c r="A272" s="3" t="s">
        <v>275</v>
      </c>
      <c r="B272">
        <v>22417643.90223074</v>
      </c>
      <c r="C272">
        <v>24202710.933887243</v>
      </c>
      <c r="D272">
        <v>21040662.05165863</v>
      </c>
      <c r="E272">
        <v>22669485.155732632</v>
      </c>
      <c r="F272" t="str">
        <f t="shared" si="8"/>
        <v>120000</v>
      </c>
      <c r="G272" t="str">
        <f t="shared" si="9"/>
        <v>20260328</v>
      </c>
    </row>
    <row r="273" spans="1:7" x14ac:dyDescent="0.3">
      <c r="A273" s="3" t="s">
        <v>276</v>
      </c>
      <c r="B273">
        <v>21324112.606400609</v>
      </c>
      <c r="C273">
        <v>23304960.741271019</v>
      </c>
      <c r="D273">
        <v>19970085.30322206</v>
      </c>
      <c r="E273">
        <v>21764801.668849468</v>
      </c>
      <c r="F273" t="str">
        <f t="shared" si="8"/>
        <v>130000</v>
      </c>
      <c r="G273" t="str">
        <f t="shared" si="9"/>
        <v>20260328</v>
      </c>
    </row>
    <row r="274" spans="1:7" x14ac:dyDescent="0.3">
      <c r="A274" s="3" t="s">
        <v>277</v>
      </c>
      <c r="B274">
        <v>25059924.46838665</v>
      </c>
      <c r="C274">
        <v>24525156.116804481</v>
      </c>
      <c r="D274">
        <v>23724461.773747325</v>
      </c>
      <c r="E274">
        <v>23101585.391782761</v>
      </c>
      <c r="F274" t="str">
        <f t="shared" si="8"/>
        <v>140000</v>
      </c>
      <c r="G274" t="str">
        <f t="shared" si="9"/>
        <v>20260328</v>
      </c>
    </row>
    <row r="275" spans="1:7" x14ac:dyDescent="0.3">
      <c r="A275" s="3" t="s">
        <v>278</v>
      </c>
      <c r="B275">
        <v>7257505.6480507255</v>
      </c>
      <c r="C275">
        <v>6512695.5991936922</v>
      </c>
      <c r="D275">
        <v>6138076.5665800571</v>
      </c>
      <c r="E275">
        <v>5404466.2223979831</v>
      </c>
      <c r="F275" t="str">
        <f t="shared" si="8"/>
        <v>150000</v>
      </c>
      <c r="G275" t="str">
        <f t="shared" si="9"/>
        <v>20260328</v>
      </c>
    </row>
    <row r="276" spans="1:7" x14ac:dyDescent="0.3">
      <c r="A276" s="3" t="s">
        <v>279</v>
      </c>
      <c r="B276">
        <v>12927872.533001006</v>
      </c>
      <c r="C276">
        <v>12844132.84598124</v>
      </c>
      <c r="D276">
        <v>11782054.525210202</v>
      </c>
      <c r="E276">
        <v>11629277.877509832</v>
      </c>
      <c r="F276" t="str">
        <f t="shared" si="8"/>
        <v>160000</v>
      </c>
      <c r="G276" t="str">
        <f t="shared" si="9"/>
        <v>20260328</v>
      </c>
    </row>
    <row r="277" spans="1:7" x14ac:dyDescent="0.3">
      <c r="A277" s="3" t="s">
        <v>280</v>
      </c>
      <c r="B277">
        <v>11157422.051351905</v>
      </c>
      <c r="C277">
        <v>10582782.926182687</v>
      </c>
      <c r="D277">
        <v>10090566.160013914</v>
      </c>
      <c r="E277">
        <v>9479243.446195364</v>
      </c>
      <c r="F277" t="str">
        <f t="shared" si="8"/>
        <v>170000</v>
      </c>
      <c r="G277" t="str">
        <f t="shared" si="9"/>
        <v>20260328</v>
      </c>
    </row>
    <row r="278" spans="1:7" x14ac:dyDescent="0.3">
      <c r="A278" s="3" t="s">
        <v>281</v>
      </c>
      <c r="B278">
        <v>3050375.6420047879</v>
      </c>
      <c r="C278">
        <v>2370381.8365918994</v>
      </c>
      <c r="D278">
        <v>2657820.5856759548</v>
      </c>
      <c r="E278">
        <v>1982954.6123853922</v>
      </c>
      <c r="F278" t="str">
        <f t="shared" si="8"/>
        <v>180000</v>
      </c>
      <c r="G278" t="str">
        <f t="shared" si="9"/>
        <v>20260328</v>
      </c>
    </row>
    <row r="279" spans="1:7" x14ac:dyDescent="0.3">
      <c r="A279" s="3" t="s">
        <v>282</v>
      </c>
      <c r="B279">
        <v>31731.394849956036</v>
      </c>
      <c r="C279">
        <v>38548.715649008751</v>
      </c>
      <c r="D279">
        <v>1187.5451049804688</v>
      </c>
      <c r="E279">
        <v>0</v>
      </c>
      <c r="F279" t="str">
        <f t="shared" si="8"/>
        <v>190000</v>
      </c>
      <c r="G279" t="str">
        <f t="shared" si="9"/>
        <v>20260328</v>
      </c>
    </row>
    <row r="280" spans="1:7" x14ac:dyDescent="0.3">
      <c r="A280" s="3" t="s">
        <v>283</v>
      </c>
      <c r="B280">
        <v>157576.2398930788</v>
      </c>
      <c r="C280">
        <v>137747.49862569571</v>
      </c>
      <c r="D280">
        <v>11325.326202392578</v>
      </c>
      <c r="E280">
        <v>6277.6163177490234</v>
      </c>
      <c r="F280" t="str">
        <f t="shared" si="8"/>
        <v>060000</v>
      </c>
      <c r="G280" t="str">
        <f t="shared" si="9"/>
        <v>20260329</v>
      </c>
    </row>
    <row r="281" spans="1:7" x14ac:dyDescent="0.3">
      <c r="A281" s="3" t="s">
        <v>284</v>
      </c>
      <c r="B281">
        <v>464342.89472383261</v>
      </c>
      <c r="C281">
        <v>391850.18863904476</v>
      </c>
      <c r="D281">
        <v>322071.01144242287</v>
      </c>
      <c r="E281">
        <v>248299.54731988907</v>
      </c>
      <c r="F281" t="str">
        <f t="shared" si="8"/>
        <v>070000</v>
      </c>
      <c r="G281" t="str">
        <f t="shared" si="9"/>
        <v>20260329</v>
      </c>
    </row>
    <row r="282" spans="1:7" x14ac:dyDescent="0.3">
      <c r="A282" s="3" t="s">
        <v>285</v>
      </c>
      <c r="B282">
        <v>1189918.2157582641</v>
      </c>
      <c r="C282">
        <v>1455795.8270482421</v>
      </c>
      <c r="D282">
        <v>921604.88327503204</v>
      </c>
      <c r="E282">
        <v>1162407.7179741859</v>
      </c>
      <c r="F282" t="str">
        <f t="shared" si="8"/>
        <v>080000</v>
      </c>
      <c r="G282" t="str">
        <f t="shared" si="9"/>
        <v>20260329</v>
      </c>
    </row>
    <row r="283" spans="1:7" x14ac:dyDescent="0.3">
      <c r="A283" s="3" t="s">
        <v>286</v>
      </c>
      <c r="B283">
        <v>2129643.5098833442</v>
      </c>
      <c r="C283">
        <v>2349415.79898417</v>
      </c>
      <c r="D283">
        <v>1769242.3908782005</v>
      </c>
      <c r="E283">
        <v>1983293.2598615885</v>
      </c>
      <c r="F283" t="str">
        <f t="shared" si="8"/>
        <v>090000</v>
      </c>
      <c r="G283" t="str">
        <f t="shared" si="9"/>
        <v>20260329</v>
      </c>
    </row>
    <row r="284" spans="1:7" x14ac:dyDescent="0.3">
      <c r="A284" s="3" t="s">
        <v>287</v>
      </c>
      <c r="B284">
        <v>9576798.7808451653</v>
      </c>
      <c r="C284">
        <v>12691413.040234268</v>
      </c>
      <c r="D284">
        <v>8665187.9705206156</v>
      </c>
      <c r="E284">
        <v>11561969.34678793</v>
      </c>
      <c r="F284" t="str">
        <f t="shared" si="8"/>
        <v>100000</v>
      </c>
      <c r="G284" t="str">
        <f t="shared" si="9"/>
        <v>20260329</v>
      </c>
    </row>
    <row r="285" spans="1:7" x14ac:dyDescent="0.3">
      <c r="A285" s="3" t="s">
        <v>288</v>
      </c>
      <c r="B285">
        <v>15883800.779266</v>
      </c>
      <c r="C285">
        <v>17926703.111922681</v>
      </c>
      <c r="D285">
        <v>14634702.937744617</v>
      </c>
      <c r="E285">
        <v>16551900.375270724</v>
      </c>
      <c r="F285" t="str">
        <f t="shared" si="8"/>
        <v>110000</v>
      </c>
      <c r="G285" t="str">
        <f t="shared" si="9"/>
        <v>20260329</v>
      </c>
    </row>
    <row r="286" spans="1:7" x14ac:dyDescent="0.3">
      <c r="A286" s="3" t="s">
        <v>289</v>
      </c>
      <c r="B286">
        <v>19099458.55641669</v>
      </c>
      <c r="C286">
        <v>20897031.081264019</v>
      </c>
      <c r="D286">
        <v>17805277.231457949</v>
      </c>
      <c r="E286">
        <v>19480118.688895464</v>
      </c>
      <c r="F286" t="str">
        <f t="shared" si="8"/>
        <v>120000</v>
      </c>
      <c r="G286" t="str">
        <f t="shared" si="9"/>
        <v>20260329</v>
      </c>
    </row>
    <row r="287" spans="1:7" x14ac:dyDescent="0.3">
      <c r="A287" s="3" t="s">
        <v>290</v>
      </c>
      <c r="B287">
        <v>25987646.652360916</v>
      </c>
      <c r="C287">
        <v>27526911.088773727</v>
      </c>
      <c r="D287">
        <v>24714997.584023476</v>
      </c>
      <c r="E287">
        <v>26090910.356010437</v>
      </c>
      <c r="F287" t="str">
        <f t="shared" si="8"/>
        <v>130000</v>
      </c>
      <c r="G287" t="str">
        <f t="shared" si="9"/>
        <v>20260329</v>
      </c>
    </row>
    <row r="288" spans="1:7" x14ac:dyDescent="0.3">
      <c r="A288" s="3" t="s">
        <v>291</v>
      </c>
      <c r="B288">
        <v>23503396.211693883</v>
      </c>
      <c r="C288">
        <v>20877494.882009983</v>
      </c>
      <c r="D288">
        <v>22149400.53628087</v>
      </c>
      <c r="E288">
        <v>19499297.432857096</v>
      </c>
      <c r="F288" t="str">
        <f t="shared" si="8"/>
        <v>140000</v>
      </c>
      <c r="G288" t="str">
        <f t="shared" si="9"/>
        <v>20260329</v>
      </c>
    </row>
    <row r="289" spans="1:7" x14ac:dyDescent="0.3">
      <c r="A289" s="3" t="s">
        <v>292</v>
      </c>
      <c r="B289">
        <v>7578507.925860703</v>
      </c>
      <c r="C289">
        <v>7861511.0408197045</v>
      </c>
      <c r="D289">
        <v>6354567.1431317329</v>
      </c>
      <c r="E289">
        <v>6540205.6190251708</v>
      </c>
      <c r="F289" t="str">
        <f t="shared" si="8"/>
        <v>150000</v>
      </c>
      <c r="G289" t="str">
        <f t="shared" si="9"/>
        <v>20260329</v>
      </c>
    </row>
    <row r="290" spans="1:7" x14ac:dyDescent="0.3">
      <c r="A290" s="3" t="s">
        <v>293</v>
      </c>
      <c r="B290">
        <v>13971444.26398164</v>
      </c>
      <c r="C290">
        <v>13977416.035782635</v>
      </c>
      <c r="D290">
        <v>12856333.750612259</v>
      </c>
      <c r="E290">
        <v>12791505.196320415</v>
      </c>
      <c r="F290" t="str">
        <f t="shared" si="8"/>
        <v>160000</v>
      </c>
      <c r="G290" t="str">
        <f t="shared" si="9"/>
        <v>20260329</v>
      </c>
    </row>
    <row r="291" spans="1:7" x14ac:dyDescent="0.3">
      <c r="A291" s="3" t="s">
        <v>294</v>
      </c>
      <c r="B291">
        <v>8729775.9198026061</v>
      </c>
      <c r="C291">
        <v>6535926.5486364961</v>
      </c>
      <c r="D291">
        <v>7943556.5100842118</v>
      </c>
      <c r="E291">
        <v>5856651.4735547304</v>
      </c>
      <c r="F291" t="str">
        <f t="shared" si="8"/>
        <v>170000</v>
      </c>
      <c r="G291" t="str">
        <f t="shared" si="9"/>
        <v>20260329</v>
      </c>
    </row>
    <row r="292" spans="1:7" x14ac:dyDescent="0.3">
      <c r="A292" s="3" t="s">
        <v>295</v>
      </c>
      <c r="B292">
        <v>5474955.7575637698</v>
      </c>
      <c r="C292">
        <v>4879809.6866580844</v>
      </c>
      <c r="D292">
        <v>5008088.4277684093</v>
      </c>
      <c r="E292">
        <v>4364260.449090004</v>
      </c>
      <c r="F292" t="str">
        <f t="shared" si="8"/>
        <v>180000</v>
      </c>
      <c r="G292" t="str">
        <f t="shared" si="9"/>
        <v>20260329</v>
      </c>
    </row>
    <row r="293" spans="1:7" x14ac:dyDescent="0.3">
      <c r="A293" s="3" t="s">
        <v>296</v>
      </c>
      <c r="B293">
        <v>30341.949063062668</v>
      </c>
      <c r="C293">
        <v>32312.646824479103</v>
      </c>
      <c r="D293">
        <v>480.0430908203125</v>
      </c>
      <c r="E293">
        <v>799.93299865722656</v>
      </c>
      <c r="F293" t="str">
        <f t="shared" si="8"/>
        <v>190000</v>
      </c>
      <c r="G293" t="str">
        <f t="shared" si="9"/>
        <v>20260329</v>
      </c>
    </row>
    <row r="294" spans="1:7" x14ac:dyDescent="0.3">
      <c r="A294" s="3" t="s">
        <v>297</v>
      </c>
      <c r="B294">
        <v>269850.77511829138</v>
      </c>
      <c r="C294">
        <v>242842.01441603899</v>
      </c>
      <c r="D294">
        <v>53706.16259765625</v>
      </c>
      <c r="E294">
        <v>31854.836588859558</v>
      </c>
      <c r="F294" t="str">
        <f t="shared" si="8"/>
        <v>060000</v>
      </c>
      <c r="G294" t="str">
        <f t="shared" si="9"/>
        <v>20260330</v>
      </c>
    </row>
    <row r="295" spans="1:7" x14ac:dyDescent="0.3">
      <c r="A295" s="3" t="s">
        <v>298</v>
      </c>
      <c r="B295">
        <v>137194.6505253315</v>
      </c>
      <c r="C295">
        <v>135064.54616546631</v>
      </c>
      <c r="D295">
        <v>56306.717880249023</v>
      </c>
      <c r="E295">
        <v>60684.504760742188</v>
      </c>
      <c r="F295" t="str">
        <f t="shared" si="8"/>
        <v>070000</v>
      </c>
      <c r="G295" t="str">
        <f t="shared" si="9"/>
        <v>20260330</v>
      </c>
    </row>
    <row r="296" spans="1:7" x14ac:dyDescent="0.3">
      <c r="A296" s="3" t="s">
        <v>299</v>
      </c>
      <c r="B296">
        <v>1306692.5393531919</v>
      </c>
      <c r="C296">
        <v>1509489.5774717331</v>
      </c>
      <c r="D296">
        <v>1123056.2633976936</v>
      </c>
      <c r="E296">
        <v>1256797.2156295776</v>
      </c>
      <c r="F296" t="str">
        <f t="shared" si="8"/>
        <v>080000</v>
      </c>
      <c r="G296" t="str">
        <f t="shared" si="9"/>
        <v>20260330</v>
      </c>
    </row>
    <row r="297" spans="1:7" x14ac:dyDescent="0.3">
      <c r="A297" s="3" t="s">
        <v>300</v>
      </c>
      <c r="B297">
        <v>833545.78118944168</v>
      </c>
      <c r="C297">
        <v>824772.64731174707</v>
      </c>
      <c r="D297">
        <v>696472.9293050766</v>
      </c>
      <c r="E297">
        <v>654707.54750072956</v>
      </c>
      <c r="F297" t="str">
        <f t="shared" si="8"/>
        <v>090000</v>
      </c>
      <c r="G297" t="str">
        <f t="shared" si="9"/>
        <v>20260330</v>
      </c>
    </row>
    <row r="298" spans="1:7" x14ac:dyDescent="0.3">
      <c r="A298" s="3" t="s">
        <v>301</v>
      </c>
      <c r="B298">
        <v>6896470.4764390588</v>
      </c>
      <c r="C298">
        <v>8920303.8898516893</v>
      </c>
      <c r="D298">
        <v>6252917.5150194764</v>
      </c>
      <c r="E298">
        <v>8080493.1543847322</v>
      </c>
      <c r="F298" t="str">
        <f t="shared" si="8"/>
        <v>100000</v>
      </c>
      <c r="G298" t="str">
        <f t="shared" si="9"/>
        <v>20260330</v>
      </c>
    </row>
    <row r="299" spans="1:7" x14ac:dyDescent="0.3">
      <c r="A299" s="3" t="s">
        <v>302</v>
      </c>
      <c r="B299">
        <v>17090672.636764646</v>
      </c>
      <c r="C299">
        <v>15930940.624418676</v>
      </c>
      <c r="D299">
        <v>15989485.22204721</v>
      </c>
      <c r="E299">
        <v>14773696.712202191</v>
      </c>
      <c r="F299" t="str">
        <f t="shared" si="8"/>
        <v>110000</v>
      </c>
      <c r="G299" t="str">
        <f t="shared" si="9"/>
        <v>20260330</v>
      </c>
    </row>
    <row r="300" spans="1:7" x14ac:dyDescent="0.3">
      <c r="A300" s="3" t="s">
        <v>303</v>
      </c>
      <c r="B300">
        <v>21198454.338503063</v>
      </c>
      <c r="C300">
        <v>19207403.448698044</v>
      </c>
      <c r="D300">
        <v>19988391.820788383</v>
      </c>
      <c r="E300">
        <v>17862538.085256696</v>
      </c>
      <c r="F300" t="str">
        <f t="shared" si="8"/>
        <v>120000</v>
      </c>
      <c r="G300" t="str">
        <f t="shared" si="9"/>
        <v>20260330</v>
      </c>
    </row>
    <row r="301" spans="1:7" x14ac:dyDescent="0.3">
      <c r="A301" s="3" t="s">
        <v>304</v>
      </c>
      <c r="B301">
        <v>18615957.181963205</v>
      </c>
      <c r="C301">
        <v>18309462.577925086</v>
      </c>
      <c r="D301">
        <v>17521478.980280161</v>
      </c>
      <c r="E301">
        <v>17083385.807408094</v>
      </c>
      <c r="F301" t="str">
        <f t="shared" si="8"/>
        <v>130000</v>
      </c>
      <c r="G301" t="str">
        <f t="shared" si="9"/>
        <v>20260330</v>
      </c>
    </row>
    <row r="302" spans="1:7" x14ac:dyDescent="0.3">
      <c r="A302" s="3" t="s">
        <v>305</v>
      </c>
      <c r="B302">
        <v>14824762.023773789</v>
      </c>
      <c r="C302">
        <v>14659066.726821184</v>
      </c>
      <c r="D302">
        <v>13799383.704436362</v>
      </c>
      <c r="E302">
        <v>13505435.374516428</v>
      </c>
      <c r="F302" t="str">
        <f t="shared" si="8"/>
        <v>140000</v>
      </c>
      <c r="G302" t="str">
        <f t="shared" si="9"/>
        <v>20260330</v>
      </c>
    </row>
    <row r="303" spans="1:7" x14ac:dyDescent="0.3">
      <c r="A303" s="3" t="s">
        <v>306</v>
      </c>
      <c r="B303">
        <v>14318512.025727212</v>
      </c>
      <c r="C303">
        <v>13734986.852305055</v>
      </c>
      <c r="D303">
        <v>13255020.045246959</v>
      </c>
      <c r="E303">
        <v>12650755.346792698</v>
      </c>
      <c r="F303" t="str">
        <f t="shared" si="8"/>
        <v>150000</v>
      </c>
      <c r="G303" t="str">
        <f t="shared" si="9"/>
        <v>20260330</v>
      </c>
    </row>
    <row r="304" spans="1:7" x14ac:dyDescent="0.3">
      <c r="A304" s="3" t="s">
        <v>307</v>
      </c>
      <c r="B304">
        <v>13997692.428735733</v>
      </c>
      <c r="C304">
        <v>15649744.646845222</v>
      </c>
      <c r="D304">
        <v>12989184.429742336</v>
      </c>
      <c r="E304">
        <v>14499079.839578032</v>
      </c>
      <c r="F304" t="str">
        <f t="shared" si="8"/>
        <v>160000</v>
      </c>
      <c r="G304" t="str">
        <f t="shared" si="9"/>
        <v>20260330</v>
      </c>
    </row>
    <row r="305" spans="1:7" x14ac:dyDescent="0.3">
      <c r="A305" s="3" t="s">
        <v>308</v>
      </c>
      <c r="B305">
        <v>10255821.549150467</v>
      </c>
      <c r="C305">
        <v>6465285.8751907349</v>
      </c>
      <c r="D305">
        <v>9444933.9146921039</v>
      </c>
      <c r="E305">
        <v>5755240.6572657228</v>
      </c>
      <c r="F305" t="str">
        <f t="shared" si="8"/>
        <v>170000</v>
      </c>
      <c r="G305" t="str">
        <f t="shared" si="9"/>
        <v>20260330</v>
      </c>
    </row>
    <row r="306" spans="1:7" x14ac:dyDescent="0.3">
      <c r="A306" s="3" t="s">
        <v>309</v>
      </c>
      <c r="B306">
        <v>2476260.3854179978</v>
      </c>
      <c r="C306">
        <v>2148059.9553771019</v>
      </c>
      <c r="D306">
        <v>2101063.0671275854</v>
      </c>
      <c r="E306">
        <v>1777324.5758828521</v>
      </c>
      <c r="F306" t="str">
        <f t="shared" si="8"/>
        <v>180000</v>
      </c>
      <c r="G306" t="str">
        <f t="shared" si="9"/>
        <v>20260330</v>
      </c>
    </row>
    <row r="307" spans="1:7" x14ac:dyDescent="0.3">
      <c r="A307" s="3" t="s">
        <v>310</v>
      </c>
      <c r="B307">
        <v>0</v>
      </c>
      <c r="C307">
        <v>0</v>
      </c>
      <c r="D307">
        <v>0</v>
      </c>
      <c r="E307">
        <v>0</v>
      </c>
      <c r="F307" t="str">
        <f t="shared" si="8"/>
        <v>190000</v>
      </c>
      <c r="G307" t="str">
        <f t="shared" si="9"/>
        <v>20260330</v>
      </c>
    </row>
    <row r="308" spans="1:7" x14ac:dyDescent="0.3">
      <c r="A308" s="3" t="s">
        <v>311</v>
      </c>
      <c r="B308">
        <v>975.3224909901619</v>
      </c>
      <c r="C308">
        <v>1174.1227229237556</v>
      </c>
      <c r="D308">
        <v>0</v>
      </c>
      <c r="E308">
        <v>0</v>
      </c>
      <c r="F308" t="str">
        <f t="shared" si="8"/>
        <v>060000</v>
      </c>
      <c r="G308" t="str">
        <f t="shared" si="9"/>
        <v>20260331</v>
      </c>
    </row>
    <row r="309" spans="1:7" x14ac:dyDescent="0.3">
      <c r="A309" s="3" t="s">
        <v>312</v>
      </c>
      <c r="B309">
        <v>210439.17322021723</v>
      </c>
      <c r="C309">
        <v>196568.15947467089</v>
      </c>
      <c r="D309">
        <v>180279.4665222168</v>
      </c>
      <c r="E309">
        <v>165320.76114654541</v>
      </c>
      <c r="F309" t="str">
        <f t="shared" si="8"/>
        <v>070000</v>
      </c>
      <c r="G309" t="str">
        <f t="shared" si="9"/>
        <v>20260331</v>
      </c>
    </row>
    <row r="310" spans="1:7" x14ac:dyDescent="0.3">
      <c r="A310" s="3" t="s">
        <v>313</v>
      </c>
      <c r="B310">
        <v>2345490.4439953566</v>
      </c>
      <c r="C310">
        <v>2244882.8541294932</v>
      </c>
      <c r="D310">
        <v>1968936.2653110027</v>
      </c>
      <c r="E310">
        <v>1821260.488919735</v>
      </c>
      <c r="F310" t="str">
        <f t="shared" si="8"/>
        <v>080000</v>
      </c>
      <c r="G310" t="str">
        <f t="shared" si="9"/>
        <v>20260331</v>
      </c>
    </row>
    <row r="311" spans="1:7" x14ac:dyDescent="0.3">
      <c r="A311" s="3" t="s">
        <v>314</v>
      </c>
      <c r="B311">
        <v>3492354.559237659</v>
      </c>
      <c r="C311">
        <v>3285571.0631220937</v>
      </c>
      <c r="D311">
        <v>3056588.4810197949</v>
      </c>
      <c r="E311">
        <v>2806035.6601778269</v>
      </c>
      <c r="F311" t="str">
        <f t="shared" si="8"/>
        <v>090000</v>
      </c>
      <c r="G311" t="str">
        <f t="shared" si="9"/>
        <v>20260331</v>
      </c>
    </row>
    <row r="312" spans="1:7" x14ac:dyDescent="0.3">
      <c r="A312" s="3" t="s">
        <v>315</v>
      </c>
      <c r="B312">
        <v>8375944.547375381</v>
      </c>
      <c r="C312">
        <v>11147680.897666514</v>
      </c>
      <c r="D312">
        <v>7548362.9192976952</v>
      </c>
      <c r="E312">
        <v>10122679.245360315</v>
      </c>
      <c r="F312" t="str">
        <f t="shared" si="8"/>
        <v>100000</v>
      </c>
      <c r="G312" t="str">
        <f t="shared" si="9"/>
        <v>20260331</v>
      </c>
    </row>
    <row r="313" spans="1:7" x14ac:dyDescent="0.3">
      <c r="A313" s="3" t="s">
        <v>316</v>
      </c>
      <c r="B313">
        <v>8690132.9591158032</v>
      </c>
      <c r="C313">
        <v>11494379.726890087</v>
      </c>
      <c r="D313">
        <v>7717282.6629998684</v>
      </c>
      <c r="E313">
        <v>10351326.560411215</v>
      </c>
      <c r="F313" t="str">
        <f t="shared" si="8"/>
        <v>110000</v>
      </c>
      <c r="G313" t="str">
        <f t="shared" si="9"/>
        <v>20260331</v>
      </c>
    </row>
    <row r="314" spans="1:7" x14ac:dyDescent="0.3">
      <c r="A314" s="3" t="s">
        <v>317</v>
      </c>
      <c r="B314">
        <v>7581926.0027187467</v>
      </c>
      <c r="C314">
        <v>8725522.4046512246</v>
      </c>
      <c r="D314">
        <v>6737573.1883335114</v>
      </c>
      <c r="E314">
        <v>7721898.7248054743</v>
      </c>
      <c r="F314" t="str">
        <f t="shared" si="8"/>
        <v>120000</v>
      </c>
      <c r="G314" t="str">
        <f t="shared" si="9"/>
        <v>20260331</v>
      </c>
    </row>
    <row r="315" spans="1:7" x14ac:dyDescent="0.3">
      <c r="A315" s="3" t="s">
        <v>318</v>
      </c>
      <c r="B315">
        <v>9970176.1225395203</v>
      </c>
      <c r="C315">
        <v>11830432.627961814</v>
      </c>
      <c r="D315">
        <v>9098330.2338174582</v>
      </c>
      <c r="E315">
        <v>10834869.137628794</v>
      </c>
      <c r="F315" t="str">
        <f t="shared" si="8"/>
        <v>130000</v>
      </c>
      <c r="G315" t="str">
        <f t="shared" si="9"/>
        <v>20260331</v>
      </c>
    </row>
    <row r="316" spans="1:7" x14ac:dyDescent="0.3">
      <c r="A316" s="3" t="s">
        <v>319</v>
      </c>
      <c r="B316">
        <v>5399259.4452590942</v>
      </c>
      <c r="C316">
        <v>5823404.5528142452</v>
      </c>
      <c r="D316">
        <v>4727109.7876802683</v>
      </c>
      <c r="E316">
        <v>5152640.02287817</v>
      </c>
      <c r="F316" t="str">
        <f t="shared" si="8"/>
        <v>140000</v>
      </c>
      <c r="G316" t="str">
        <f t="shared" si="9"/>
        <v>20260331</v>
      </c>
    </row>
    <row r="317" spans="1:7" x14ac:dyDescent="0.3">
      <c r="A317" s="3" t="s">
        <v>320</v>
      </c>
      <c r="B317">
        <v>8139895.7278806567</v>
      </c>
      <c r="C317">
        <v>7463501.5113612413</v>
      </c>
      <c r="D317">
        <v>7344045.9928120971</v>
      </c>
      <c r="E317">
        <v>6653937.410848856</v>
      </c>
      <c r="F317" t="str">
        <f t="shared" si="8"/>
        <v>150000</v>
      </c>
      <c r="G317" t="str">
        <f t="shared" si="9"/>
        <v>20260331</v>
      </c>
    </row>
    <row r="318" spans="1:7" x14ac:dyDescent="0.3">
      <c r="A318" s="3" t="s">
        <v>321</v>
      </c>
      <c r="B318">
        <v>8395173.3517845869</v>
      </c>
      <c r="C318">
        <v>8865761.1932476759</v>
      </c>
      <c r="D318">
        <v>7617729.8243519068</v>
      </c>
      <c r="E318">
        <v>7978123.8767690659</v>
      </c>
      <c r="F318" t="str">
        <f t="shared" si="8"/>
        <v>160000</v>
      </c>
      <c r="G318" t="str">
        <f t="shared" si="9"/>
        <v>20260331</v>
      </c>
    </row>
    <row r="319" spans="1:7" x14ac:dyDescent="0.3">
      <c r="A319" s="3" t="s">
        <v>322</v>
      </c>
      <c r="B319">
        <v>3656421.4634076357</v>
      </c>
      <c r="C319">
        <v>2964320.6046735644</v>
      </c>
      <c r="D319">
        <v>3219439.9328056574</v>
      </c>
      <c r="E319">
        <v>2545657.0855381489</v>
      </c>
      <c r="F319" t="str">
        <f t="shared" si="8"/>
        <v>170000</v>
      </c>
      <c r="G319" t="str">
        <f t="shared" si="9"/>
        <v>20260331</v>
      </c>
    </row>
    <row r="320" spans="1:7" x14ac:dyDescent="0.3">
      <c r="A320" s="3" t="s">
        <v>323</v>
      </c>
      <c r="B320">
        <v>2486699.1776006222</v>
      </c>
      <c r="C320">
        <v>2187235.2797639966</v>
      </c>
      <c r="D320">
        <v>2199713.1568318009</v>
      </c>
      <c r="E320">
        <v>1869975.414157629</v>
      </c>
      <c r="F320" t="str">
        <f t="shared" si="8"/>
        <v>180000</v>
      </c>
      <c r="G320" t="str">
        <f t="shared" si="9"/>
        <v>20260331</v>
      </c>
    </row>
    <row r="321" spans="1:7" x14ac:dyDescent="0.3">
      <c r="A321" s="3" t="s">
        <v>324</v>
      </c>
      <c r="B321">
        <v>0</v>
      </c>
      <c r="C321">
        <v>0</v>
      </c>
      <c r="D321">
        <v>0</v>
      </c>
      <c r="E321">
        <v>0</v>
      </c>
      <c r="F321" t="str">
        <f t="shared" si="8"/>
        <v>190000</v>
      </c>
      <c r="G321" t="str">
        <f t="shared" si="9"/>
        <v>20260331</v>
      </c>
    </row>
    <row r="322" spans="1:7" x14ac:dyDescent="0.3">
      <c r="A322" s="3" t="s">
        <v>325</v>
      </c>
      <c r="B322">
        <v>414906.50310069323</v>
      </c>
      <c r="C322">
        <v>409794.38020038605</v>
      </c>
      <c r="D322">
        <v>93400.606399536133</v>
      </c>
      <c r="E322">
        <v>81478.74781036377</v>
      </c>
      <c r="F322" t="str">
        <f t="shared" ref="F322:F385" si="10">_xlfn.TEXTBEFORE(_xlfn.TEXTAFTER($A322,"_",2),".",1)</f>
        <v>060000</v>
      </c>
      <c r="G322" t="str">
        <f t="shared" ref="G322:G385" si="11">_xlfn.TEXTBEFORE(_xlfn.TEXTAFTER($A322,"_",1),"_",1)</f>
        <v>20260401</v>
      </c>
    </row>
    <row r="323" spans="1:7" x14ac:dyDescent="0.3">
      <c r="A323" s="3" t="s">
        <v>326</v>
      </c>
      <c r="B323">
        <v>238572.67023795843</v>
      </c>
      <c r="C323">
        <v>189751.80177402496</v>
      </c>
      <c r="D323">
        <v>172014.00819396973</v>
      </c>
      <c r="E323">
        <v>123775.69209289551</v>
      </c>
      <c r="F323" t="str">
        <f t="shared" si="10"/>
        <v>070000</v>
      </c>
      <c r="G323" t="str">
        <f t="shared" si="11"/>
        <v>20260401</v>
      </c>
    </row>
    <row r="324" spans="1:7" x14ac:dyDescent="0.3">
      <c r="A324" s="3" t="s">
        <v>327</v>
      </c>
      <c r="B324">
        <v>919032.65330499411</v>
      </c>
      <c r="C324">
        <v>933210.46648085117</v>
      </c>
      <c r="D324">
        <v>798100.14845895767</v>
      </c>
      <c r="E324">
        <v>811528.80185854435</v>
      </c>
      <c r="F324" t="str">
        <f t="shared" si="10"/>
        <v>080000</v>
      </c>
      <c r="G324" t="str">
        <f t="shared" si="11"/>
        <v>20260401</v>
      </c>
    </row>
    <row r="325" spans="1:7" x14ac:dyDescent="0.3">
      <c r="A325" s="3" t="s">
        <v>328</v>
      </c>
      <c r="B325">
        <v>4540585.4657242298</v>
      </c>
      <c r="C325">
        <v>3772151.361958921</v>
      </c>
      <c r="D325">
        <v>4023672.9647202492</v>
      </c>
      <c r="E325">
        <v>3294254.9614631534</v>
      </c>
      <c r="F325" t="str">
        <f t="shared" si="10"/>
        <v>090000</v>
      </c>
      <c r="G325" t="str">
        <f t="shared" si="11"/>
        <v>20260401</v>
      </c>
    </row>
    <row r="326" spans="1:7" x14ac:dyDescent="0.3">
      <c r="A326" s="3" t="s">
        <v>329</v>
      </c>
      <c r="B326">
        <v>21101776.477065384</v>
      </c>
      <c r="C326">
        <v>22669365.477848768</v>
      </c>
      <c r="D326">
        <v>19900341.148578405</v>
      </c>
      <c r="E326">
        <v>21247817.405490041</v>
      </c>
      <c r="F326" t="str">
        <f t="shared" si="10"/>
        <v>100000</v>
      </c>
      <c r="G326" t="str">
        <f t="shared" si="11"/>
        <v>20260401</v>
      </c>
    </row>
    <row r="327" spans="1:7" x14ac:dyDescent="0.3">
      <c r="A327" s="3" t="s">
        <v>330</v>
      </c>
      <c r="B327">
        <v>23550516.851325035</v>
      </c>
      <c r="C327">
        <v>25611093.873323441</v>
      </c>
      <c r="D327">
        <v>22392247.854611635</v>
      </c>
      <c r="E327">
        <v>24231275.562793255</v>
      </c>
      <c r="F327" t="str">
        <f t="shared" si="10"/>
        <v>110000</v>
      </c>
      <c r="G327" t="str">
        <f t="shared" si="11"/>
        <v>20260401</v>
      </c>
    </row>
    <row r="328" spans="1:7" x14ac:dyDescent="0.3">
      <c r="A328" s="3" t="s">
        <v>331</v>
      </c>
      <c r="B328">
        <v>32119609.801361084</v>
      </c>
      <c r="C328">
        <v>38468649.432312012</v>
      </c>
      <c r="D328">
        <v>31087403.150055647</v>
      </c>
      <c r="E328">
        <v>37289733.888995945</v>
      </c>
      <c r="F328" t="str">
        <f t="shared" si="10"/>
        <v>120000</v>
      </c>
      <c r="G328" t="str">
        <f t="shared" si="11"/>
        <v>20260401</v>
      </c>
    </row>
    <row r="329" spans="1:7" x14ac:dyDescent="0.3">
      <c r="A329" s="3" t="s">
        <v>332</v>
      </c>
      <c r="B329">
        <v>15043275.844805658</v>
      </c>
      <c r="C329">
        <v>15678788.357199311</v>
      </c>
      <c r="D329">
        <v>14041043.863128662</v>
      </c>
      <c r="E329">
        <v>14589967.327351093</v>
      </c>
      <c r="F329" t="str">
        <f t="shared" si="10"/>
        <v>130000</v>
      </c>
      <c r="G329" t="str">
        <f t="shared" si="11"/>
        <v>20260401</v>
      </c>
    </row>
    <row r="330" spans="1:7" x14ac:dyDescent="0.3">
      <c r="A330" s="3" t="s">
        <v>333</v>
      </c>
      <c r="B330">
        <v>22206345.46240139</v>
      </c>
      <c r="C330">
        <v>18923550.75637722</v>
      </c>
      <c r="D330">
        <v>20916744.806310654</v>
      </c>
      <c r="E330">
        <v>17714304.562418938</v>
      </c>
      <c r="F330" t="str">
        <f t="shared" si="10"/>
        <v>140000</v>
      </c>
      <c r="G330" t="str">
        <f t="shared" si="11"/>
        <v>20260401</v>
      </c>
    </row>
    <row r="331" spans="1:7" x14ac:dyDescent="0.3">
      <c r="A331" s="3" t="s">
        <v>334</v>
      </c>
      <c r="B331">
        <v>11227570.806406617</v>
      </c>
      <c r="C331">
        <v>9580197.9039036632</v>
      </c>
      <c r="D331">
        <v>10262135.557145476</v>
      </c>
      <c r="E331">
        <v>8661280.4150079489</v>
      </c>
      <c r="F331" t="str">
        <f t="shared" si="10"/>
        <v>150000</v>
      </c>
      <c r="G331" t="str">
        <f t="shared" si="11"/>
        <v>20260401</v>
      </c>
    </row>
    <row r="332" spans="1:7" x14ac:dyDescent="0.3">
      <c r="A332" s="3" t="s">
        <v>335</v>
      </c>
      <c r="B332">
        <v>8573728.9150260687</v>
      </c>
      <c r="C332">
        <v>8235283.9014641047</v>
      </c>
      <c r="D332">
        <v>7849672.9629038572</v>
      </c>
      <c r="E332">
        <v>7470209.3120999336</v>
      </c>
      <c r="F332" t="str">
        <f t="shared" si="10"/>
        <v>160000</v>
      </c>
      <c r="G332" t="str">
        <f t="shared" si="11"/>
        <v>20260401</v>
      </c>
    </row>
    <row r="333" spans="1:7" x14ac:dyDescent="0.3">
      <c r="A333" s="3" t="s">
        <v>336</v>
      </c>
      <c r="B333">
        <v>7048517.350492835</v>
      </c>
      <c r="C333">
        <v>5510997.3479238749</v>
      </c>
      <c r="D333">
        <v>6355217.9417498112</v>
      </c>
      <c r="E333">
        <v>4907618.7714027166</v>
      </c>
      <c r="F333" t="str">
        <f t="shared" si="10"/>
        <v>170000</v>
      </c>
      <c r="G333" t="str">
        <f t="shared" si="11"/>
        <v>20260401</v>
      </c>
    </row>
    <row r="334" spans="1:7" x14ac:dyDescent="0.3">
      <c r="A334" s="3" t="s">
        <v>337</v>
      </c>
      <c r="B334">
        <v>5874632.5891441107</v>
      </c>
      <c r="C334">
        <v>5802669.5901603103</v>
      </c>
      <c r="D334">
        <v>5282150.0820047855</v>
      </c>
      <c r="E334">
        <v>5118004.3441275954</v>
      </c>
      <c r="F334" t="str">
        <f t="shared" si="10"/>
        <v>180000</v>
      </c>
      <c r="G334" t="str">
        <f t="shared" si="11"/>
        <v>20260401</v>
      </c>
    </row>
    <row r="335" spans="1:7" x14ac:dyDescent="0.3">
      <c r="A335" s="3" t="s">
        <v>338</v>
      </c>
      <c r="B335">
        <v>7034.7969133853912</v>
      </c>
      <c r="C335">
        <v>9020.7783932089806</v>
      </c>
      <c r="D335">
        <v>0</v>
      </c>
      <c r="E335">
        <v>0</v>
      </c>
      <c r="F335" t="str">
        <f t="shared" si="10"/>
        <v>190000</v>
      </c>
      <c r="G335" t="str">
        <f t="shared" si="11"/>
        <v>20260401</v>
      </c>
    </row>
    <row r="336" spans="1:7" x14ac:dyDescent="0.3">
      <c r="A336" s="3" t="s">
        <v>339</v>
      </c>
      <c r="B336">
        <v>915156.59042388201</v>
      </c>
      <c r="C336">
        <v>922405.13427370787</v>
      </c>
      <c r="D336">
        <v>543054.79042959213</v>
      </c>
      <c r="E336">
        <v>553060.90552186966</v>
      </c>
      <c r="F336" t="str">
        <f t="shared" si="10"/>
        <v>060000</v>
      </c>
      <c r="G336" t="str">
        <f t="shared" si="11"/>
        <v>20260402</v>
      </c>
    </row>
    <row r="337" spans="1:7" x14ac:dyDescent="0.3">
      <c r="A337" s="3" t="s">
        <v>340</v>
      </c>
      <c r="B337">
        <v>60451.639661848545</v>
      </c>
      <c r="C337">
        <v>167355.81650626659</v>
      </c>
      <c r="D337">
        <v>30350.618104934692</v>
      </c>
      <c r="E337">
        <v>127345.80870056152</v>
      </c>
      <c r="F337" t="str">
        <f t="shared" si="10"/>
        <v>070000</v>
      </c>
      <c r="G337" t="str">
        <f t="shared" si="11"/>
        <v>20260402</v>
      </c>
    </row>
    <row r="338" spans="1:7" x14ac:dyDescent="0.3">
      <c r="A338" s="3" t="s">
        <v>341</v>
      </c>
      <c r="B338">
        <v>661021.77854990959</v>
      </c>
      <c r="C338">
        <v>826408.5910179615</v>
      </c>
      <c r="D338">
        <v>566078.02051925659</v>
      </c>
      <c r="E338">
        <v>692257.17517566681</v>
      </c>
      <c r="F338" t="str">
        <f t="shared" si="10"/>
        <v>080000</v>
      </c>
      <c r="G338" t="str">
        <f t="shared" si="11"/>
        <v>20260402</v>
      </c>
    </row>
    <row r="339" spans="1:7" x14ac:dyDescent="0.3">
      <c r="A339" s="3" t="s">
        <v>342</v>
      </c>
      <c r="B339">
        <v>14837840.573579073</v>
      </c>
      <c r="C339">
        <v>18227451.906815469</v>
      </c>
      <c r="D339">
        <v>13611078.217439413</v>
      </c>
      <c r="E339">
        <v>16839354.863383412</v>
      </c>
      <c r="F339" t="str">
        <f t="shared" si="10"/>
        <v>090000</v>
      </c>
      <c r="G339" t="str">
        <f t="shared" si="11"/>
        <v>20260402</v>
      </c>
    </row>
    <row r="340" spans="1:7" x14ac:dyDescent="0.3">
      <c r="A340" s="3" t="s">
        <v>343</v>
      </c>
      <c r="B340">
        <v>19312395.284605443</v>
      </c>
      <c r="C340">
        <v>20760498.125303507</v>
      </c>
      <c r="D340">
        <v>17967504.470958948</v>
      </c>
      <c r="E340">
        <v>19404611.953668952</v>
      </c>
      <c r="F340" t="str">
        <f t="shared" si="10"/>
        <v>100000</v>
      </c>
      <c r="G340" t="str">
        <f t="shared" si="11"/>
        <v>20260402</v>
      </c>
    </row>
    <row r="341" spans="1:7" x14ac:dyDescent="0.3">
      <c r="A341" s="3" t="s">
        <v>344</v>
      </c>
      <c r="B341">
        <v>18695298.217440128</v>
      </c>
      <c r="C341">
        <v>21193498.088982821</v>
      </c>
      <c r="D341">
        <v>17375527.268698812</v>
      </c>
      <c r="E341">
        <v>19825138.789683342</v>
      </c>
      <c r="F341" t="str">
        <f t="shared" si="10"/>
        <v>110000</v>
      </c>
      <c r="G341" t="str">
        <f t="shared" si="11"/>
        <v>20260402</v>
      </c>
    </row>
    <row r="342" spans="1:7" x14ac:dyDescent="0.3">
      <c r="A342" s="3" t="s">
        <v>345</v>
      </c>
      <c r="B342">
        <v>18119771.842565775</v>
      </c>
      <c r="C342">
        <v>18067393.480916023</v>
      </c>
      <c r="D342">
        <v>16634159.646757305</v>
      </c>
      <c r="E342">
        <v>16618779.00407505</v>
      </c>
      <c r="F342" t="str">
        <f t="shared" si="10"/>
        <v>120000</v>
      </c>
      <c r="G342" t="str">
        <f t="shared" si="11"/>
        <v>20260402</v>
      </c>
    </row>
    <row r="343" spans="1:7" x14ac:dyDescent="0.3">
      <c r="A343" s="3" t="s">
        <v>346</v>
      </c>
      <c r="B343">
        <v>15723850.515579581</v>
      </c>
      <c r="C343">
        <v>14227506.508702278</v>
      </c>
      <c r="D343">
        <v>14555569.88744092</v>
      </c>
      <c r="E343">
        <v>13078980.153747559</v>
      </c>
      <c r="F343" t="str">
        <f t="shared" si="10"/>
        <v>130000</v>
      </c>
      <c r="G343" t="str">
        <f t="shared" si="11"/>
        <v>20260402</v>
      </c>
    </row>
    <row r="344" spans="1:7" x14ac:dyDescent="0.3">
      <c r="A344" s="3" t="s">
        <v>347</v>
      </c>
      <c r="B344">
        <v>15824244.56512022</v>
      </c>
      <c r="C344">
        <v>18169211.31570816</v>
      </c>
      <c r="D344">
        <v>14336068.12643528</v>
      </c>
      <c r="E344">
        <v>16605517.215853214</v>
      </c>
      <c r="F344" t="str">
        <f t="shared" si="10"/>
        <v>140000</v>
      </c>
      <c r="G344" t="str">
        <f t="shared" si="11"/>
        <v>20260402</v>
      </c>
    </row>
    <row r="345" spans="1:7" x14ac:dyDescent="0.3">
      <c r="A345" s="3" t="s">
        <v>348</v>
      </c>
      <c r="B345">
        <v>6369163.2252793312</v>
      </c>
      <c r="C345">
        <v>7372754.0262793303</v>
      </c>
      <c r="D345">
        <v>4890959.4095019698</v>
      </c>
      <c r="E345">
        <v>5740467.0880396366</v>
      </c>
      <c r="F345" t="str">
        <f t="shared" si="10"/>
        <v>150000</v>
      </c>
      <c r="G345" t="str">
        <f t="shared" si="11"/>
        <v>20260402</v>
      </c>
    </row>
    <row r="346" spans="1:7" x14ac:dyDescent="0.3">
      <c r="A346" s="3" t="s">
        <v>349</v>
      </c>
      <c r="B346">
        <v>17238466.008850574</v>
      </c>
      <c r="C346">
        <v>16824119.487853765</v>
      </c>
      <c r="D346">
        <v>16036645.901970387</v>
      </c>
      <c r="E346">
        <v>15580825.499857664</v>
      </c>
      <c r="F346" t="str">
        <f t="shared" si="10"/>
        <v>160000</v>
      </c>
      <c r="G346" t="str">
        <f t="shared" si="11"/>
        <v>20260402</v>
      </c>
    </row>
    <row r="347" spans="1:7" x14ac:dyDescent="0.3">
      <c r="A347" s="3" t="s">
        <v>350</v>
      </c>
      <c r="B347">
        <v>12200318.747859836</v>
      </c>
      <c r="C347">
        <v>11567253.330745876</v>
      </c>
      <c r="D347">
        <v>11326949.867708564</v>
      </c>
      <c r="E347">
        <v>10681141.634900212</v>
      </c>
      <c r="F347" t="str">
        <f t="shared" si="10"/>
        <v>170000</v>
      </c>
      <c r="G347" t="str">
        <f t="shared" si="11"/>
        <v>20260402</v>
      </c>
    </row>
    <row r="348" spans="1:7" x14ac:dyDescent="0.3">
      <c r="A348" s="3" t="s">
        <v>351</v>
      </c>
      <c r="B348">
        <v>10515795.810666442</v>
      </c>
      <c r="C348">
        <v>9364975.7617918849</v>
      </c>
      <c r="D348">
        <v>9656044.5339193344</v>
      </c>
      <c r="E348">
        <v>8536399.759578824</v>
      </c>
      <c r="F348" t="str">
        <f t="shared" si="10"/>
        <v>180000</v>
      </c>
      <c r="G348" t="str">
        <f t="shared" si="11"/>
        <v>20260402</v>
      </c>
    </row>
    <row r="349" spans="1:7" x14ac:dyDescent="0.3">
      <c r="A349" s="3" t="s">
        <v>352</v>
      </c>
      <c r="B349">
        <v>359012.07670730352</v>
      </c>
      <c r="C349">
        <v>373007.34249413013</v>
      </c>
      <c r="D349">
        <v>69971.555327236652</v>
      </c>
      <c r="E349">
        <v>76115.836717605591</v>
      </c>
      <c r="F349" t="str">
        <f t="shared" si="10"/>
        <v>190000</v>
      </c>
      <c r="G349" t="str">
        <f t="shared" si="11"/>
        <v>20260402</v>
      </c>
    </row>
    <row r="350" spans="1:7" x14ac:dyDescent="0.3">
      <c r="A350" s="3" t="s">
        <v>353</v>
      </c>
      <c r="B350">
        <v>430772.85363864899</v>
      </c>
      <c r="C350">
        <v>370127.63508355618</v>
      </c>
      <c r="D350">
        <v>238669.04469203949</v>
      </c>
      <c r="E350">
        <v>188099.88981771469</v>
      </c>
      <c r="F350" t="str">
        <f t="shared" si="10"/>
        <v>060000</v>
      </c>
      <c r="G350" t="str">
        <f t="shared" si="11"/>
        <v>20260403</v>
      </c>
    </row>
    <row r="351" spans="1:7" x14ac:dyDescent="0.3">
      <c r="A351" s="3" t="s">
        <v>354</v>
      </c>
      <c r="B351">
        <v>253046.58077687025</v>
      </c>
      <c r="C351">
        <v>176422.23321908712</v>
      </c>
      <c r="D351">
        <v>207989.08488464355</v>
      </c>
      <c r="E351">
        <v>122735.04566955566</v>
      </c>
      <c r="F351" t="str">
        <f t="shared" si="10"/>
        <v>070000</v>
      </c>
      <c r="G351" t="str">
        <f t="shared" si="11"/>
        <v>20260403</v>
      </c>
    </row>
    <row r="352" spans="1:7" x14ac:dyDescent="0.3">
      <c r="A352" s="3" t="s">
        <v>355</v>
      </c>
      <c r="B352">
        <v>2822719.0566450357</v>
      </c>
      <c r="C352">
        <v>2689780.5933212638</v>
      </c>
      <c r="D352">
        <v>2423672.1082551479</v>
      </c>
      <c r="E352">
        <v>2296614.3908576965</v>
      </c>
      <c r="F352" t="str">
        <f t="shared" si="10"/>
        <v>080000</v>
      </c>
      <c r="G352" t="str">
        <f t="shared" si="11"/>
        <v>20260403</v>
      </c>
    </row>
    <row r="353" spans="1:7" x14ac:dyDescent="0.3">
      <c r="A353" s="3" t="s">
        <v>356</v>
      </c>
      <c r="B353">
        <v>14539508.969471693</v>
      </c>
      <c r="C353">
        <v>19808184.054121554</v>
      </c>
      <c r="D353">
        <v>13412925.159052253</v>
      </c>
      <c r="E353">
        <v>18453896.399641275</v>
      </c>
      <c r="F353" t="str">
        <f t="shared" si="10"/>
        <v>090000</v>
      </c>
      <c r="G353" t="str">
        <f t="shared" si="11"/>
        <v>20260403</v>
      </c>
    </row>
    <row r="354" spans="1:7" x14ac:dyDescent="0.3">
      <c r="A354" s="3" t="s">
        <v>357</v>
      </c>
      <c r="B354">
        <v>20500659.346539915</v>
      </c>
      <c r="C354">
        <v>22490762.199590445</v>
      </c>
      <c r="D354">
        <v>19366157.771942675</v>
      </c>
      <c r="E354">
        <v>21202381.842604637</v>
      </c>
      <c r="F354" t="str">
        <f t="shared" si="10"/>
        <v>100000</v>
      </c>
      <c r="G354" t="str">
        <f t="shared" si="11"/>
        <v>20260403</v>
      </c>
    </row>
    <row r="355" spans="1:7" x14ac:dyDescent="0.3">
      <c r="A355" s="3" t="s">
        <v>358</v>
      </c>
      <c r="B355">
        <v>20554973.725821733</v>
      </c>
      <c r="C355">
        <v>24373091.115911484</v>
      </c>
      <c r="D355">
        <v>19288496.410685301</v>
      </c>
      <c r="E355">
        <v>22978391.56619072</v>
      </c>
      <c r="F355" t="str">
        <f t="shared" si="10"/>
        <v>110000</v>
      </c>
      <c r="G355" t="str">
        <f t="shared" si="11"/>
        <v>20260403</v>
      </c>
    </row>
    <row r="356" spans="1:7" x14ac:dyDescent="0.3">
      <c r="A356" s="3" t="s">
        <v>359</v>
      </c>
      <c r="B356">
        <v>31065701.101332188</v>
      </c>
      <c r="C356">
        <v>33206227.448112488</v>
      </c>
      <c r="D356">
        <v>29848758.641014099</v>
      </c>
      <c r="E356">
        <v>31901715.761396408</v>
      </c>
      <c r="F356" t="str">
        <f t="shared" si="10"/>
        <v>120000</v>
      </c>
      <c r="G356" t="str">
        <f t="shared" si="11"/>
        <v>20260403</v>
      </c>
    </row>
    <row r="357" spans="1:7" x14ac:dyDescent="0.3">
      <c r="A357" s="3" t="s">
        <v>360</v>
      </c>
      <c r="B357">
        <v>23242674.991737843</v>
      </c>
      <c r="C357">
        <v>22509899.897706509</v>
      </c>
      <c r="D357">
        <v>21792141.810974598</v>
      </c>
      <c r="E357">
        <v>21084831.821047068</v>
      </c>
      <c r="F357" t="str">
        <f t="shared" si="10"/>
        <v>130000</v>
      </c>
      <c r="G357" t="str">
        <f t="shared" si="11"/>
        <v>20260403</v>
      </c>
    </row>
    <row r="358" spans="1:7" x14ac:dyDescent="0.3">
      <c r="A358" s="3" t="s">
        <v>361</v>
      </c>
      <c r="B358">
        <v>19868179.565176249</v>
      </c>
      <c r="C358">
        <v>22606165.78246665</v>
      </c>
      <c r="D358">
        <v>18424858.269532204</v>
      </c>
      <c r="E358">
        <v>20979291.24784565</v>
      </c>
      <c r="F358" t="str">
        <f t="shared" si="10"/>
        <v>140000</v>
      </c>
      <c r="G358" t="str">
        <f t="shared" si="11"/>
        <v>20260403</v>
      </c>
    </row>
    <row r="359" spans="1:7" x14ac:dyDescent="0.3">
      <c r="A359" s="3" t="s">
        <v>362</v>
      </c>
      <c r="B359">
        <v>11995187.715686321</v>
      </c>
      <c r="C359">
        <v>10539799.317525804</v>
      </c>
      <c r="D359">
        <v>10497279.672555923</v>
      </c>
      <c r="E359">
        <v>9136837.5393167734</v>
      </c>
      <c r="F359" t="str">
        <f t="shared" si="10"/>
        <v>150000</v>
      </c>
      <c r="G359" t="str">
        <f t="shared" si="11"/>
        <v>20260403</v>
      </c>
    </row>
    <row r="360" spans="1:7" x14ac:dyDescent="0.3">
      <c r="A360" s="3" t="s">
        <v>363</v>
      </c>
      <c r="B360">
        <v>18336469.631687105</v>
      </c>
      <c r="C360">
        <v>17787703.723851502</v>
      </c>
      <c r="D360">
        <v>17048260.114514589</v>
      </c>
      <c r="E360">
        <v>16479326.370397806</v>
      </c>
      <c r="F360" t="str">
        <f t="shared" si="10"/>
        <v>160000</v>
      </c>
      <c r="G360" t="str">
        <f t="shared" si="11"/>
        <v>20260403</v>
      </c>
    </row>
    <row r="361" spans="1:7" x14ac:dyDescent="0.3">
      <c r="A361" s="3" t="s">
        <v>364</v>
      </c>
      <c r="B361">
        <v>19690582.057807922</v>
      </c>
      <c r="C361">
        <v>21723737.436723709</v>
      </c>
      <c r="D361">
        <v>18522232.506487727</v>
      </c>
      <c r="E361">
        <v>20391627.879813552</v>
      </c>
      <c r="F361" t="str">
        <f t="shared" si="10"/>
        <v>170000</v>
      </c>
      <c r="G361" t="str">
        <f t="shared" si="11"/>
        <v>20260403</v>
      </c>
    </row>
    <row r="362" spans="1:7" x14ac:dyDescent="0.3">
      <c r="A362" s="3" t="s">
        <v>365</v>
      </c>
      <c r="B362">
        <v>12969850.799962521</v>
      </c>
      <c r="C362">
        <v>11384330.619910359</v>
      </c>
      <c r="D362">
        <v>12094132.501859426</v>
      </c>
      <c r="E362">
        <v>10471747.068935096</v>
      </c>
      <c r="F362" t="str">
        <f t="shared" si="10"/>
        <v>180000</v>
      </c>
      <c r="G362" t="str">
        <f t="shared" si="11"/>
        <v>20260403</v>
      </c>
    </row>
    <row r="363" spans="1:7" x14ac:dyDescent="0.3">
      <c r="A363" s="3" t="s">
        <v>366</v>
      </c>
      <c r="B363">
        <v>77067.79530531168</v>
      </c>
      <c r="C363">
        <v>68002.401634573936</v>
      </c>
      <c r="D363">
        <v>12450.59367275238</v>
      </c>
      <c r="E363">
        <v>7673.1801109313965</v>
      </c>
      <c r="F363" t="str">
        <f t="shared" si="10"/>
        <v>190000</v>
      </c>
      <c r="G363" t="str">
        <f t="shared" si="11"/>
        <v>20260403</v>
      </c>
    </row>
    <row r="364" spans="1:7" x14ac:dyDescent="0.3">
      <c r="A364" s="3" t="s">
        <v>367</v>
      </c>
      <c r="B364">
        <v>2070.2465882897377</v>
      </c>
      <c r="C364">
        <v>2080.2474989891052</v>
      </c>
      <c r="D364">
        <v>0</v>
      </c>
      <c r="E364">
        <v>0</v>
      </c>
      <c r="F364" t="str">
        <f t="shared" si="10"/>
        <v>060000</v>
      </c>
      <c r="G364" t="str">
        <f t="shared" si="11"/>
        <v>20260404</v>
      </c>
    </row>
    <row r="365" spans="1:7" x14ac:dyDescent="0.3">
      <c r="A365" s="3" t="s">
        <v>368</v>
      </c>
      <c r="B365">
        <v>228590.65302366018</v>
      </c>
      <c r="C365">
        <v>216796.69073879719</v>
      </c>
      <c r="D365">
        <v>110370.40218353271</v>
      </c>
      <c r="E365">
        <v>116754.81603622437</v>
      </c>
      <c r="F365" t="str">
        <f t="shared" si="10"/>
        <v>070000</v>
      </c>
      <c r="G365" t="str">
        <f t="shared" si="11"/>
        <v>20260404</v>
      </c>
    </row>
    <row r="366" spans="1:7" x14ac:dyDescent="0.3">
      <c r="A366" s="3" t="s">
        <v>369</v>
      </c>
      <c r="B366">
        <v>1363903.2561145425</v>
      </c>
      <c r="C366">
        <v>1297940.7263394594</v>
      </c>
      <c r="D366">
        <v>1191004.9324717522</v>
      </c>
      <c r="E366">
        <v>1062773.1658426523</v>
      </c>
      <c r="F366" t="str">
        <f t="shared" si="10"/>
        <v>080000</v>
      </c>
      <c r="G366" t="str">
        <f t="shared" si="11"/>
        <v>20260404</v>
      </c>
    </row>
    <row r="367" spans="1:7" x14ac:dyDescent="0.3">
      <c r="A367" s="3" t="s">
        <v>370</v>
      </c>
      <c r="B367">
        <v>2415290.2658991218</v>
      </c>
      <c r="C367">
        <v>2172814.7675910592</v>
      </c>
      <c r="D367">
        <v>2151047.0401211977</v>
      </c>
      <c r="E367">
        <v>1873024.2540839911</v>
      </c>
      <c r="F367" t="str">
        <f t="shared" si="10"/>
        <v>090000</v>
      </c>
      <c r="G367" t="str">
        <f t="shared" si="11"/>
        <v>20260404</v>
      </c>
    </row>
    <row r="368" spans="1:7" x14ac:dyDescent="0.3">
      <c r="A368" s="3" t="s">
        <v>371</v>
      </c>
      <c r="B368">
        <v>2126177.9241138101</v>
      </c>
      <c r="C368">
        <v>1704946.4388583899</v>
      </c>
      <c r="D368">
        <v>1912641.2048611641</v>
      </c>
      <c r="E368">
        <v>1456024.9311597347</v>
      </c>
      <c r="F368" t="str">
        <f t="shared" si="10"/>
        <v>100000</v>
      </c>
      <c r="G368" t="str">
        <f t="shared" si="11"/>
        <v>20260404</v>
      </c>
    </row>
    <row r="369" spans="1:7" x14ac:dyDescent="0.3">
      <c r="A369" s="3" t="s">
        <v>372</v>
      </c>
      <c r="B369">
        <v>7971359.0646133423</v>
      </c>
      <c r="C369">
        <v>7245024.3108128905</v>
      </c>
      <c r="D369">
        <v>7164278.192692399</v>
      </c>
      <c r="E369">
        <v>6410459.7859474421</v>
      </c>
      <c r="F369" t="str">
        <f t="shared" si="10"/>
        <v>110000</v>
      </c>
      <c r="G369" t="str">
        <f t="shared" si="11"/>
        <v>20260404</v>
      </c>
    </row>
    <row r="370" spans="1:7" x14ac:dyDescent="0.3">
      <c r="A370" s="3" t="s">
        <v>373</v>
      </c>
      <c r="B370">
        <v>11432268.582828462</v>
      </c>
      <c r="C370">
        <v>13935427.061084509</v>
      </c>
      <c r="D370">
        <v>10403604.369432688</v>
      </c>
      <c r="E370">
        <v>12784821.366030991</v>
      </c>
      <c r="F370" t="str">
        <f t="shared" si="10"/>
        <v>120000</v>
      </c>
      <c r="G370" t="str">
        <f t="shared" si="11"/>
        <v>20260404</v>
      </c>
    </row>
    <row r="371" spans="1:7" x14ac:dyDescent="0.3">
      <c r="A371" s="3" t="s">
        <v>374</v>
      </c>
      <c r="B371">
        <v>13822386.434471965</v>
      </c>
      <c r="C371">
        <v>20109519.311642408</v>
      </c>
      <c r="D371">
        <v>12709964.182010412</v>
      </c>
      <c r="E371">
        <v>18703433.923066795</v>
      </c>
      <c r="F371" t="str">
        <f t="shared" si="10"/>
        <v>130000</v>
      </c>
      <c r="G371" t="str">
        <f t="shared" si="11"/>
        <v>20260404</v>
      </c>
    </row>
    <row r="372" spans="1:7" x14ac:dyDescent="0.3">
      <c r="A372" s="3" t="s">
        <v>375</v>
      </c>
      <c r="B372">
        <v>18218056.738974214</v>
      </c>
      <c r="C372">
        <v>20907635.043632567</v>
      </c>
      <c r="D372">
        <v>17024725.129598618</v>
      </c>
      <c r="E372">
        <v>19536610.730977297</v>
      </c>
      <c r="F372" t="str">
        <f t="shared" si="10"/>
        <v>140000</v>
      </c>
      <c r="G372" t="str">
        <f t="shared" si="11"/>
        <v>20260404</v>
      </c>
    </row>
    <row r="373" spans="1:7" x14ac:dyDescent="0.3">
      <c r="A373" s="3" t="s">
        <v>376</v>
      </c>
      <c r="B373">
        <v>21183865.25693512</v>
      </c>
      <c r="C373">
        <v>22825024.038938284</v>
      </c>
      <c r="D373">
        <v>20093234.0427742</v>
      </c>
      <c r="E373">
        <v>21582931.504595041</v>
      </c>
      <c r="F373" t="str">
        <f t="shared" si="10"/>
        <v>150000</v>
      </c>
      <c r="G373" t="str">
        <f t="shared" si="11"/>
        <v>20260404</v>
      </c>
    </row>
    <row r="374" spans="1:7" x14ac:dyDescent="0.3">
      <c r="A374" s="3" t="s">
        <v>377</v>
      </c>
      <c r="B374">
        <v>18325541.672038555</v>
      </c>
      <c r="C374">
        <v>17888100.370245695</v>
      </c>
      <c r="D374">
        <v>17155767.809082627</v>
      </c>
      <c r="E374">
        <v>16695322.702782869</v>
      </c>
      <c r="F374" t="str">
        <f t="shared" si="10"/>
        <v>160000</v>
      </c>
      <c r="G374" t="str">
        <f t="shared" si="11"/>
        <v>20260404</v>
      </c>
    </row>
    <row r="375" spans="1:7" x14ac:dyDescent="0.3">
      <c r="A375" s="3" t="s">
        <v>378</v>
      </c>
      <c r="B375">
        <v>15954455.983485699</v>
      </c>
      <c r="C375">
        <v>15050086.192506433</v>
      </c>
      <c r="D375">
        <v>14904046.613725662</v>
      </c>
      <c r="E375">
        <v>13947439.676373422</v>
      </c>
      <c r="F375" t="str">
        <f t="shared" si="10"/>
        <v>170000</v>
      </c>
      <c r="G375" t="str">
        <f t="shared" si="11"/>
        <v>20260404</v>
      </c>
    </row>
    <row r="376" spans="1:7" x14ac:dyDescent="0.3">
      <c r="A376" s="3" t="s">
        <v>379</v>
      </c>
      <c r="B376">
        <v>12294433.306101203</v>
      </c>
      <c r="C376">
        <v>12084485.137477696</v>
      </c>
      <c r="D376">
        <v>11420970.272546291</v>
      </c>
      <c r="E376">
        <v>11243854.737671256</v>
      </c>
      <c r="F376" t="str">
        <f t="shared" si="10"/>
        <v>180000</v>
      </c>
      <c r="G376" t="str">
        <f t="shared" si="11"/>
        <v>20260404</v>
      </c>
    </row>
    <row r="377" spans="1:7" x14ac:dyDescent="0.3">
      <c r="A377" s="3" t="s">
        <v>380</v>
      </c>
      <c r="B377">
        <v>2285678.56965065</v>
      </c>
      <c r="C377">
        <v>2226045.6394659877</v>
      </c>
      <c r="D377">
        <v>1579398.0220576525</v>
      </c>
      <c r="E377">
        <v>1530002.3233591318</v>
      </c>
      <c r="F377" t="str">
        <f t="shared" si="10"/>
        <v>190000</v>
      </c>
      <c r="G377" t="str">
        <f t="shared" si="11"/>
        <v>20260404</v>
      </c>
    </row>
    <row r="378" spans="1:7" x14ac:dyDescent="0.3">
      <c r="A378" s="3" t="s">
        <v>381</v>
      </c>
      <c r="B378">
        <v>961954.88474929333</v>
      </c>
      <c r="C378">
        <v>955400.75026935339</v>
      </c>
      <c r="D378">
        <v>574351.39654111862</v>
      </c>
      <c r="E378">
        <v>573488.17407619953</v>
      </c>
      <c r="F378" t="str">
        <f t="shared" si="10"/>
        <v>060000</v>
      </c>
      <c r="G378" t="str">
        <f t="shared" si="11"/>
        <v>20260405</v>
      </c>
    </row>
    <row r="379" spans="1:7" x14ac:dyDescent="0.3">
      <c r="A379" s="3" t="s">
        <v>382</v>
      </c>
      <c r="B379">
        <v>28040.419124364853</v>
      </c>
      <c r="C379">
        <v>31489.489485263824</v>
      </c>
      <c r="D379">
        <v>4990.1012878417969</v>
      </c>
      <c r="E379">
        <v>3186.3294677734375</v>
      </c>
      <c r="F379" t="str">
        <f t="shared" si="10"/>
        <v>070000</v>
      </c>
      <c r="G379" t="str">
        <f t="shared" si="11"/>
        <v>20260405</v>
      </c>
    </row>
    <row r="380" spans="1:7" x14ac:dyDescent="0.3">
      <c r="A380" s="3" t="s">
        <v>383</v>
      </c>
      <c r="B380">
        <v>1217173.3370444179</v>
      </c>
      <c r="C380">
        <v>1217318.2698250413</v>
      </c>
      <c r="D380">
        <v>1053363.8295992613</v>
      </c>
      <c r="E380">
        <v>1046764.0902051926</v>
      </c>
      <c r="F380" t="str">
        <f t="shared" si="10"/>
        <v>080000</v>
      </c>
      <c r="G380" t="str">
        <f t="shared" si="11"/>
        <v>20260405</v>
      </c>
    </row>
    <row r="381" spans="1:7" x14ac:dyDescent="0.3">
      <c r="A381" s="3" t="s">
        <v>384</v>
      </c>
      <c r="B381">
        <v>11642637.211273551</v>
      </c>
      <c r="C381">
        <v>16802179.827591658</v>
      </c>
      <c r="D381">
        <v>10676516.743194044</v>
      </c>
      <c r="E381">
        <v>15618143.267061234</v>
      </c>
      <c r="F381" t="str">
        <f t="shared" si="10"/>
        <v>090000</v>
      </c>
      <c r="G381" t="str">
        <f t="shared" si="11"/>
        <v>20260405</v>
      </c>
    </row>
    <row r="382" spans="1:7" x14ac:dyDescent="0.3">
      <c r="A382" s="3" t="s">
        <v>385</v>
      </c>
      <c r="B382">
        <v>20063763.710276067</v>
      </c>
      <c r="C382">
        <v>20940902.850391507</v>
      </c>
      <c r="D382">
        <v>18812180.889104068</v>
      </c>
      <c r="E382">
        <v>19533976.999881029</v>
      </c>
      <c r="F382" t="str">
        <f t="shared" si="10"/>
        <v>100000</v>
      </c>
      <c r="G382" t="str">
        <f t="shared" si="11"/>
        <v>20260405</v>
      </c>
    </row>
    <row r="383" spans="1:7" x14ac:dyDescent="0.3">
      <c r="A383" s="3" t="s">
        <v>386</v>
      </c>
      <c r="B383">
        <v>15927379.284156919</v>
      </c>
      <c r="C383">
        <v>18109226.438061416</v>
      </c>
      <c r="D383">
        <v>14777847.463672459</v>
      </c>
      <c r="E383">
        <v>16778253.948551893</v>
      </c>
      <c r="F383" t="str">
        <f t="shared" si="10"/>
        <v>110000</v>
      </c>
      <c r="G383" t="str">
        <f t="shared" si="11"/>
        <v>20260405</v>
      </c>
    </row>
    <row r="384" spans="1:7" x14ac:dyDescent="0.3">
      <c r="A384" s="3" t="s">
        <v>387</v>
      </c>
      <c r="B384">
        <v>30208244.731163025</v>
      </c>
      <c r="C384">
        <v>32515594.213246346</v>
      </c>
      <c r="D384">
        <v>29135294.622421265</v>
      </c>
      <c r="E384">
        <v>31306261.597835541</v>
      </c>
      <c r="F384" t="str">
        <f t="shared" si="10"/>
        <v>120000</v>
      </c>
      <c r="G384" t="str">
        <f t="shared" si="11"/>
        <v>20260405</v>
      </c>
    </row>
    <row r="385" spans="1:7" x14ac:dyDescent="0.3">
      <c r="A385" s="3" t="s">
        <v>388</v>
      </c>
      <c r="B385">
        <v>28672155.601554871</v>
      </c>
      <c r="C385">
        <v>30202787.99105072</v>
      </c>
      <c r="D385">
        <v>27479836.657141447</v>
      </c>
      <c r="E385">
        <v>28932051.092677593</v>
      </c>
      <c r="F385" t="str">
        <f t="shared" si="10"/>
        <v>130000</v>
      </c>
      <c r="G385" t="str">
        <f t="shared" si="11"/>
        <v>20260405</v>
      </c>
    </row>
    <row r="386" spans="1:7" x14ac:dyDescent="0.3">
      <c r="A386" s="3" t="s">
        <v>389</v>
      </c>
      <c r="B386">
        <v>23032068.452407002</v>
      </c>
      <c r="C386">
        <v>22193970.381421328</v>
      </c>
      <c r="D386">
        <v>21703923.957461357</v>
      </c>
      <c r="E386">
        <v>20868297.984885216</v>
      </c>
      <c r="F386" t="str">
        <f t="shared" ref="F386:F449" si="12">_xlfn.TEXTBEFORE(_xlfn.TEXTAFTER($A386,"_",2),".",1)</f>
        <v>140000</v>
      </c>
      <c r="G386" t="str">
        <f t="shared" ref="G386:G449" si="13">_xlfn.TEXTBEFORE(_xlfn.TEXTAFTER($A386,"_",1),"_",1)</f>
        <v>20260405</v>
      </c>
    </row>
    <row r="387" spans="1:7" x14ac:dyDescent="0.3">
      <c r="A387" s="3" t="s">
        <v>390</v>
      </c>
      <c r="B387">
        <v>8869834.1813613772</v>
      </c>
      <c r="C387">
        <v>10459633.127097368</v>
      </c>
      <c r="D387">
        <v>7409090.4139714241</v>
      </c>
      <c r="E387">
        <v>8882872.7184355259</v>
      </c>
      <c r="F387" t="str">
        <f t="shared" si="12"/>
        <v>150000</v>
      </c>
      <c r="G387" t="str">
        <f t="shared" si="13"/>
        <v>20260405</v>
      </c>
    </row>
    <row r="388" spans="1:7" x14ac:dyDescent="0.3">
      <c r="A388" s="3" t="s">
        <v>391</v>
      </c>
      <c r="B388">
        <v>18453348.032357931</v>
      </c>
      <c r="C388">
        <v>20235336.963370085</v>
      </c>
      <c r="D388">
        <v>17242452.786975861</v>
      </c>
      <c r="E388">
        <v>19015105.108052552</v>
      </c>
      <c r="F388" t="str">
        <f t="shared" si="12"/>
        <v>160000</v>
      </c>
      <c r="G388" t="str">
        <f t="shared" si="13"/>
        <v>20260405</v>
      </c>
    </row>
    <row r="389" spans="1:7" x14ac:dyDescent="0.3">
      <c r="A389" s="3" t="s">
        <v>392</v>
      </c>
      <c r="B389">
        <v>22030233.133331418</v>
      </c>
      <c r="C389">
        <v>22817765.811349571</v>
      </c>
      <c r="D389">
        <v>20874675.961867929</v>
      </c>
      <c r="E389">
        <v>21574946.612763405</v>
      </c>
      <c r="F389" t="str">
        <f t="shared" si="12"/>
        <v>170000</v>
      </c>
      <c r="G389" t="str">
        <f t="shared" si="13"/>
        <v>20260405</v>
      </c>
    </row>
    <row r="390" spans="1:7" x14ac:dyDescent="0.3">
      <c r="A390" s="3" t="s">
        <v>393</v>
      </c>
      <c r="B390">
        <v>15904987.862855017</v>
      </c>
      <c r="C390">
        <v>15644588.185276866</v>
      </c>
      <c r="D390">
        <v>14906720.28902185</v>
      </c>
      <c r="E390">
        <v>14608939.966750383</v>
      </c>
      <c r="F390" t="str">
        <f t="shared" si="12"/>
        <v>180000</v>
      </c>
      <c r="G390" t="str">
        <f t="shared" si="13"/>
        <v>20260405</v>
      </c>
    </row>
    <row r="391" spans="1:7" x14ac:dyDescent="0.3">
      <c r="A391" s="3" t="s">
        <v>394</v>
      </c>
      <c r="B391">
        <v>3189011.4851888418</v>
      </c>
      <c r="C391">
        <v>2492515.5721991658</v>
      </c>
      <c r="D391">
        <v>2293652.2876209617</v>
      </c>
      <c r="E391">
        <v>1662412.178134501</v>
      </c>
      <c r="F391" t="str">
        <f t="shared" si="12"/>
        <v>190000</v>
      </c>
      <c r="G391" t="str">
        <f t="shared" si="13"/>
        <v>20260405</v>
      </c>
    </row>
    <row r="392" spans="1:7" x14ac:dyDescent="0.3">
      <c r="A392" s="3" t="s">
        <v>395</v>
      </c>
      <c r="B392">
        <v>1980711.0415772796</v>
      </c>
      <c r="C392">
        <v>1805518.2746116519</v>
      </c>
      <c r="D392">
        <v>1402780.0288553834</v>
      </c>
      <c r="E392">
        <v>1217760.6361342669</v>
      </c>
      <c r="F392" t="str">
        <f t="shared" si="12"/>
        <v>060000</v>
      </c>
      <c r="G392" t="str">
        <f t="shared" si="13"/>
        <v>20260406</v>
      </c>
    </row>
    <row r="393" spans="1:7" x14ac:dyDescent="0.3">
      <c r="A393" s="3" t="s">
        <v>396</v>
      </c>
      <c r="B393">
        <v>1693288.9705600142</v>
      </c>
      <c r="C393">
        <v>1709475.1762892008</v>
      </c>
      <c r="D393">
        <v>1461591.084900856</v>
      </c>
      <c r="E393">
        <v>1450681.6938698888</v>
      </c>
      <c r="F393" t="str">
        <f t="shared" si="12"/>
        <v>070000</v>
      </c>
      <c r="G393" t="str">
        <f t="shared" si="13"/>
        <v>20260406</v>
      </c>
    </row>
    <row r="394" spans="1:7" x14ac:dyDescent="0.3">
      <c r="A394" s="3" t="s">
        <v>397</v>
      </c>
      <c r="B394">
        <v>1131610.2522629499</v>
      </c>
      <c r="C394">
        <v>1075205.5691876411</v>
      </c>
      <c r="D394">
        <v>989592.03833389282</v>
      </c>
      <c r="E394">
        <v>900410.89721035957</v>
      </c>
      <c r="F394" t="str">
        <f t="shared" si="12"/>
        <v>080000</v>
      </c>
      <c r="G394" t="str">
        <f t="shared" si="13"/>
        <v>20260406</v>
      </c>
    </row>
    <row r="395" spans="1:7" x14ac:dyDescent="0.3">
      <c r="A395" s="3" t="s">
        <v>398</v>
      </c>
      <c r="B395">
        <v>4407533.0100966692</v>
      </c>
      <c r="C395">
        <v>4020115.1359430552</v>
      </c>
      <c r="D395">
        <v>4017769.5349593163</v>
      </c>
      <c r="E395">
        <v>3553811.2971839309</v>
      </c>
      <c r="F395" t="str">
        <f t="shared" si="12"/>
        <v>090000</v>
      </c>
      <c r="G395" t="str">
        <f t="shared" si="13"/>
        <v>20260406</v>
      </c>
    </row>
    <row r="396" spans="1:7" x14ac:dyDescent="0.3">
      <c r="A396" s="3" t="s">
        <v>399</v>
      </c>
      <c r="B396">
        <v>7351737.1643257737</v>
      </c>
      <c r="C396">
        <v>7274412.0656033754</v>
      </c>
      <c r="D396">
        <v>6623977.9482375383</v>
      </c>
      <c r="E396">
        <v>6447987.8443049192</v>
      </c>
      <c r="F396" t="str">
        <f t="shared" si="12"/>
        <v>100000</v>
      </c>
      <c r="G396" t="str">
        <f t="shared" si="13"/>
        <v>20260406</v>
      </c>
    </row>
    <row r="397" spans="1:7" x14ac:dyDescent="0.3">
      <c r="A397" s="3" t="s">
        <v>400</v>
      </c>
      <c r="B397">
        <v>6143453.9037231207</v>
      </c>
      <c r="C397">
        <v>5614164.5037145615</v>
      </c>
      <c r="D397">
        <v>5603897.1408467293</v>
      </c>
      <c r="E397">
        <v>5025105.5004437566</v>
      </c>
      <c r="F397" t="str">
        <f t="shared" si="12"/>
        <v>110000</v>
      </c>
      <c r="G397" t="str">
        <f t="shared" si="13"/>
        <v>20260406</v>
      </c>
    </row>
    <row r="398" spans="1:7" x14ac:dyDescent="0.3">
      <c r="A398" s="3" t="s">
        <v>401</v>
      </c>
      <c r="B398">
        <v>15045406.392041981</v>
      </c>
      <c r="C398">
        <v>15247918.196383834</v>
      </c>
      <c r="D398">
        <v>13841998.517192602</v>
      </c>
      <c r="E398">
        <v>13970325.772977114</v>
      </c>
      <c r="F398" t="str">
        <f t="shared" si="12"/>
        <v>120000</v>
      </c>
      <c r="G398" t="str">
        <f t="shared" si="13"/>
        <v>20260406</v>
      </c>
    </row>
    <row r="399" spans="1:7" x14ac:dyDescent="0.3">
      <c r="A399" s="3" t="s">
        <v>402</v>
      </c>
      <c r="B399">
        <v>36671084.385402679</v>
      </c>
      <c r="C399">
        <v>32737228.26888752</v>
      </c>
      <c r="D399">
        <v>34263876.24319458</v>
      </c>
      <c r="E399">
        <v>30236377.686973572</v>
      </c>
      <c r="F399" t="str">
        <f t="shared" si="12"/>
        <v>130000</v>
      </c>
      <c r="G399" t="str">
        <f t="shared" si="13"/>
        <v>20260406</v>
      </c>
    </row>
    <row r="400" spans="1:7" x14ac:dyDescent="0.3">
      <c r="A400" s="3" t="s">
        <v>403</v>
      </c>
      <c r="B400">
        <v>12599566.879032671</v>
      </c>
      <c r="C400">
        <v>12677879.368293107</v>
      </c>
      <c r="D400">
        <v>11613703.454264402</v>
      </c>
      <c r="E400">
        <v>11618112.921892166</v>
      </c>
      <c r="F400" t="str">
        <f t="shared" si="12"/>
        <v>140000</v>
      </c>
      <c r="G400" t="str">
        <f t="shared" si="13"/>
        <v>20260406</v>
      </c>
    </row>
    <row r="401" spans="1:7" x14ac:dyDescent="0.3">
      <c r="A401" s="3" t="s">
        <v>404</v>
      </c>
      <c r="B401">
        <v>11893578.062969089</v>
      </c>
      <c r="C401">
        <v>13133082.902435243</v>
      </c>
      <c r="D401">
        <v>10826204.782883108</v>
      </c>
      <c r="E401">
        <v>11908919.287796974</v>
      </c>
      <c r="F401" t="str">
        <f t="shared" si="12"/>
        <v>150000</v>
      </c>
      <c r="G401" t="str">
        <f t="shared" si="13"/>
        <v>20260406</v>
      </c>
    </row>
    <row r="402" spans="1:7" x14ac:dyDescent="0.3">
      <c r="A402" s="3" t="s">
        <v>405</v>
      </c>
      <c r="B402">
        <v>16737745.902306557</v>
      </c>
      <c r="C402">
        <v>17350961.983166993</v>
      </c>
      <c r="D402">
        <v>15455133.860497713</v>
      </c>
      <c r="E402">
        <v>15986831.663983762</v>
      </c>
      <c r="F402" t="str">
        <f t="shared" si="12"/>
        <v>160000</v>
      </c>
      <c r="G402" t="str">
        <f t="shared" si="13"/>
        <v>20260406</v>
      </c>
    </row>
    <row r="403" spans="1:7" x14ac:dyDescent="0.3">
      <c r="A403" s="3" t="s">
        <v>406</v>
      </c>
      <c r="B403">
        <v>14043574.859589756</v>
      </c>
      <c r="C403">
        <v>13549109.322463572</v>
      </c>
      <c r="D403">
        <v>12936347.589224279</v>
      </c>
      <c r="E403">
        <v>12397283.118242502</v>
      </c>
      <c r="F403" t="str">
        <f t="shared" si="12"/>
        <v>170000</v>
      </c>
      <c r="G403" t="str">
        <f t="shared" si="13"/>
        <v>20260406</v>
      </c>
    </row>
    <row r="404" spans="1:7" x14ac:dyDescent="0.3">
      <c r="A404" s="3" t="s">
        <v>407</v>
      </c>
      <c r="B404">
        <v>11394821.583669722</v>
      </c>
      <c r="C404">
        <v>10897694.075393856</v>
      </c>
      <c r="D404">
        <v>10370517.045615137</v>
      </c>
      <c r="E404">
        <v>9876861.8889856339</v>
      </c>
      <c r="F404" t="str">
        <f t="shared" si="12"/>
        <v>180000</v>
      </c>
      <c r="G404" t="str">
        <f t="shared" si="13"/>
        <v>20260406</v>
      </c>
    </row>
    <row r="405" spans="1:7" x14ac:dyDescent="0.3">
      <c r="A405" s="3" t="s">
        <v>408</v>
      </c>
      <c r="B405">
        <v>2860981.2706937194</v>
      </c>
      <c r="C405">
        <v>2407350.057926774</v>
      </c>
      <c r="D405">
        <v>2063621.7637178302</v>
      </c>
      <c r="E405">
        <v>1683095.8814219832</v>
      </c>
      <c r="F405" t="str">
        <f t="shared" si="12"/>
        <v>190000</v>
      </c>
      <c r="G405" t="str">
        <f t="shared" si="13"/>
        <v>20260406</v>
      </c>
    </row>
    <row r="406" spans="1:7" x14ac:dyDescent="0.3">
      <c r="A406" s="3" t="s">
        <v>409</v>
      </c>
      <c r="B406">
        <v>234842.57984608412</v>
      </c>
      <c r="C406">
        <v>239920.87865203619</v>
      </c>
      <c r="D406">
        <v>41868.548797607422</v>
      </c>
      <c r="E406">
        <v>49779.843017578125</v>
      </c>
      <c r="F406" t="str">
        <f t="shared" si="12"/>
        <v>060000</v>
      </c>
      <c r="G406" t="str">
        <f t="shared" si="13"/>
        <v>20260407</v>
      </c>
    </row>
    <row r="407" spans="1:7" x14ac:dyDescent="0.3">
      <c r="A407" s="3" t="s">
        <v>410</v>
      </c>
      <c r="B407">
        <v>58072.670850396156</v>
      </c>
      <c r="C407">
        <v>61271.449658989906</v>
      </c>
      <c r="D407">
        <v>2305.5425109863281</v>
      </c>
      <c r="E407">
        <v>2843.9992065429688</v>
      </c>
      <c r="F407" t="str">
        <f t="shared" si="12"/>
        <v>070000</v>
      </c>
      <c r="G407" t="str">
        <f t="shared" si="13"/>
        <v>20260407</v>
      </c>
    </row>
    <row r="408" spans="1:7" x14ac:dyDescent="0.3">
      <c r="A408" s="3" t="s">
        <v>411</v>
      </c>
      <c r="B408">
        <v>909201.84855812788</v>
      </c>
      <c r="C408">
        <v>860102.0715841651</v>
      </c>
      <c r="D408">
        <v>696736.06800079346</v>
      </c>
      <c r="E408">
        <v>610553.5255433321</v>
      </c>
      <c r="F408" t="str">
        <f t="shared" si="12"/>
        <v>080000</v>
      </c>
      <c r="G408" t="str">
        <f t="shared" si="13"/>
        <v>20260407</v>
      </c>
    </row>
    <row r="409" spans="1:7" x14ac:dyDescent="0.3">
      <c r="A409" s="3" t="s">
        <v>412</v>
      </c>
      <c r="B409">
        <v>5647034.9204596877</v>
      </c>
      <c r="C409">
        <v>5251571.8558269739</v>
      </c>
      <c r="D409">
        <v>4851818.9437073469</v>
      </c>
      <c r="E409">
        <v>4487340.0212500095</v>
      </c>
      <c r="F409" t="str">
        <f t="shared" si="12"/>
        <v>090000</v>
      </c>
      <c r="G409" t="str">
        <f t="shared" si="13"/>
        <v>20260407</v>
      </c>
    </row>
    <row r="410" spans="1:7" x14ac:dyDescent="0.3">
      <c r="A410" s="3" t="s">
        <v>413</v>
      </c>
      <c r="B410">
        <v>9723525.4202020764</v>
      </c>
      <c r="C410">
        <v>10790334.298412859</v>
      </c>
      <c r="D410">
        <v>8661740.736917913</v>
      </c>
      <c r="E410">
        <v>9706865.1914207935</v>
      </c>
      <c r="F410" t="str">
        <f t="shared" si="12"/>
        <v>100000</v>
      </c>
      <c r="G410" t="str">
        <f t="shared" si="13"/>
        <v>20260407</v>
      </c>
    </row>
    <row r="411" spans="1:7" x14ac:dyDescent="0.3">
      <c r="A411" s="3" t="s">
        <v>414</v>
      </c>
      <c r="B411">
        <v>20132624.477324605</v>
      </c>
      <c r="C411">
        <v>21456369.228819311</v>
      </c>
      <c r="D411">
        <v>18804477.141845584</v>
      </c>
      <c r="E411">
        <v>19930368.165436506</v>
      </c>
      <c r="F411" t="str">
        <f t="shared" si="12"/>
        <v>110000</v>
      </c>
      <c r="G411" t="str">
        <f t="shared" si="13"/>
        <v>20260407</v>
      </c>
    </row>
    <row r="412" spans="1:7" x14ac:dyDescent="0.3">
      <c r="A412" s="3" t="s">
        <v>415</v>
      </c>
      <c r="B412">
        <v>10826353.252542675</v>
      </c>
      <c r="C412">
        <v>11175437.339097798</v>
      </c>
      <c r="D412">
        <v>9749713.8999013901</v>
      </c>
      <c r="E412">
        <v>10139107.431640804</v>
      </c>
      <c r="F412" t="str">
        <f t="shared" si="12"/>
        <v>120000</v>
      </c>
      <c r="G412" t="str">
        <f t="shared" si="13"/>
        <v>20260407</v>
      </c>
    </row>
    <row r="413" spans="1:7" x14ac:dyDescent="0.3">
      <c r="A413" s="3" t="s">
        <v>416</v>
      </c>
      <c r="B413">
        <v>15526264.985023141</v>
      </c>
      <c r="C413">
        <v>14114738.973416328</v>
      </c>
      <c r="D413">
        <v>14214664.301610708</v>
      </c>
      <c r="E413">
        <v>12831523.055063963</v>
      </c>
      <c r="F413" t="str">
        <f t="shared" si="12"/>
        <v>130000</v>
      </c>
      <c r="G413" t="str">
        <f t="shared" si="13"/>
        <v>20260407</v>
      </c>
    </row>
    <row r="414" spans="1:7" x14ac:dyDescent="0.3">
      <c r="A414" s="3" t="s">
        <v>417</v>
      </c>
      <c r="B414">
        <v>20260672.083896637</v>
      </c>
      <c r="C414">
        <v>21977102.371463776</v>
      </c>
      <c r="D414">
        <v>18856851.642850399</v>
      </c>
      <c r="E414">
        <v>20407159.866498947</v>
      </c>
      <c r="F414" t="str">
        <f t="shared" si="12"/>
        <v>140000</v>
      </c>
      <c r="G414" t="str">
        <f t="shared" si="13"/>
        <v>20260407</v>
      </c>
    </row>
    <row r="415" spans="1:7" x14ac:dyDescent="0.3">
      <c r="A415" s="3" t="s">
        <v>418</v>
      </c>
      <c r="B415">
        <v>5662392.4116893411</v>
      </c>
      <c r="C415">
        <v>7411319.0292617083</v>
      </c>
      <c r="D415">
        <v>4630249.9194171429</v>
      </c>
      <c r="E415">
        <v>6166674.4011288285</v>
      </c>
      <c r="F415" t="str">
        <f t="shared" si="12"/>
        <v>150000</v>
      </c>
      <c r="G415" t="str">
        <f t="shared" si="13"/>
        <v>20260407</v>
      </c>
    </row>
    <row r="416" spans="1:7" x14ac:dyDescent="0.3">
      <c r="A416" s="3" t="s">
        <v>419</v>
      </c>
      <c r="B416">
        <v>18576054.949657917</v>
      </c>
      <c r="C416">
        <v>20239032.648265362</v>
      </c>
      <c r="D416">
        <v>17532958.361836135</v>
      </c>
      <c r="E416">
        <v>19066669.506492853</v>
      </c>
      <c r="F416" t="str">
        <f t="shared" si="12"/>
        <v>160000</v>
      </c>
      <c r="G416" t="str">
        <f t="shared" si="13"/>
        <v>20260407</v>
      </c>
    </row>
    <row r="417" spans="1:7" x14ac:dyDescent="0.3">
      <c r="A417" s="3" t="s">
        <v>420</v>
      </c>
      <c r="B417">
        <v>14155916.518742919</v>
      </c>
      <c r="C417">
        <v>13465036.61464417</v>
      </c>
      <c r="D417">
        <v>13126020.437943339</v>
      </c>
      <c r="E417">
        <v>12413798.363722563</v>
      </c>
      <c r="F417" t="str">
        <f t="shared" si="12"/>
        <v>170000</v>
      </c>
      <c r="G417" t="str">
        <f t="shared" si="13"/>
        <v>20260407</v>
      </c>
    </row>
    <row r="418" spans="1:7" x14ac:dyDescent="0.3">
      <c r="A418" s="3" t="s">
        <v>421</v>
      </c>
      <c r="B418">
        <v>8128680.1837684512</v>
      </c>
      <c r="C418">
        <v>7491617.6810313463</v>
      </c>
      <c r="D418">
        <v>7421827.6856529713</v>
      </c>
      <c r="E418">
        <v>6784562.9847137928</v>
      </c>
      <c r="F418" t="str">
        <f t="shared" si="12"/>
        <v>180000</v>
      </c>
      <c r="G418" t="str">
        <f t="shared" si="13"/>
        <v>20260407</v>
      </c>
    </row>
    <row r="419" spans="1:7" x14ac:dyDescent="0.3">
      <c r="A419" s="3" t="s">
        <v>422</v>
      </c>
      <c r="B419">
        <v>1706186.2078711987</v>
      </c>
      <c r="C419">
        <v>1308564.7595409751</v>
      </c>
      <c r="D419">
        <v>1303206.0396473408</v>
      </c>
      <c r="E419">
        <v>952943.50572180748</v>
      </c>
      <c r="F419" t="str">
        <f t="shared" si="12"/>
        <v>190000</v>
      </c>
      <c r="G419" t="str">
        <f t="shared" si="13"/>
        <v>20260407</v>
      </c>
    </row>
    <row r="420" spans="1:7" x14ac:dyDescent="0.3">
      <c r="A420" s="3" t="s">
        <v>423</v>
      </c>
      <c r="B420">
        <v>273931.11087441444</v>
      </c>
      <c r="C420">
        <v>311983.0762937665</v>
      </c>
      <c r="D420">
        <v>119109.90836334229</v>
      </c>
      <c r="E420">
        <v>129174.06798410416</v>
      </c>
      <c r="F420" t="str">
        <f t="shared" si="12"/>
        <v>060000</v>
      </c>
      <c r="G420" t="str">
        <f t="shared" si="13"/>
        <v>20260408</v>
      </c>
    </row>
    <row r="421" spans="1:7" x14ac:dyDescent="0.3">
      <c r="A421" s="3" t="s">
        <v>424</v>
      </c>
      <c r="B421">
        <v>25092.923471570015</v>
      </c>
      <c r="C421">
        <v>28239.006794214249</v>
      </c>
      <c r="D421">
        <v>0</v>
      </c>
      <c r="E421">
        <v>488.25494384765625</v>
      </c>
      <c r="F421" t="str">
        <f t="shared" si="12"/>
        <v>070000</v>
      </c>
      <c r="G421" t="str">
        <f t="shared" si="13"/>
        <v>20260408</v>
      </c>
    </row>
    <row r="422" spans="1:7" x14ac:dyDescent="0.3">
      <c r="A422" s="3" t="s">
        <v>425</v>
      </c>
      <c r="B422">
        <v>892045.02068305016</v>
      </c>
      <c r="C422">
        <v>832441.37316101789</v>
      </c>
      <c r="D422">
        <v>709767.23345279694</v>
      </c>
      <c r="E422">
        <v>631327.47985368967</v>
      </c>
      <c r="F422" t="str">
        <f t="shared" si="12"/>
        <v>080000</v>
      </c>
      <c r="G422" t="str">
        <f t="shared" si="13"/>
        <v>20260408</v>
      </c>
    </row>
    <row r="423" spans="1:7" x14ac:dyDescent="0.3">
      <c r="A423" s="3" t="s">
        <v>426</v>
      </c>
      <c r="B423">
        <v>1881298.3074180484</v>
      </c>
      <c r="C423">
        <v>1968325.2330158353</v>
      </c>
      <c r="D423">
        <v>1530661.1756544113</v>
      </c>
      <c r="E423">
        <v>1588005.20748806</v>
      </c>
      <c r="F423" t="str">
        <f t="shared" si="12"/>
        <v>090000</v>
      </c>
      <c r="G423" t="str">
        <f t="shared" si="13"/>
        <v>20260408</v>
      </c>
    </row>
    <row r="424" spans="1:7" x14ac:dyDescent="0.3">
      <c r="A424" s="3" t="s">
        <v>427</v>
      </c>
      <c r="B424">
        <v>12050464.005720437</v>
      </c>
      <c r="C424">
        <v>14626857.294250607</v>
      </c>
      <c r="D424">
        <v>10837639.394160867</v>
      </c>
      <c r="E424">
        <v>13247177.390551805</v>
      </c>
      <c r="F424" t="str">
        <f t="shared" si="12"/>
        <v>100000</v>
      </c>
      <c r="G424" t="str">
        <f t="shared" si="13"/>
        <v>20260408</v>
      </c>
    </row>
    <row r="425" spans="1:7" x14ac:dyDescent="0.3">
      <c r="A425" s="3" t="s">
        <v>428</v>
      </c>
      <c r="B425">
        <v>22374064.212972522</v>
      </c>
      <c r="C425">
        <v>23278755.204370975</v>
      </c>
      <c r="D425">
        <v>20924520.001534462</v>
      </c>
      <c r="E425">
        <v>21733680.248280048</v>
      </c>
      <c r="F425" t="str">
        <f t="shared" si="12"/>
        <v>110000</v>
      </c>
      <c r="G425" t="str">
        <f t="shared" si="13"/>
        <v>20260408</v>
      </c>
    </row>
    <row r="426" spans="1:7" x14ac:dyDescent="0.3">
      <c r="A426" s="3" t="s">
        <v>429</v>
      </c>
      <c r="B426">
        <v>25089012.289510012</v>
      </c>
      <c r="C426">
        <v>25697118.424908638</v>
      </c>
      <c r="D426">
        <v>23721230.373695374</v>
      </c>
      <c r="E426">
        <v>24338494.180092573</v>
      </c>
      <c r="F426" t="str">
        <f t="shared" si="12"/>
        <v>120000</v>
      </c>
      <c r="G426" t="str">
        <f t="shared" si="13"/>
        <v>20260408</v>
      </c>
    </row>
    <row r="427" spans="1:7" x14ac:dyDescent="0.3">
      <c r="A427" s="3" t="s">
        <v>430</v>
      </c>
      <c r="B427">
        <v>31023687.509569168</v>
      </c>
      <c r="C427">
        <v>30904417.626276016</v>
      </c>
      <c r="D427">
        <v>29830120.293308258</v>
      </c>
      <c r="E427">
        <v>29682455.946387887</v>
      </c>
      <c r="F427" t="str">
        <f t="shared" si="12"/>
        <v>130000</v>
      </c>
      <c r="G427" t="str">
        <f t="shared" si="13"/>
        <v>20260408</v>
      </c>
    </row>
    <row r="428" spans="1:7" x14ac:dyDescent="0.3">
      <c r="A428" s="3" t="s">
        <v>431</v>
      </c>
      <c r="B428">
        <v>26645937.236721039</v>
      </c>
      <c r="C428">
        <v>27336357.125990391</v>
      </c>
      <c r="D428">
        <v>25220126.988213539</v>
      </c>
      <c r="E428">
        <v>25810676.095189095</v>
      </c>
      <c r="F428" t="str">
        <f t="shared" si="12"/>
        <v>140000</v>
      </c>
      <c r="G428" t="str">
        <f t="shared" si="13"/>
        <v>20260408</v>
      </c>
    </row>
    <row r="429" spans="1:7" x14ac:dyDescent="0.3">
      <c r="A429" s="3" t="s">
        <v>432</v>
      </c>
      <c r="B429">
        <v>6252699.144939959</v>
      </c>
      <c r="C429">
        <v>7018592.7035335302</v>
      </c>
      <c r="D429">
        <v>5223706.2175446749</v>
      </c>
      <c r="E429">
        <v>5841903.910649538</v>
      </c>
      <c r="F429" t="str">
        <f t="shared" si="12"/>
        <v>150000</v>
      </c>
      <c r="G429" t="str">
        <f t="shared" si="13"/>
        <v>20260408</v>
      </c>
    </row>
    <row r="430" spans="1:7" x14ac:dyDescent="0.3">
      <c r="A430" s="3" t="s">
        <v>433</v>
      </c>
      <c r="B430">
        <v>16906547.860258937</v>
      </c>
      <c r="C430">
        <v>18467607.093153477</v>
      </c>
      <c r="D430">
        <v>15761955.471607208</v>
      </c>
      <c r="E430">
        <v>17184097.223185062</v>
      </c>
      <c r="F430" t="str">
        <f t="shared" si="12"/>
        <v>160000</v>
      </c>
      <c r="G430" t="str">
        <f t="shared" si="13"/>
        <v>20260408</v>
      </c>
    </row>
    <row r="431" spans="1:7" x14ac:dyDescent="0.3">
      <c r="A431" s="3" t="s">
        <v>434</v>
      </c>
      <c r="B431">
        <v>19613077.157074153</v>
      </c>
      <c r="C431">
        <v>19644893.975689173</v>
      </c>
      <c r="D431">
        <v>18445974.976187944</v>
      </c>
      <c r="E431">
        <v>18425110.210586548</v>
      </c>
      <c r="F431" t="str">
        <f t="shared" si="12"/>
        <v>170000</v>
      </c>
      <c r="G431" t="str">
        <f t="shared" si="13"/>
        <v>20260408</v>
      </c>
    </row>
    <row r="432" spans="1:7" x14ac:dyDescent="0.3">
      <c r="A432" s="3" t="s">
        <v>435</v>
      </c>
      <c r="B432">
        <v>15928014.276957273</v>
      </c>
      <c r="C432">
        <v>14003774.477999747</v>
      </c>
      <c r="D432">
        <v>14892919.705276966</v>
      </c>
      <c r="E432">
        <v>12971916.408227563</v>
      </c>
      <c r="F432" t="str">
        <f t="shared" si="12"/>
        <v>180000</v>
      </c>
      <c r="G432" t="str">
        <f t="shared" si="13"/>
        <v>20260408</v>
      </c>
    </row>
    <row r="433" spans="1:7" x14ac:dyDescent="0.3">
      <c r="A433" s="3" t="s">
        <v>436</v>
      </c>
      <c r="B433">
        <v>2416195.7704031467</v>
      </c>
      <c r="C433">
        <v>1691295.3793644905</v>
      </c>
      <c r="D433">
        <v>1906566.824709177</v>
      </c>
      <c r="E433">
        <v>1243964.287493825</v>
      </c>
      <c r="F433" t="str">
        <f t="shared" si="12"/>
        <v>190000</v>
      </c>
      <c r="G433" t="str">
        <f t="shared" si="13"/>
        <v>20260408</v>
      </c>
    </row>
    <row r="434" spans="1:7" x14ac:dyDescent="0.3">
      <c r="A434" s="3" t="s">
        <v>437</v>
      </c>
      <c r="B434">
        <v>693158.77859020233</v>
      </c>
      <c r="C434">
        <v>671628.70597708225</v>
      </c>
      <c r="D434">
        <v>357113.3452911377</v>
      </c>
      <c r="E434">
        <v>335632.63703918457</v>
      </c>
      <c r="F434" t="str">
        <f t="shared" si="12"/>
        <v>060000</v>
      </c>
      <c r="G434" t="str">
        <f t="shared" si="13"/>
        <v>20260409</v>
      </c>
    </row>
    <row r="435" spans="1:7" x14ac:dyDescent="0.3">
      <c r="A435" s="3" t="s">
        <v>438</v>
      </c>
      <c r="B435">
        <v>338441.57510763407</v>
      </c>
      <c r="C435">
        <v>310341.24846673012</v>
      </c>
      <c r="D435">
        <v>228732.85989975929</v>
      </c>
      <c r="E435">
        <v>187712.18095159531</v>
      </c>
      <c r="F435" t="str">
        <f t="shared" si="12"/>
        <v>070000</v>
      </c>
      <c r="G435" t="str">
        <f t="shared" si="13"/>
        <v>20260409</v>
      </c>
    </row>
    <row r="436" spans="1:7" x14ac:dyDescent="0.3">
      <c r="A436" s="3" t="s">
        <v>439</v>
      </c>
      <c r="B436">
        <v>1196347.5718411803</v>
      </c>
      <c r="C436">
        <v>1095663.0697062612</v>
      </c>
      <c r="D436">
        <v>1043875.3695657253</v>
      </c>
      <c r="E436">
        <v>930313.01133733988</v>
      </c>
      <c r="F436" t="str">
        <f t="shared" si="12"/>
        <v>080000</v>
      </c>
      <c r="G436" t="str">
        <f t="shared" si="13"/>
        <v>20260409</v>
      </c>
    </row>
    <row r="437" spans="1:7" x14ac:dyDescent="0.3">
      <c r="A437" s="3" t="s">
        <v>440</v>
      </c>
      <c r="B437">
        <v>2847403.2013428807</v>
      </c>
      <c r="C437">
        <v>2858407.7272986174</v>
      </c>
      <c r="D437">
        <v>2502244.9919013977</v>
      </c>
      <c r="E437">
        <v>2449702.8732406497</v>
      </c>
      <c r="F437" t="str">
        <f t="shared" si="12"/>
        <v>090000</v>
      </c>
      <c r="G437" t="str">
        <f t="shared" si="13"/>
        <v>20260409</v>
      </c>
    </row>
    <row r="438" spans="1:7" x14ac:dyDescent="0.3">
      <c r="A438" s="3" t="s">
        <v>441</v>
      </c>
      <c r="B438">
        <v>5724880.7994078994</v>
      </c>
      <c r="C438">
        <v>5256112.9774805307</v>
      </c>
      <c r="D438">
        <v>5114584.6468703151</v>
      </c>
      <c r="E438">
        <v>4600036.0970473886</v>
      </c>
      <c r="F438" t="str">
        <f t="shared" si="12"/>
        <v>100000</v>
      </c>
      <c r="G438" t="str">
        <f t="shared" si="13"/>
        <v>20260409</v>
      </c>
    </row>
    <row r="439" spans="1:7" x14ac:dyDescent="0.3">
      <c r="A439" s="3" t="s">
        <v>442</v>
      </c>
      <c r="B439">
        <v>10497834.106937647</v>
      </c>
      <c r="C439">
        <v>10980604.165764332</v>
      </c>
      <c r="D439">
        <v>9575665.6696653366</v>
      </c>
      <c r="E439">
        <v>9950272.0370476246</v>
      </c>
      <c r="F439" t="str">
        <f t="shared" si="12"/>
        <v>110000</v>
      </c>
      <c r="G439" t="str">
        <f t="shared" si="13"/>
        <v>20260409</v>
      </c>
    </row>
    <row r="440" spans="1:7" x14ac:dyDescent="0.3">
      <c r="A440" s="3" t="s">
        <v>443</v>
      </c>
      <c r="B440">
        <v>10512807.385784328</v>
      </c>
      <c r="C440">
        <v>7206806.5781110525</v>
      </c>
      <c r="D440">
        <v>9659015.3218365908</v>
      </c>
      <c r="E440">
        <v>6421033.6699500084</v>
      </c>
      <c r="F440" t="str">
        <f t="shared" si="12"/>
        <v>120000</v>
      </c>
      <c r="G440" t="str">
        <f t="shared" si="13"/>
        <v>20260409</v>
      </c>
    </row>
    <row r="441" spans="1:7" x14ac:dyDescent="0.3">
      <c r="A441" s="3" t="s">
        <v>444</v>
      </c>
      <c r="B441">
        <v>9226948.6047408581</v>
      </c>
      <c r="C441">
        <v>8423017.6608113647</v>
      </c>
      <c r="D441">
        <v>8491466.9796535969</v>
      </c>
      <c r="E441">
        <v>7625737.9263114929</v>
      </c>
      <c r="F441" t="str">
        <f t="shared" si="12"/>
        <v>130000</v>
      </c>
      <c r="G441" t="str">
        <f t="shared" si="13"/>
        <v>20260409</v>
      </c>
    </row>
    <row r="442" spans="1:7" x14ac:dyDescent="0.3">
      <c r="A442" s="3" t="s">
        <v>445</v>
      </c>
      <c r="B442">
        <v>8389410.4409956336</v>
      </c>
      <c r="C442">
        <v>9738167.4913340211</v>
      </c>
      <c r="D442">
        <v>7585856.8172675371</v>
      </c>
      <c r="E442">
        <v>8831803.7629277706</v>
      </c>
      <c r="F442" t="str">
        <f t="shared" si="12"/>
        <v>140000</v>
      </c>
      <c r="G442" t="str">
        <f t="shared" si="13"/>
        <v>20260409</v>
      </c>
    </row>
    <row r="443" spans="1:7" x14ac:dyDescent="0.3">
      <c r="A443" s="3" t="s">
        <v>446</v>
      </c>
      <c r="B443">
        <v>15522267.398050904</v>
      </c>
      <c r="C443">
        <v>13792717.958311677</v>
      </c>
      <c r="D443">
        <v>14443477.196328521</v>
      </c>
      <c r="E443">
        <v>12697768.354921222</v>
      </c>
      <c r="F443" t="str">
        <f t="shared" si="12"/>
        <v>150000</v>
      </c>
      <c r="G443" t="str">
        <f t="shared" si="13"/>
        <v>20260409</v>
      </c>
    </row>
    <row r="444" spans="1:7" x14ac:dyDescent="0.3">
      <c r="A444" s="3" t="s">
        <v>447</v>
      </c>
      <c r="B444">
        <v>11345462.874332905</v>
      </c>
      <c r="C444">
        <v>11874507.5741961</v>
      </c>
      <c r="D444">
        <v>10340799.532100439</v>
      </c>
      <c r="E444">
        <v>10784109.155159771</v>
      </c>
      <c r="F444" t="str">
        <f t="shared" si="12"/>
        <v>160000</v>
      </c>
      <c r="G444" t="str">
        <f t="shared" si="13"/>
        <v>20260409</v>
      </c>
    </row>
    <row r="445" spans="1:7" x14ac:dyDescent="0.3">
      <c r="A445" s="3" t="s">
        <v>448</v>
      </c>
      <c r="B445">
        <v>10916905.951224208</v>
      </c>
      <c r="C445">
        <v>10333409.236213207</v>
      </c>
      <c r="D445">
        <v>9991844.2838457823</v>
      </c>
      <c r="E445">
        <v>9320278.3595938683</v>
      </c>
      <c r="F445" t="str">
        <f t="shared" si="12"/>
        <v>170000</v>
      </c>
      <c r="G445" t="str">
        <f t="shared" si="13"/>
        <v>20260409</v>
      </c>
    </row>
    <row r="446" spans="1:7" x14ac:dyDescent="0.3">
      <c r="A446" s="3" t="s">
        <v>449</v>
      </c>
      <c r="B446">
        <v>8204393.1333230138</v>
      </c>
      <c r="C446">
        <v>7308037.6760476828</v>
      </c>
      <c r="D446">
        <v>7456964.5731270313</v>
      </c>
      <c r="E446">
        <v>6517698.828192234</v>
      </c>
      <c r="F446" t="str">
        <f t="shared" si="12"/>
        <v>180000</v>
      </c>
      <c r="G446" t="str">
        <f t="shared" si="13"/>
        <v>20260409</v>
      </c>
    </row>
    <row r="447" spans="1:7" x14ac:dyDescent="0.3">
      <c r="A447" s="3" t="s">
        <v>450</v>
      </c>
      <c r="B447">
        <v>7441.7503117322922</v>
      </c>
      <c r="C447">
        <v>6270.4236605763435</v>
      </c>
      <c r="D447">
        <v>0</v>
      </c>
      <c r="E447">
        <v>0</v>
      </c>
      <c r="F447" t="str">
        <f t="shared" si="12"/>
        <v>190000</v>
      </c>
      <c r="G447" t="str">
        <f t="shared" si="13"/>
        <v>20260409</v>
      </c>
    </row>
    <row r="448" spans="1:7" x14ac:dyDescent="0.3">
      <c r="A448" s="3" t="s">
        <v>451</v>
      </c>
      <c r="B448">
        <v>2865703.293799758</v>
      </c>
      <c r="C448">
        <v>2561116.3280955553</v>
      </c>
      <c r="D448">
        <v>2150853.8701786995</v>
      </c>
      <c r="E448">
        <v>1864158.6545718312</v>
      </c>
      <c r="F448" t="str">
        <f t="shared" si="12"/>
        <v>060000</v>
      </c>
      <c r="G448" t="str">
        <f t="shared" si="13"/>
        <v>20260410</v>
      </c>
    </row>
    <row r="449" spans="1:7" x14ac:dyDescent="0.3">
      <c r="A449" s="3" t="s">
        <v>452</v>
      </c>
      <c r="B449">
        <v>2613595.4293103814</v>
      </c>
      <c r="C449">
        <v>2444034.7271358967</v>
      </c>
      <c r="D449">
        <v>2283428.8548090458</v>
      </c>
      <c r="E449">
        <v>2105050.506149888</v>
      </c>
      <c r="F449" t="str">
        <f t="shared" si="12"/>
        <v>070000</v>
      </c>
      <c r="G449" t="str">
        <f t="shared" si="13"/>
        <v>20260410</v>
      </c>
    </row>
    <row r="450" spans="1:7" x14ac:dyDescent="0.3">
      <c r="A450" s="3" t="s">
        <v>453</v>
      </c>
      <c r="B450">
        <v>6585937.9194322824</v>
      </c>
      <c r="C450">
        <v>6233508.197337091</v>
      </c>
      <c r="D450">
        <v>5669265.4429545403</v>
      </c>
      <c r="E450">
        <v>5288466.0105023384</v>
      </c>
      <c r="F450" t="str">
        <f t="shared" ref="F450:F461" si="14">_xlfn.TEXTBEFORE(_xlfn.TEXTAFTER($A450,"_",2),".",1)</f>
        <v>080000</v>
      </c>
      <c r="G450" t="str">
        <f t="shared" ref="G450:G461" si="15">_xlfn.TEXTBEFORE(_xlfn.TEXTAFTER($A450,"_",1),"_",1)</f>
        <v>20260410</v>
      </c>
    </row>
    <row r="451" spans="1:7" x14ac:dyDescent="0.3">
      <c r="A451" s="3" t="s">
        <v>454</v>
      </c>
      <c r="B451">
        <v>11337843.639823973</v>
      </c>
      <c r="C451">
        <v>11773283.985962629</v>
      </c>
      <c r="D451">
        <v>10424783.105569601</v>
      </c>
      <c r="E451">
        <v>10841639.086354494</v>
      </c>
      <c r="F451" t="str">
        <f t="shared" si="14"/>
        <v>090000</v>
      </c>
      <c r="G451" t="str">
        <f t="shared" si="15"/>
        <v>20260410</v>
      </c>
    </row>
    <row r="452" spans="1:7" x14ac:dyDescent="0.3">
      <c r="A452" s="3" t="s">
        <v>455</v>
      </c>
      <c r="B452">
        <v>12287109.750706851</v>
      </c>
      <c r="C452">
        <v>12645325.963194549</v>
      </c>
      <c r="D452">
        <v>11339143.209248543</v>
      </c>
      <c r="E452">
        <v>11615589.746646941</v>
      </c>
      <c r="F452" t="str">
        <f t="shared" si="14"/>
        <v>100000</v>
      </c>
      <c r="G452" t="str">
        <f t="shared" si="15"/>
        <v>20260410</v>
      </c>
    </row>
    <row r="453" spans="1:7" x14ac:dyDescent="0.3">
      <c r="A453" s="3" t="s">
        <v>456</v>
      </c>
      <c r="B453">
        <v>13737577.153210044</v>
      </c>
      <c r="C453">
        <v>13440411.51733619</v>
      </c>
      <c r="D453">
        <v>12688292.11674124</v>
      </c>
      <c r="E453">
        <v>12301865.711115837</v>
      </c>
      <c r="F453" t="str">
        <f t="shared" si="14"/>
        <v>110000</v>
      </c>
      <c r="G453" t="str">
        <f t="shared" si="15"/>
        <v>20260410</v>
      </c>
    </row>
    <row r="454" spans="1:7" x14ac:dyDescent="0.3">
      <c r="A454" s="3" t="s">
        <v>457</v>
      </c>
      <c r="B454">
        <v>12857304.396317482</v>
      </c>
      <c r="C454">
        <v>12121442.374905586</v>
      </c>
      <c r="D454">
        <v>11883379.701303482</v>
      </c>
      <c r="E454">
        <v>11101170.370491028</v>
      </c>
      <c r="F454" t="str">
        <f t="shared" si="14"/>
        <v>120000</v>
      </c>
      <c r="G454" t="str">
        <f t="shared" si="15"/>
        <v>20260410</v>
      </c>
    </row>
    <row r="455" spans="1:7" x14ac:dyDescent="0.3">
      <c r="A455" s="3" t="s">
        <v>458</v>
      </c>
      <c r="B455">
        <v>16742231.598767698</v>
      </c>
      <c r="C455">
        <v>17351910.532516301</v>
      </c>
      <c r="D455">
        <v>15590619.109129071</v>
      </c>
      <c r="E455">
        <v>16096142.562970638</v>
      </c>
      <c r="F455" t="str">
        <f t="shared" si="14"/>
        <v>130000</v>
      </c>
      <c r="G455" t="str">
        <f t="shared" si="15"/>
        <v>20260410</v>
      </c>
    </row>
    <row r="456" spans="1:7" x14ac:dyDescent="0.3">
      <c r="A456" s="3" t="s">
        <v>459</v>
      </c>
      <c r="B456">
        <v>12825365.394819975</v>
      </c>
      <c r="C456">
        <v>14035903.241592765</v>
      </c>
      <c r="D456">
        <v>11852998.506853819</v>
      </c>
      <c r="E456">
        <v>12965188.657522202</v>
      </c>
      <c r="F456" t="str">
        <f t="shared" si="14"/>
        <v>140000</v>
      </c>
      <c r="G456" t="str">
        <f t="shared" si="15"/>
        <v>20260410</v>
      </c>
    </row>
    <row r="457" spans="1:7" x14ac:dyDescent="0.3">
      <c r="A457" s="3" t="s">
        <v>460</v>
      </c>
      <c r="B457">
        <v>25522497.215733528</v>
      </c>
      <c r="C457">
        <v>26379317.354406357</v>
      </c>
      <c r="D457">
        <v>24456811.266376495</v>
      </c>
      <c r="E457">
        <v>25143034.132607222</v>
      </c>
      <c r="F457" t="str">
        <f t="shared" si="14"/>
        <v>150000</v>
      </c>
      <c r="G457" t="str">
        <f t="shared" si="15"/>
        <v>20260410</v>
      </c>
    </row>
    <row r="458" spans="1:7" x14ac:dyDescent="0.3">
      <c r="A458" s="3" t="s">
        <v>461</v>
      </c>
      <c r="B458">
        <v>8796071.7245064974</v>
      </c>
      <c r="C458">
        <v>9896596.6834105253</v>
      </c>
      <c r="D458">
        <v>7952026.5752933025</v>
      </c>
      <c r="E458">
        <v>8949019.1571798325</v>
      </c>
      <c r="F458" t="str">
        <f t="shared" si="14"/>
        <v>160000</v>
      </c>
      <c r="G458" t="str">
        <f t="shared" si="15"/>
        <v>20260410</v>
      </c>
    </row>
    <row r="459" spans="1:7" x14ac:dyDescent="0.3">
      <c r="A459" s="3" t="s">
        <v>462</v>
      </c>
      <c r="B459">
        <v>10813367.527353406</v>
      </c>
      <c r="C459">
        <v>10469030.186249137</v>
      </c>
      <c r="D459">
        <v>10058402.092223644</v>
      </c>
      <c r="E459">
        <v>9624757.8088283539</v>
      </c>
      <c r="F459" t="str">
        <f t="shared" si="14"/>
        <v>170000</v>
      </c>
      <c r="G459" t="str">
        <f t="shared" si="15"/>
        <v>20260410</v>
      </c>
    </row>
    <row r="460" spans="1:7" x14ac:dyDescent="0.3">
      <c r="A460" s="3" t="s">
        <v>463</v>
      </c>
      <c r="B460">
        <v>8721988.7338119149</v>
      </c>
      <c r="C460">
        <v>9419943.7252557874</v>
      </c>
      <c r="D460">
        <v>7979562.5581842661</v>
      </c>
      <c r="E460">
        <v>8535184.8687657118</v>
      </c>
      <c r="F460" t="str">
        <f t="shared" si="14"/>
        <v>180000</v>
      </c>
      <c r="G460" t="str">
        <f t="shared" si="15"/>
        <v>20260410</v>
      </c>
    </row>
    <row r="461" spans="1:7" x14ac:dyDescent="0.3">
      <c r="A461" s="3" t="s">
        <v>464</v>
      </c>
      <c r="B461">
        <v>2459122.6648350358</v>
      </c>
      <c r="C461">
        <v>2218878.8241900206</v>
      </c>
      <c r="D461">
        <v>1637588.3301488161</v>
      </c>
      <c r="E461">
        <v>1397382.3075870275</v>
      </c>
      <c r="F461" t="str">
        <f t="shared" si="14"/>
        <v>190000</v>
      </c>
      <c r="G461" t="str">
        <f t="shared" si="15"/>
        <v>20260410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713C8-C146-3A42-A4FB-9C844C2E5E95}">
  <dimension ref="A1:H501"/>
  <sheetViews>
    <sheetView workbookViewId="0"/>
  </sheetViews>
  <sheetFormatPr defaultColWidth="11.5546875" defaultRowHeight="17.25" x14ac:dyDescent="0.3"/>
  <sheetData>
    <row r="1" spans="1:8" x14ac:dyDescent="0.3">
      <c r="A1" s="1"/>
      <c r="B1" s="2"/>
      <c r="C1" s="2"/>
      <c r="D1" s="2"/>
      <c r="E1" s="2"/>
      <c r="F1" s="2"/>
      <c r="G1" s="2"/>
      <c r="H1" s="2"/>
    </row>
    <row r="2" spans="1:8" x14ac:dyDescent="0.3">
      <c r="A2" s="1"/>
      <c r="B2" s="2"/>
      <c r="C2" s="2"/>
      <c r="D2" s="2"/>
      <c r="E2" s="2"/>
      <c r="F2" s="2"/>
      <c r="G2" s="2"/>
      <c r="H2" s="2"/>
    </row>
    <row r="3" spans="1:8" x14ac:dyDescent="0.3">
      <c r="A3" s="1"/>
      <c r="B3" s="2"/>
      <c r="C3" s="2"/>
      <c r="D3" s="2"/>
      <c r="E3" s="2"/>
      <c r="F3" s="2"/>
      <c r="G3" s="2"/>
      <c r="H3" s="2"/>
    </row>
    <row r="4" spans="1:8" x14ac:dyDescent="0.3">
      <c r="A4" s="1"/>
      <c r="B4" s="2"/>
      <c r="C4" s="2"/>
      <c r="D4" s="2"/>
      <c r="E4" s="2"/>
      <c r="F4" s="2"/>
      <c r="G4" s="2"/>
      <c r="H4" s="2"/>
    </row>
    <row r="5" spans="1:8" x14ac:dyDescent="0.3">
      <c r="A5" s="1"/>
      <c r="B5" s="2"/>
      <c r="C5" s="2"/>
      <c r="D5" s="2"/>
      <c r="E5" s="2"/>
      <c r="F5" s="2"/>
      <c r="G5" s="2"/>
      <c r="H5" s="2"/>
    </row>
    <row r="6" spans="1:8" x14ac:dyDescent="0.3">
      <c r="A6" s="1"/>
      <c r="B6" s="2"/>
      <c r="C6" s="2"/>
      <c r="D6" s="2"/>
      <c r="E6" s="2"/>
      <c r="F6" s="2"/>
      <c r="G6" s="2"/>
      <c r="H6" s="2"/>
    </row>
    <row r="7" spans="1:8" x14ac:dyDescent="0.3">
      <c r="A7" s="1"/>
      <c r="B7" s="2"/>
      <c r="C7" s="2"/>
      <c r="D7" s="2"/>
      <c r="E7" s="2"/>
      <c r="F7" s="2"/>
      <c r="G7" s="2"/>
      <c r="H7" s="2"/>
    </row>
    <row r="8" spans="1:8" x14ac:dyDescent="0.3">
      <c r="A8" s="1"/>
      <c r="B8" s="2"/>
      <c r="C8" s="2"/>
      <c r="D8" s="2"/>
      <c r="E8" s="2"/>
      <c r="F8" s="2"/>
      <c r="G8" s="2"/>
      <c r="H8" s="2"/>
    </row>
    <row r="9" spans="1:8" x14ac:dyDescent="0.3">
      <c r="A9" s="1"/>
      <c r="B9" s="2"/>
      <c r="C9" s="2"/>
      <c r="D9" s="2"/>
      <c r="E9" s="2"/>
      <c r="F9" s="2"/>
      <c r="G9" s="2"/>
      <c r="H9" s="2"/>
    </row>
    <row r="10" spans="1:8" x14ac:dyDescent="0.3">
      <c r="A10" s="1"/>
      <c r="B10" s="2"/>
      <c r="C10" s="2"/>
      <c r="D10" s="2"/>
      <c r="E10" s="2"/>
      <c r="F10" s="2"/>
      <c r="G10" s="2"/>
      <c r="H10" s="2"/>
    </row>
    <row r="11" spans="1:8" x14ac:dyDescent="0.3">
      <c r="A11" s="1"/>
      <c r="B11" s="2"/>
      <c r="C11" s="2"/>
      <c r="D11" s="2"/>
      <c r="E11" s="2"/>
      <c r="F11" s="2"/>
      <c r="G11" s="2"/>
      <c r="H11" s="2"/>
    </row>
    <row r="12" spans="1:8" x14ac:dyDescent="0.3">
      <c r="A12" s="1"/>
      <c r="B12" s="2"/>
      <c r="C12" s="2"/>
      <c r="D12" s="2"/>
      <c r="E12" s="2"/>
      <c r="F12" s="2"/>
      <c r="G12" s="2"/>
      <c r="H12" s="2"/>
    </row>
    <row r="13" spans="1:8" x14ac:dyDescent="0.3">
      <c r="A13" s="1"/>
      <c r="B13" s="2"/>
      <c r="C13" s="2"/>
      <c r="D13" s="2"/>
      <c r="E13" s="2"/>
      <c r="F13" s="2"/>
      <c r="G13" s="2"/>
      <c r="H13" s="2"/>
    </row>
    <row r="14" spans="1:8" x14ac:dyDescent="0.3">
      <c r="A14" s="1"/>
      <c r="B14" s="2"/>
      <c r="C14" s="2"/>
      <c r="D14" s="2"/>
      <c r="E14" s="2"/>
      <c r="F14" s="2"/>
      <c r="G14" s="2"/>
      <c r="H14" s="2"/>
    </row>
    <row r="15" spans="1:8" x14ac:dyDescent="0.3">
      <c r="A15" s="1"/>
      <c r="B15" s="2"/>
      <c r="C15" s="2"/>
      <c r="D15" s="2"/>
      <c r="E15" s="2"/>
      <c r="F15" s="2"/>
      <c r="G15" s="2"/>
      <c r="H15" s="2"/>
    </row>
    <row r="16" spans="1:8" x14ac:dyDescent="0.3">
      <c r="A16" s="1"/>
      <c r="B16" s="2"/>
      <c r="C16" s="2"/>
      <c r="D16" s="2"/>
      <c r="E16" s="2"/>
      <c r="F16" s="2"/>
      <c r="G16" s="2"/>
      <c r="H16" s="2"/>
    </row>
    <row r="17" spans="1:8" x14ac:dyDescent="0.3">
      <c r="A17" s="1"/>
      <c r="B17" s="2"/>
      <c r="C17" s="2"/>
      <c r="D17" s="2"/>
      <c r="E17" s="2"/>
      <c r="F17" s="2"/>
      <c r="G17" s="2"/>
      <c r="H17" s="2"/>
    </row>
    <row r="18" spans="1:8" x14ac:dyDescent="0.3">
      <c r="A18" s="1"/>
      <c r="B18" s="2"/>
      <c r="C18" s="2"/>
      <c r="D18" s="2"/>
      <c r="E18" s="2"/>
      <c r="F18" s="2"/>
      <c r="G18" s="2"/>
      <c r="H18" s="2"/>
    </row>
    <row r="19" spans="1:8" x14ac:dyDescent="0.3">
      <c r="A19" s="1"/>
      <c r="B19" s="2"/>
      <c r="C19" s="2"/>
      <c r="D19" s="2"/>
      <c r="E19" s="2"/>
      <c r="F19" s="2"/>
      <c r="G19" s="2"/>
      <c r="H19" s="2"/>
    </row>
    <row r="20" spans="1:8" x14ac:dyDescent="0.3">
      <c r="A20" s="1"/>
      <c r="B20" s="2"/>
      <c r="C20" s="2"/>
      <c r="D20" s="2"/>
      <c r="E20" s="2"/>
      <c r="F20" s="2"/>
      <c r="G20" s="2"/>
      <c r="H20" s="2"/>
    </row>
    <row r="21" spans="1:8" x14ac:dyDescent="0.3">
      <c r="A21" s="1"/>
      <c r="B21" s="2"/>
      <c r="C21" s="2"/>
      <c r="D21" s="2"/>
      <c r="E21" s="2"/>
      <c r="F21" s="2"/>
      <c r="G21" s="2"/>
      <c r="H21" s="2"/>
    </row>
    <row r="22" spans="1:8" x14ac:dyDescent="0.3">
      <c r="A22" s="1"/>
      <c r="B22" s="2"/>
      <c r="C22" s="2"/>
      <c r="D22" s="2"/>
      <c r="E22" s="2"/>
      <c r="F22" s="2"/>
      <c r="G22" s="2"/>
      <c r="H22" s="2"/>
    </row>
    <row r="23" spans="1:8" x14ac:dyDescent="0.3">
      <c r="A23" s="1"/>
      <c r="B23" s="2"/>
      <c r="C23" s="2"/>
      <c r="D23" s="2"/>
      <c r="E23" s="2"/>
      <c r="F23" s="2"/>
      <c r="G23" s="2"/>
      <c r="H23" s="2"/>
    </row>
    <row r="24" spans="1:8" x14ac:dyDescent="0.3">
      <c r="A24" s="1"/>
      <c r="B24" s="2"/>
      <c r="C24" s="2"/>
      <c r="D24" s="2"/>
      <c r="E24" s="2"/>
      <c r="F24" s="2"/>
      <c r="G24" s="2"/>
      <c r="H24" s="2"/>
    </row>
    <row r="25" spans="1:8" x14ac:dyDescent="0.3">
      <c r="A25" s="1"/>
      <c r="B25" s="2"/>
      <c r="C25" s="2"/>
      <c r="D25" s="2"/>
      <c r="E25" s="2"/>
      <c r="F25" s="2"/>
      <c r="G25" s="2"/>
      <c r="H25" s="2"/>
    </row>
    <row r="26" spans="1:8" x14ac:dyDescent="0.3">
      <c r="A26" s="1"/>
      <c r="B26" s="2"/>
      <c r="C26" s="2"/>
      <c r="D26" s="2"/>
      <c r="E26" s="2"/>
      <c r="F26" s="2"/>
      <c r="G26" s="2"/>
      <c r="H26" s="2"/>
    </row>
    <row r="27" spans="1:8" x14ac:dyDescent="0.3">
      <c r="A27" s="1"/>
      <c r="B27" s="2"/>
      <c r="C27" s="2"/>
      <c r="D27" s="2"/>
      <c r="E27" s="2"/>
      <c r="F27" s="2"/>
      <c r="G27" s="2"/>
      <c r="H27" s="2"/>
    </row>
    <row r="28" spans="1:8" x14ac:dyDescent="0.3">
      <c r="A28" s="1"/>
      <c r="B28" s="2"/>
      <c r="C28" s="2"/>
      <c r="D28" s="2"/>
      <c r="E28" s="2"/>
      <c r="F28" s="2"/>
      <c r="G28" s="2"/>
      <c r="H28" s="2"/>
    </row>
    <row r="29" spans="1:8" x14ac:dyDescent="0.3">
      <c r="A29" s="1"/>
      <c r="B29" s="2"/>
      <c r="C29" s="2"/>
      <c r="D29" s="2"/>
      <c r="E29" s="2"/>
      <c r="F29" s="2"/>
      <c r="G29" s="2"/>
      <c r="H29" s="2"/>
    </row>
    <row r="30" spans="1:8" x14ac:dyDescent="0.3">
      <c r="A30" s="1"/>
      <c r="B30" s="2"/>
      <c r="C30" s="2"/>
      <c r="D30" s="2"/>
      <c r="E30" s="2"/>
      <c r="F30" s="2"/>
      <c r="G30" s="2"/>
      <c r="H30" s="2"/>
    </row>
    <row r="31" spans="1:8" x14ac:dyDescent="0.3">
      <c r="A31" s="1"/>
      <c r="B31" s="2"/>
      <c r="C31" s="2"/>
      <c r="D31" s="2"/>
      <c r="E31" s="2"/>
      <c r="F31" s="2"/>
      <c r="G31" s="2"/>
      <c r="H31" s="2"/>
    </row>
    <row r="32" spans="1:8" x14ac:dyDescent="0.3">
      <c r="A32" s="1"/>
      <c r="B32" s="2"/>
      <c r="C32" s="2"/>
      <c r="D32" s="2"/>
      <c r="E32" s="2"/>
      <c r="F32" s="2"/>
      <c r="G32" s="2"/>
      <c r="H32" s="2"/>
    </row>
    <row r="33" spans="1:8" x14ac:dyDescent="0.3">
      <c r="A33" s="1"/>
      <c r="B33" s="2"/>
      <c r="C33" s="2"/>
      <c r="D33" s="2"/>
      <c r="E33" s="2"/>
      <c r="F33" s="2"/>
      <c r="G33" s="2"/>
      <c r="H33" s="2"/>
    </row>
    <row r="34" spans="1:8" x14ac:dyDescent="0.3">
      <c r="A34" s="1"/>
      <c r="B34" s="2"/>
      <c r="C34" s="2"/>
      <c r="D34" s="2"/>
      <c r="E34" s="2"/>
      <c r="F34" s="2"/>
      <c r="G34" s="2"/>
      <c r="H34" s="2"/>
    </row>
    <row r="35" spans="1:8" x14ac:dyDescent="0.3">
      <c r="A35" s="1"/>
      <c r="B35" s="2"/>
      <c r="C35" s="2"/>
      <c r="D35" s="2"/>
      <c r="E35" s="2"/>
      <c r="F35" s="2"/>
      <c r="G35" s="2"/>
      <c r="H35" s="2"/>
    </row>
    <row r="36" spans="1:8" x14ac:dyDescent="0.3">
      <c r="A36" s="1"/>
      <c r="B36" s="2"/>
      <c r="C36" s="2"/>
      <c r="D36" s="2"/>
      <c r="E36" s="2"/>
      <c r="F36" s="2"/>
      <c r="G36" s="2"/>
      <c r="H36" s="2"/>
    </row>
    <row r="37" spans="1:8" x14ac:dyDescent="0.3">
      <c r="A37" s="1"/>
      <c r="B37" s="2"/>
      <c r="C37" s="2"/>
      <c r="D37" s="2"/>
      <c r="E37" s="2"/>
      <c r="F37" s="2"/>
      <c r="G37" s="2"/>
      <c r="H37" s="2"/>
    </row>
    <row r="38" spans="1:8" x14ac:dyDescent="0.3">
      <c r="A38" s="1"/>
      <c r="B38" s="2"/>
      <c r="C38" s="2"/>
      <c r="D38" s="2"/>
      <c r="E38" s="2"/>
      <c r="F38" s="2"/>
      <c r="G38" s="2"/>
      <c r="H38" s="2"/>
    </row>
    <row r="39" spans="1:8" x14ac:dyDescent="0.3">
      <c r="A39" s="1"/>
      <c r="B39" s="2"/>
      <c r="C39" s="2"/>
      <c r="D39" s="2"/>
      <c r="E39" s="2"/>
      <c r="F39" s="2"/>
      <c r="G39" s="2"/>
      <c r="H39" s="2"/>
    </row>
    <row r="40" spans="1:8" x14ac:dyDescent="0.3">
      <c r="A40" s="1"/>
      <c r="B40" s="2"/>
      <c r="C40" s="2"/>
      <c r="D40" s="2"/>
      <c r="E40" s="2"/>
      <c r="F40" s="2"/>
      <c r="G40" s="2"/>
      <c r="H40" s="2"/>
    </row>
    <row r="41" spans="1:8" x14ac:dyDescent="0.3">
      <c r="A41" s="1"/>
      <c r="B41" s="2"/>
      <c r="C41" s="2"/>
      <c r="D41" s="2"/>
      <c r="E41" s="2"/>
      <c r="F41" s="2"/>
      <c r="G41" s="2"/>
      <c r="H41" s="2"/>
    </row>
    <row r="42" spans="1:8" x14ac:dyDescent="0.3">
      <c r="A42" s="1"/>
      <c r="B42" s="2"/>
      <c r="C42" s="2"/>
      <c r="D42" s="2"/>
      <c r="E42" s="2"/>
      <c r="F42" s="2"/>
      <c r="G42" s="2"/>
      <c r="H42" s="2"/>
    </row>
    <row r="43" spans="1:8" x14ac:dyDescent="0.3">
      <c r="A43" s="1"/>
      <c r="B43" s="2"/>
      <c r="C43" s="2"/>
      <c r="D43" s="2"/>
      <c r="E43" s="2"/>
      <c r="F43" s="2"/>
      <c r="G43" s="2"/>
      <c r="H43" s="2"/>
    </row>
    <row r="44" spans="1:8" x14ac:dyDescent="0.3">
      <c r="A44" s="1"/>
      <c r="B44" s="2"/>
      <c r="C44" s="2"/>
      <c r="D44" s="2"/>
      <c r="E44" s="2"/>
      <c r="F44" s="2"/>
      <c r="G44" s="2"/>
      <c r="H44" s="2"/>
    </row>
    <row r="45" spans="1:8" x14ac:dyDescent="0.3">
      <c r="A45" s="1"/>
      <c r="B45" s="2"/>
      <c r="C45" s="2"/>
      <c r="D45" s="2"/>
      <c r="E45" s="2"/>
      <c r="F45" s="2"/>
      <c r="G45" s="2"/>
      <c r="H45" s="2"/>
    </row>
    <row r="46" spans="1:8" x14ac:dyDescent="0.3">
      <c r="A46" s="1"/>
      <c r="B46" s="2"/>
      <c r="C46" s="2"/>
      <c r="D46" s="2"/>
      <c r="E46" s="2"/>
      <c r="F46" s="2"/>
      <c r="G46" s="2"/>
      <c r="H46" s="2"/>
    </row>
    <row r="47" spans="1:8" x14ac:dyDescent="0.3">
      <c r="A47" s="1"/>
      <c r="B47" s="2"/>
      <c r="C47" s="2"/>
      <c r="D47" s="2"/>
      <c r="E47" s="2"/>
      <c r="F47" s="2"/>
      <c r="G47" s="2"/>
      <c r="H47" s="2"/>
    </row>
    <row r="48" spans="1:8" x14ac:dyDescent="0.3">
      <c r="A48" s="1"/>
      <c r="B48" s="2"/>
      <c r="C48" s="2"/>
      <c r="D48" s="2"/>
      <c r="E48" s="2"/>
      <c r="F48" s="2"/>
      <c r="G48" s="2"/>
      <c r="H48" s="2"/>
    </row>
    <row r="49" spans="1:8" x14ac:dyDescent="0.3">
      <c r="A49" s="1"/>
      <c r="B49" s="2"/>
      <c r="C49" s="2"/>
      <c r="D49" s="2"/>
      <c r="E49" s="2"/>
      <c r="F49" s="2"/>
      <c r="G49" s="2"/>
      <c r="H49" s="2"/>
    </row>
    <row r="50" spans="1:8" x14ac:dyDescent="0.3">
      <c r="A50" s="1"/>
      <c r="B50" s="2"/>
      <c r="C50" s="2"/>
      <c r="D50" s="2"/>
      <c r="E50" s="2"/>
      <c r="F50" s="2"/>
      <c r="G50" s="2"/>
      <c r="H50" s="2"/>
    </row>
    <row r="51" spans="1:8" x14ac:dyDescent="0.3">
      <c r="A51" s="1"/>
      <c r="B51" s="2"/>
      <c r="C51" s="2"/>
      <c r="D51" s="2"/>
      <c r="E51" s="2"/>
      <c r="F51" s="2"/>
      <c r="G51" s="2"/>
      <c r="H51" s="2"/>
    </row>
    <row r="52" spans="1:8" x14ac:dyDescent="0.3">
      <c r="A52" s="1"/>
      <c r="B52" s="2"/>
      <c r="C52" s="2"/>
      <c r="D52" s="2"/>
      <c r="E52" s="2"/>
      <c r="F52" s="2"/>
      <c r="G52" s="2"/>
      <c r="H52" s="2"/>
    </row>
    <row r="53" spans="1:8" x14ac:dyDescent="0.3">
      <c r="A53" s="1"/>
      <c r="B53" s="2"/>
      <c r="C53" s="2"/>
      <c r="D53" s="2"/>
      <c r="E53" s="2"/>
      <c r="F53" s="2"/>
      <c r="G53" s="2"/>
      <c r="H53" s="2"/>
    </row>
    <row r="54" spans="1:8" x14ac:dyDescent="0.3">
      <c r="A54" s="1"/>
      <c r="B54" s="2"/>
      <c r="C54" s="2"/>
      <c r="D54" s="2"/>
      <c r="E54" s="2"/>
      <c r="F54" s="2"/>
      <c r="G54" s="2"/>
      <c r="H54" s="2"/>
    </row>
    <row r="55" spans="1:8" x14ac:dyDescent="0.3">
      <c r="A55" s="1"/>
      <c r="B55" s="2"/>
      <c r="C55" s="2"/>
      <c r="D55" s="2"/>
      <c r="E55" s="2"/>
      <c r="F55" s="2"/>
      <c r="G55" s="2"/>
      <c r="H55" s="2"/>
    </row>
    <row r="56" spans="1:8" x14ac:dyDescent="0.3">
      <c r="A56" s="1"/>
      <c r="B56" s="2"/>
      <c r="C56" s="2"/>
      <c r="D56" s="2"/>
      <c r="E56" s="2"/>
      <c r="F56" s="2"/>
      <c r="G56" s="2"/>
      <c r="H56" s="2"/>
    </row>
    <row r="57" spans="1:8" x14ac:dyDescent="0.3">
      <c r="A57" s="1"/>
      <c r="B57" s="2"/>
      <c r="C57" s="2"/>
      <c r="D57" s="2"/>
      <c r="E57" s="2"/>
      <c r="F57" s="2"/>
      <c r="G57" s="2"/>
      <c r="H57" s="2"/>
    </row>
    <row r="58" spans="1:8" x14ac:dyDescent="0.3">
      <c r="A58" s="1"/>
      <c r="B58" s="2"/>
      <c r="C58" s="2"/>
      <c r="D58" s="2"/>
      <c r="E58" s="2"/>
      <c r="F58" s="2"/>
      <c r="G58" s="2"/>
      <c r="H58" s="2"/>
    </row>
    <row r="59" spans="1:8" x14ac:dyDescent="0.3">
      <c r="A59" s="1"/>
      <c r="B59" s="2"/>
      <c r="C59" s="2"/>
      <c r="D59" s="2"/>
      <c r="E59" s="2"/>
      <c r="F59" s="2"/>
      <c r="G59" s="2"/>
      <c r="H59" s="2"/>
    </row>
    <row r="60" spans="1:8" x14ac:dyDescent="0.3">
      <c r="A60" s="1"/>
      <c r="B60" s="2"/>
      <c r="C60" s="2"/>
      <c r="D60" s="2"/>
      <c r="E60" s="2"/>
      <c r="F60" s="2"/>
      <c r="G60" s="2"/>
      <c r="H60" s="2"/>
    </row>
    <row r="61" spans="1:8" x14ac:dyDescent="0.3">
      <c r="A61" s="1"/>
      <c r="B61" s="2"/>
      <c r="C61" s="2"/>
      <c r="D61" s="2"/>
      <c r="E61" s="2"/>
      <c r="F61" s="2"/>
      <c r="G61" s="2"/>
      <c r="H61" s="2"/>
    </row>
    <row r="62" spans="1:8" x14ac:dyDescent="0.3">
      <c r="A62" s="1"/>
      <c r="B62" s="2"/>
      <c r="C62" s="2"/>
      <c r="D62" s="2"/>
      <c r="E62" s="2"/>
      <c r="F62" s="2"/>
      <c r="G62" s="2"/>
      <c r="H62" s="2"/>
    </row>
    <row r="63" spans="1:8" x14ac:dyDescent="0.3">
      <c r="A63" s="1"/>
      <c r="B63" s="2"/>
      <c r="C63" s="2"/>
      <c r="D63" s="2"/>
      <c r="E63" s="2"/>
      <c r="F63" s="2"/>
      <c r="G63" s="2"/>
      <c r="H63" s="2"/>
    </row>
    <row r="64" spans="1:8" x14ac:dyDescent="0.3">
      <c r="A64" s="1"/>
      <c r="B64" s="2"/>
      <c r="C64" s="2"/>
      <c r="D64" s="2"/>
      <c r="E64" s="2"/>
      <c r="F64" s="2"/>
      <c r="G64" s="2"/>
      <c r="H64" s="2"/>
    </row>
    <row r="65" spans="1:8" x14ac:dyDescent="0.3">
      <c r="A65" s="1"/>
      <c r="B65" s="2"/>
      <c r="C65" s="2"/>
      <c r="D65" s="2"/>
      <c r="E65" s="2"/>
      <c r="F65" s="2"/>
      <c r="G65" s="2"/>
      <c r="H65" s="2"/>
    </row>
    <row r="66" spans="1:8" x14ac:dyDescent="0.3">
      <c r="A66" s="1"/>
      <c r="B66" s="2"/>
      <c r="C66" s="2"/>
      <c r="D66" s="2"/>
      <c r="E66" s="2"/>
      <c r="F66" s="2"/>
      <c r="G66" s="2"/>
      <c r="H66" s="2"/>
    </row>
    <row r="67" spans="1:8" x14ac:dyDescent="0.3">
      <c r="A67" s="1"/>
      <c r="B67" s="2"/>
      <c r="C67" s="2"/>
      <c r="D67" s="2"/>
      <c r="E67" s="2"/>
      <c r="F67" s="2"/>
      <c r="G67" s="2"/>
      <c r="H67" s="2"/>
    </row>
    <row r="68" spans="1:8" x14ac:dyDescent="0.3">
      <c r="A68" s="1"/>
      <c r="B68" s="2"/>
      <c r="C68" s="2"/>
      <c r="D68" s="2"/>
      <c r="E68" s="2"/>
      <c r="F68" s="2"/>
      <c r="G68" s="2"/>
      <c r="H68" s="2"/>
    </row>
    <row r="69" spans="1:8" x14ac:dyDescent="0.3">
      <c r="A69" s="1"/>
      <c r="B69" s="2"/>
      <c r="C69" s="2"/>
      <c r="D69" s="2"/>
      <c r="E69" s="2"/>
      <c r="F69" s="2"/>
      <c r="G69" s="2"/>
      <c r="H69" s="2"/>
    </row>
    <row r="70" spans="1:8" x14ac:dyDescent="0.3">
      <c r="A70" s="1"/>
      <c r="B70" s="2"/>
      <c r="C70" s="2"/>
      <c r="D70" s="2"/>
      <c r="E70" s="2"/>
      <c r="F70" s="2"/>
      <c r="G70" s="2"/>
      <c r="H70" s="2"/>
    </row>
    <row r="71" spans="1:8" x14ac:dyDescent="0.3">
      <c r="A71" s="1"/>
      <c r="B71" s="2"/>
      <c r="C71" s="2"/>
      <c r="D71" s="2"/>
      <c r="E71" s="2"/>
      <c r="F71" s="2"/>
      <c r="G71" s="2"/>
      <c r="H71" s="2"/>
    </row>
    <row r="72" spans="1:8" x14ac:dyDescent="0.3">
      <c r="A72" s="1"/>
      <c r="B72" s="2"/>
      <c r="C72" s="2"/>
      <c r="D72" s="2"/>
      <c r="E72" s="2"/>
      <c r="F72" s="2"/>
      <c r="G72" s="2"/>
      <c r="H72" s="2"/>
    </row>
    <row r="73" spans="1:8" x14ac:dyDescent="0.3">
      <c r="A73" s="1"/>
      <c r="B73" s="2"/>
      <c r="C73" s="2"/>
      <c r="D73" s="2"/>
      <c r="E73" s="2"/>
      <c r="F73" s="2"/>
      <c r="G73" s="2"/>
      <c r="H73" s="2"/>
    </row>
    <row r="74" spans="1:8" x14ac:dyDescent="0.3">
      <c r="A74" s="1"/>
      <c r="B74" s="2"/>
      <c r="C74" s="2"/>
      <c r="D74" s="2"/>
      <c r="E74" s="2"/>
      <c r="F74" s="2"/>
      <c r="G74" s="2"/>
      <c r="H74" s="2"/>
    </row>
    <row r="75" spans="1:8" x14ac:dyDescent="0.3">
      <c r="A75" s="1"/>
      <c r="B75" s="2"/>
      <c r="C75" s="2"/>
      <c r="D75" s="2"/>
      <c r="E75" s="2"/>
      <c r="F75" s="2"/>
      <c r="G75" s="2"/>
      <c r="H75" s="2"/>
    </row>
    <row r="76" spans="1:8" x14ac:dyDescent="0.3">
      <c r="A76" s="1"/>
      <c r="B76" s="2"/>
      <c r="C76" s="2"/>
      <c r="D76" s="2"/>
      <c r="E76" s="2"/>
      <c r="F76" s="2"/>
      <c r="G76" s="2"/>
      <c r="H76" s="2"/>
    </row>
    <row r="77" spans="1:8" x14ac:dyDescent="0.3">
      <c r="A77" s="1"/>
      <c r="B77" s="2"/>
      <c r="C77" s="2"/>
      <c r="D77" s="2"/>
      <c r="E77" s="2"/>
      <c r="F77" s="2"/>
      <c r="G77" s="2"/>
      <c r="H77" s="2"/>
    </row>
    <row r="78" spans="1:8" x14ac:dyDescent="0.3">
      <c r="A78" s="1"/>
      <c r="B78" s="2"/>
      <c r="C78" s="2"/>
      <c r="D78" s="2"/>
      <c r="E78" s="2"/>
      <c r="F78" s="2"/>
      <c r="G78" s="2"/>
      <c r="H78" s="2"/>
    </row>
    <row r="79" spans="1:8" x14ac:dyDescent="0.3">
      <c r="A79" s="1"/>
      <c r="B79" s="2"/>
      <c r="C79" s="2"/>
      <c r="D79" s="2"/>
      <c r="E79" s="2"/>
      <c r="F79" s="2"/>
      <c r="G79" s="2"/>
      <c r="H79" s="2"/>
    </row>
    <row r="80" spans="1:8" x14ac:dyDescent="0.3">
      <c r="A80" s="1"/>
      <c r="B80" s="2"/>
      <c r="C80" s="2"/>
      <c r="D80" s="2"/>
      <c r="E80" s="2"/>
      <c r="F80" s="2"/>
      <c r="G80" s="2"/>
      <c r="H80" s="2"/>
    </row>
    <row r="81" spans="1:8" x14ac:dyDescent="0.3">
      <c r="A81" s="1"/>
      <c r="B81" s="2"/>
      <c r="C81" s="2"/>
      <c r="D81" s="2"/>
      <c r="E81" s="2"/>
      <c r="F81" s="2"/>
      <c r="G81" s="2"/>
      <c r="H81" s="2"/>
    </row>
    <row r="82" spans="1:8" x14ac:dyDescent="0.3">
      <c r="A82" s="1"/>
      <c r="B82" s="2"/>
      <c r="C82" s="2"/>
      <c r="D82" s="2"/>
      <c r="E82" s="2"/>
      <c r="F82" s="2"/>
      <c r="G82" s="2"/>
      <c r="H82" s="2"/>
    </row>
    <row r="83" spans="1:8" x14ac:dyDescent="0.3">
      <c r="A83" s="1"/>
      <c r="B83" s="2"/>
      <c r="C83" s="2"/>
      <c r="D83" s="2"/>
      <c r="E83" s="2"/>
      <c r="F83" s="2"/>
      <c r="G83" s="2"/>
      <c r="H83" s="2"/>
    </row>
    <row r="84" spans="1:8" x14ac:dyDescent="0.3">
      <c r="A84" s="1"/>
      <c r="B84" s="2"/>
      <c r="C84" s="2"/>
      <c r="D84" s="2"/>
      <c r="E84" s="2"/>
      <c r="F84" s="2"/>
      <c r="G84" s="2"/>
      <c r="H84" s="2"/>
    </row>
    <row r="85" spans="1:8" x14ac:dyDescent="0.3">
      <c r="A85" s="1"/>
      <c r="B85" s="2"/>
      <c r="C85" s="2"/>
      <c r="D85" s="2"/>
      <c r="E85" s="2"/>
      <c r="F85" s="2"/>
      <c r="G85" s="2"/>
      <c r="H85" s="2"/>
    </row>
    <row r="86" spans="1:8" x14ac:dyDescent="0.3">
      <c r="A86" s="1"/>
      <c r="B86" s="2"/>
      <c r="C86" s="2"/>
      <c r="D86" s="2"/>
      <c r="E86" s="2"/>
      <c r="F86" s="2"/>
      <c r="G86" s="2"/>
      <c r="H86" s="2"/>
    </row>
    <row r="87" spans="1:8" x14ac:dyDescent="0.3">
      <c r="A87" s="1"/>
      <c r="B87" s="2"/>
      <c r="C87" s="2"/>
      <c r="D87" s="2"/>
      <c r="E87" s="2"/>
      <c r="F87" s="2"/>
      <c r="G87" s="2"/>
      <c r="H87" s="2"/>
    </row>
    <row r="88" spans="1:8" x14ac:dyDescent="0.3">
      <c r="A88" s="1"/>
      <c r="B88" s="2"/>
      <c r="C88" s="2"/>
      <c r="D88" s="2"/>
      <c r="E88" s="2"/>
      <c r="F88" s="2"/>
      <c r="G88" s="2"/>
      <c r="H88" s="2"/>
    </row>
    <row r="89" spans="1:8" x14ac:dyDescent="0.3">
      <c r="A89" s="1"/>
      <c r="B89" s="2"/>
      <c r="C89" s="2"/>
      <c r="D89" s="2"/>
      <c r="E89" s="2"/>
      <c r="F89" s="2"/>
      <c r="G89" s="2"/>
      <c r="H89" s="2"/>
    </row>
    <row r="90" spans="1:8" x14ac:dyDescent="0.3">
      <c r="A90" s="1"/>
      <c r="B90" s="2"/>
      <c r="C90" s="2"/>
      <c r="D90" s="2"/>
      <c r="E90" s="2"/>
      <c r="F90" s="2"/>
      <c r="G90" s="2"/>
      <c r="H90" s="2"/>
    </row>
    <row r="91" spans="1:8" x14ac:dyDescent="0.3">
      <c r="A91" s="1"/>
      <c r="B91" s="2"/>
      <c r="C91" s="2"/>
      <c r="D91" s="2"/>
      <c r="E91" s="2"/>
      <c r="F91" s="2"/>
      <c r="G91" s="2"/>
      <c r="H91" s="2"/>
    </row>
    <row r="92" spans="1:8" x14ac:dyDescent="0.3">
      <c r="A92" s="1"/>
      <c r="B92" s="2"/>
      <c r="C92" s="2"/>
      <c r="D92" s="2"/>
      <c r="E92" s="2"/>
      <c r="F92" s="2"/>
      <c r="G92" s="2"/>
      <c r="H92" s="2"/>
    </row>
    <row r="93" spans="1:8" x14ac:dyDescent="0.3">
      <c r="A93" s="1"/>
      <c r="B93" s="2"/>
      <c r="C93" s="2"/>
      <c r="D93" s="2"/>
      <c r="E93" s="2"/>
      <c r="F93" s="2"/>
      <c r="G93" s="2"/>
      <c r="H93" s="2"/>
    </row>
    <row r="94" spans="1:8" x14ac:dyDescent="0.3">
      <c r="A94" s="1"/>
      <c r="B94" s="2"/>
      <c r="C94" s="2"/>
      <c r="D94" s="2"/>
      <c r="E94" s="2"/>
      <c r="F94" s="2"/>
      <c r="G94" s="2"/>
      <c r="H94" s="2"/>
    </row>
    <row r="95" spans="1:8" x14ac:dyDescent="0.3">
      <c r="A95" s="1"/>
      <c r="B95" s="2"/>
      <c r="C95" s="2"/>
      <c r="D95" s="2"/>
      <c r="E95" s="2"/>
      <c r="F95" s="2"/>
      <c r="G95" s="2"/>
      <c r="H95" s="2"/>
    </row>
    <row r="96" spans="1:8" x14ac:dyDescent="0.3">
      <c r="A96" s="1"/>
      <c r="B96" s="2"/>
      <c r="C96" s="2"/>
      <c r="D96" s="2"/>
      <c r="E96" s="2"/>
      <c r="F96" s="2"/>
      <c r="G96" s="2"/>
      <c r="H96" s="2"/>
    </row>
    <row r="97" spans="1:8" x14ac:dyDescent="0.3">
      <c r="A97" s="1"/>
      <c r="B97" s="2"/>
      <c r="C97" s="2"/>
      <c r="D97" s="2"/>
      <c r="E97" s="2"/>
      <c r="F97" s="2"/>
      <c r="G97" s="2"/>
      <c r="H97" s="2"/>
    </row>
    <row r="98" spans="1:8" x14ac:dyDescent="0.3">
      <c r="A98" s="1"/>
      <c r="B98" s="2"/>
      <c r="C98" s="2"/>
      <c r="D98" s="2"/>
      <c r="E98" s="2"/>
      <c r="F98" s="2"/>
      <c r="G98" s="2"/>
      <c r="H98" s="2"/>
    </row>
    <row r="99" spans="1:8" x14ac:dyDescent="0.3">
      <c r="A99" s="1"/>
      <c r="B99" s="2"/>
      <c r="C99" s="2"/>
      <c r="D99" s="2"/>
      <c r="E99" s="2"/>
      <c r="F99" s="2"/>
      <c r="G99" s="2"/>
      <c r="H99" s="2"/>
    </row>
    <row r="100" spans="1:8" x14ac:dyDescent="0.3">
      <c r="A100" s="1"/>
      <c r="B100" s="2"/>
      <c r="C100" s="2"/>
      <c r="D100" s="2"/>
      <c r="E100" s="2"/>
      <c r="F100" s="2"/>
      <c r="G100" s="2"/>
      <c r="H100" s="2"/>
    </row>
    <row r="101" spans="1:8" x14ac:dyDescent="0.3">
      <c r="A101" s="1"/>
      <c r="B101" s="2"/>
      <c r="C101" s="2"/>
      <c r="D101" s="2"/>
      <c r="E101" s="2"/>
      <c r="F101" s="2"/>
      <c r="G101" s="2"/>
      <c r="H101" s="2"/>
    </row>
    <row r="102" spans="1:8" x14ac:dyDescent="0.3">
      <c r="A102" s="1"/>
      <c r="B102" s="2"/>
      <c r="C102" s="2"/>
      <c r="D102" s="2"/>
      <c r="E102" s="2"/>
      <c r="F102" s="2"/>
      <c r="G102" s="2"/>
      <c r="H102" s="2"/>
    </row>
    <row r="103" spans="1:8" x14ac:dyDescent="0.3">
      <c r="A103" s="1"/>
      <c r="B103" s="2"/>
      <c r="C103" s="2"/>
      <c r="D103" s="2"/>
      <c r="E103" s="2"/>
      <c r="F103" s="2"/>
      <c r="G103" s="2"/>
      <c r="H103" s="2"/>
    </row>
    <row r="104" spans="1:8" x14ac:dyDescent="0.3">
      <c r="A104" s="1"/>
      <c r="B104" s="2"/>
      <c r="C104" s="2"/>
      <c r="D104" s="2"/>
      <c r="E104" s="2"/>
      <c r="F104" s="2"/>
      <c r="G104" s="2"/>
      <c r="H104" s="2"/>
    </row>
    <row r="105" spans="1:8" x14ac:dyDescent="0.3">
      <c r="A105" s="1"/>
      <c r="B105" s="2"/>
      <c r="C105" s="2"/>
      <c r="D105" s="2"/>
      <c r="E105" s="2"/>
      <c r="F105" s="2"/>
      <c r="G105" s="2"/>
      <c r="H105" s="2"/>
    </row>
    <row r="106" spans="1:8" x14ac:dyDescent="0.3">
      <c r="A106" s="1"/>
      <c r="B106" s="2"/>
      <c r="C106" s="2"/>
      <c r="D106" s="2"/>
      <c r="E106" s="2"/>
      <c r="F106" s="2"/>
      <c r="G106" s="2"/>
      <c r="H106" s="2"/>
    </row>
    <row r="107" spans="1:8" x14ac:dyDescent="0.3">
      <c r="A107" s="1"/>
      <c r="B107" s="2"/>
      <c r="C107" s="2"/>
      <c r="D107" s="2"/>
      <c r="E107" s="2"/>
      <c r="F107" s="2"/>
      <c r="G107" s="2"/>
      <c r="H107" s="2"/>
    </row>
    <row r="108" spans="1:8" x14ac:dyDescent="0.3">
      <c r="A108" s="1"/>
      <c r="B108" s="2"/>
      <c r="C108" s="2"/>
      <c r="D108" s="2"/>
      <c r="E108" s="2"/>
      <c r="F108" s="2"/>
      <c r="G108" s="2"/>
      <c r="H108" s="2"/>
    </row>
    <row r="109" spans="1:8" x14ac:dyDescent="0.3">
      <c r="A109" s="1"/>
      <c r="B109" s="2"/>
      <c r="C109" s="2"/>
      <c r="D109" s="2"/>
      <c r="E109" s="2"/>
      <c r="F109" s="2"/>
      <c r="G109" s="2"/>
      <c r="H109" s="2"/>
    </row>
    <row r="110" spans="1:8" x14ac:dyDescent="0.3">
      <c r="A110" s="1"/>
      <c r="B110" s="2"/>
      <c r="C110" s="2"/>
      <c r="D110" s="2"/>
      <c r="E110" s="2"/>
      <c r="F110" s="2"/>
      <c r="G110" s="2"/>
      <c r="H110" s="2"/>
    </row>
    <row r="111" spans="1:8" x14ac:dyDescent="0.3">
      <c r="A111" s="1"/>
      <c r="B111" s="2"/>
      <c r="C111" s="2"/>
      <c r="D111" s="2"/>
      <c r="E111" s="2"/>
      <c r="F111" s="2"/>
      <c r="G111" s="2"/>
      <c r="H111" s="2"/>
    </row>
    <row r="112" spans="1:8" x14ac:dyDescent="0.3">
      <c r="A112" s="1"/>
      <c r="B112" s="2"/>
      <c r="C112" s="2"/>
      <c r="D112" s="2"/>
      <c r="E112" s="2"/>
      <c r="F112" s="2"/>
      <c r="G112" s="2"/>
      <c r="H112" s="2"/>
    </row>
    <row r="113" spans="1:8" x14ac:dyDescent="0.3">
      <c r="A113" s="1"/>
      <c r="B113" s="2"/>
      <c r="C113" s="2"/>
      <c r="D113" s="2"/>
      <c r="E113" s="2"/>
      <c r="F113" s="2"/>
      <c r="G113" s="2"/>
      <c r="H113" s="2"/>
    </row>
    <row r="114" spans="1:8" x14ac:dyDescent="0.3">
      <c r="A114" s="1"/>
      <c r="B114" s="2"/>
      <c r="C114" s="2"/>
      <c r="D114" s="2"/>
      <c r="E114" s="2"/>
      <c r="F114" s="2"/>
      <c r="G114" s="2"/>
      <c r="H114" s="2"/>
    </row>
    <row r="115" spans="1:8" x14ac:dyDescent="0.3">
      <c r="A115" s="1"/>
      <c r="B115" s="2"/>
      <c r="C115" s="2"/>
      <c r="D115" s="2"/>
      <c r="E115" s="2"/>
      <c r="F115" s="2"/>
      <c r="G115" s="2"/>
      <c r="H115" s="2"/>
    </row>
    <row r="116" spans="1:8" x14ac:dyDescent="0.3">
      <c r="A116" s="1"/>
      <c r="B116" s="2"/>
      <c r="C116" s="2"/>
      <c r="D116" s="2"/>
      <c r="E116" s="2"/>
      <c r="F116" s="2"/>
      <c r="G116" s="2"/>
      <c r="H116" s="2"/>
    </row>
    <row r="117" spans="1:8" x14ac:dyDescent="0.3">
      <c r="A117" s="1"/>
      <c r="B117" s="2"/>
      <c r="C117" s="2"/>
      <c r="D117" s="2"/>
      <c r="E117" s="2"/>
      <c r="F117" s="2"/>
      <c r="G117" s="2"/>
      <c r="H117" s="2"/>
    </row>
    <row r="118" spans="1:8" x14ac:dyDescent="0.3">
      <c r="A118" s="1"/>
      <c r="B118" s="2"/>
      <c r="C118" s="2"/>
      <c r="D118" s="2"/>
      <c r="E118" s="2"/>
      <c r="F118" s="2"/>
      <c r="G118" s="2"/>
      <c r="H118" s="2"/>
    </row>
    <row r="119" spans="1:8" x14ac:dyDescent="0.3">
      <c r="A119" s="1"/>
      <c r="B119" s="2"/>
      <c r="C119" s="2"/>
      <c r="D119" s="2"/>
      <c r="E119" s="2"/>
      <c r="F119" s="2"/>
      <c r="G119" s="2"/>
      <c r="H119" s="2"/>
    </row>
    <row r="120" spans="1:8" x14ac:dyDescent="0.3">
      <c r="A120" s="1"/>
      <c r="B120" s="2"/>
      <c r="C120" s="2"/>
      <c r="D120" s="2"/>
      <c r="E120" s="2"/>
      <c r="F120" s="2"/>
      <c r="G120" s="2"/>
      <c r="H120" s="2"/>
    </row>
    <row r="121" spans="1:8" x14ac:dyDescent="0.3">
      <c r="A121" s="1"/>
      <c r="B121" s="2"/>
      <c r="C121" s="2"/>
      <c r="D121" s="2"/>
      <c r="E121" s="2"/>
      <c r="F121" s="2"/>
      <c r="G121" s="2"/>
      <c r="H121" s="2"/>
    </row>
    <row r="122" spans="1:8" x14ac:dyDescent="0.3">
      <c r="A122" s="1"/>
      <c r="B122" s="2"/>
      <c r="C122" s="2"/>
      <c r="D122" s="2"/>
      <c r="E122" s="2"/>
      <c r="F122" s="2"/>
      <c r="G122" s="2"/>
      <c r="H122" s="2"/>
    </row>
    <row r="123" spans="1:8" x14ac:dyDescent="0.3">
      <c r="A123" s="1"/>
      <c r="B123" s="2"/>
      <c r="C123" s="2"/>
      <c r="D123" s="2"/>
      <c r="E123" s="2"/>
      <c r="F123" s="2"/>
      <c r="G123" s="2"/>
      <c r="H123" s="2"/>
    </row>
    <row r="124" spans="1:8" x14ac:dyDescent="0.3">
      <c r="A124" s="1"/>
      <c r="B124" s="2"/>
      <c r="C124" s="2"/>
      <c r="D124" s="2"/>
      <c r="E124" s="2"/>
      <c r="F124" s="2"/>
      <c r="G124" s="2"/>
      <c r="H124" s="2"/>
    </row>
    <row r="125" spans="1:8" x14ac:dyDescent="0.3">
      <c r="A125" s="1"/>
      <c r="B125" s="2"/>
      <c r="C125" s="2"/>
      <c r="D125" s="2"/>
      <c r="E125" s="2"/>
      <c r="F125" s="2"/>
      <c r="G125" s="2"/>
      <c r="H125" s="2"/>
    </row>
    <row r="126" spans="1:8" x14ac:dyDescent="0.3">
      <c r="A126" s="1"/>
      <c r="B126" s="2"/>
      <c r="C126" s="2"/>
      <c r="D126" s="2"/>
      <c r="E126" s="2"/>
      <c r="F126" s="2"/>
      <c r="G126" s="2"/>
      <c r="H126" s="2"/>
    </row>
    <row r="127" spans="1:8" x14ac:dyDescent="0.3">
      <c r="A127" s="1"/>
      <c r="B127" s="2"/>
      <c r="C127" s="2"/>
      <c r="D127" s="2"/>
      <c r="E127" s="2"/>
      <c r="F127" s="2"/>
      <c r="G127" s="2"/>
      <c r="H127" s="2"/>
    </row>
    <row r="128" spans="1:8" x14ac:dyDescent="0.3">
      <c r="A128" s="1"/>
      <c r="B128" s="2"/>
      <c r="C128" s="2"/>
      <c r="D128" s="2"/>
      <c r="E128" s="2"/>
      <c r="F128" s="2"/>
      <c r="G128" s="2"/>
      <c r="H128" s="2"/>
    </row>
    <row r="129" spans="1:8" x14ac:dyDescent="0.3">
      <c r="A129" s="1"/>
      <c r="B129" s="2"/>
      <c r="C129" s="2"/>
      <c r="D129" s="2"/>
      <c r="E129" s="2"/>
      <c r="F129" s="2"/>
      <c r="G129" s="2"/>
      <c r="H129" s="2"/>
    </row>
    <row r="130" spans="1:8" x14ac:dyDescent="0.3">
      <c r="A130" s="1"/>
      <c r="B130" s="2"/>
      <c r="C130" s="2"/>
      <c r="D130" s="2"/>
      <c r="E130" s="2"/>
      <c r="F130" s="2"/>
      <c r="G130" s="2"/>
      <c r="H130" s="2"/>
    </row>
    <row r="131" spans="1:8" x14ac:dyDescent="0.3">
      <c r="A131" s="1"/>
      <c r="B131" s="2"/>
      <c r="C131" s="2"/>
      <c r="D131" s="2"/>
      <c r="E131" s="2"/>
      <c r="F131" s="2"/>
      <c r="G131" s="2"/>
      <c r="H131" s="2"/>
    </row>
    <row r="132" spans="1:8" x14ac:dyDescent="0.3">
      <c r="A132" s="1"/>
      <c r="B132" s="2"/>
      <c r="C132" s="2"/>
      <c r="D132" s="2"/>
      <c r="E132" s="2"/>
      <c r="F132" s="2"/>
      <c r="G132" s="2"/>
      <c r="H132" s="2"/>
    </row>
    <row r="133" spans="1:8" x14ac:dyDescent="0.3">
      <c r="A133" s="1"/>
      <c r="B133" s="2"/>
      <c r="C133" s="2"/>
      <c r="D133" s="2"/>
      <c r="E133" s="2"/>
      <c r="F133" s="2"/>
      <c r="G133" s="2"/>
      <c r="H133" s="2"/>
    </row>
    <row r="134" spans="1:8" x14ac:dyDescent="0.3">
      <c r="A134" s="1"/>
      <c r="B134" s="2"/>
      <c r="C134" s="2"/>
      <c r="D134" s="2"/>
      <c r="E134" s="2"/>
      <c r="F134" s="2"/>
      <c r="G134" s="2"/>
      <c r="H134" s="2"/>
    </row>
    <row r="135" spans="1:8" x14ac:dyDescent="0.3">
      <c r="A135" s="1"/>
      <c r="B135" s="2"/>
      <c r="C135" s="2"/>
      <c r="D135" s="2"/>
      <c r="E135" s="2"/>
      <c r="F135" s="2"/>
      <c r="G135" s="2"/>
      <c r="H135" s="2"/>
    </row>
    <row r="136" spans="1:8" x14ac:dyDescent="0.3">
      <c r="A136" s="1"/>
      <c r="B136" s="2"/>
      <c r="C136" s="2"/>
      <c r="D136" s="2"/>
      <c r="E136" s="2"/>
      <c r="F136" s="2"/>
      <c r="G136" s="2"/>
      <c r="H136" s="2"/>
    </row>
    <row r="137" spans="1:8" x14ac:dyDescent="0.3">
      <c r="A137" s="1"/>
      <c r="B137" s="2"/>
      <c r="C137" s="2"/>
      <c r="D137" s="2"/>
      <c r="E137" s="2"/>
      <c r="F137" s="2"/>
      <c r="G137" s="2"/>
      <c r="H137" s="2"/>
    </row>
    <row r="138" spans="1:8" x14ac:dyDescent="0.3">
      <c r="A138" s="1"/>
      <c r="B138" s="2"/>
      <c r="C138" s="2"/>
      <c r="D138" s="2"/>
      <c r="E138" s="2"/>
      <c r="F138" s="2"/>
      <c r="G138" s="2"/>
      <c r="H138" s="2"/>
    </row>
    <row r="139" spans="1:8" x14ac:dyDescent="0.3">
      <c r="A139" s="1"/>
      <c r="B139" s="2"/>
      <c r="C139" s="2"/>
      <c r="D139" s="2"/>
      <c r="E139" s="2"/>
      <c r="F139" s="2"/>
      <c r="G139" s="2"/>
      <c r="H139" s="2"/>
    </row>
    <row r="140" spans="1:8" x14ac:dyDescent="0.3">
      <c r="A140" s="1"/>
      <c r="B140" s="2"/>
      <c r="C140" s="2"/>
      <c r="D140" s="2"/>
      <c r="E140" s="2"/>
      <c r="F140" s="2"/>
      <c r="G140" s="2"/>
      <c r="H140" s="2"/>
    </row>
    <row r="141" spans="1:8" x14ac:dyDescent="0.3">
      <c r="A141" s="1"/>
      <c r="B141" s="2"/>
      <c r="C141" s="2"/>
      <c r="D141" s="2"/>
      <c r="E141" s="2"/>
      <c r="F141" s="2"/>
      <c r="G141" s="2"/>
      <c r="H141" s="2"/>
    </row>
    <row r="142" spans="1:8" x14ac:dyDescent="0.3">
      <c r="A142" s="1"/>
      <c r="B142" s="2"/>
      <c r="C142" s="2"/>
      <c r="D142" s="2"/>
      <c r="E142" s="2"/>
      <c r="F142" s="2"/>
      <c r="G142" s="2"/>
      <c r="H142" s="2"/>
    </row>
    <row r="143" spans="1:8" x14ac:dyDescent="0.3">
      <c r="A143" s="1"/>
      <c r="B143" s="2"/>
      <c r="C143" s="2"/>
      <c r="D143" s="2"/>
      <c r="E143" s="2"/>
      <c r="F143" s="2"/>
      <c r="G143" s="2"/>
      <c r="H143" s="2"/>
    </row>
    <row r="144" spans="1:8" x14ac:dyDescent="0.3">
      <c r="A144" s="1"/>
      <c r="B144" s="2"/>
      <c r="C144" s="2"/>
      <c r="D144" s="2"/>
      <c r="E144" s="2"/>
      <c r="F144" s="2"/>
      <c r="G144" s="2"/>
      <c r="H144" s="2"/>
    </row>
    <row r="145" spans="1:8" x14ac:dyDescent="0.3">
      <c r="A145" s="1"/>
      <c r="B145" s="2"/>
      <c r="C145" s="2"/>
      <c r="D145" s="2"/>
      <c r="E145" s="2"/>
      <c r="F145" s="2"/>
      <c r="G145" s="2"/>
      <c r="H145" s="2"/>
    </row>
    <row r="146" spans="1:8" x14ac:dyDescent="0.3">
      <c r="A146" s="1"/>
      <c r="B146" s="2"/>
      <c r="C146" s="2"/>
      <c r="D146" s="2"/>
      <c r="E146" s="2"/>
      <c r="F146" s="2"/>
      <c r="G146" s="2"/>
      <c r="H146" s="2"/>
    </row>
    <row r="147" spans="1:8" x14ac:dyDescent="0.3">
      <c r="A147" s="1"/>
      <c r="B147" s="2"/>
      <c r="C147" s="2"/>
      <c r="D147" s="2"/>
      <c r="E147" s="2"/>
      <c r="F147" s="2"/>
      <c r="G147" s="2"/>
      <c r="H147" s="2"/>
    </row>
    <row r="148" spans="1:8" x14ac:dyDescent="0.3">
      <c r="A148" s="1"/>
      <c r="B148" s="2"/>
      <c r="C148" s="2"/>
      <c r="D148" s="2"/>
      <c r="E148" s="2"/>
      <c r="F148" s="2"/>
      <c r="G148" s="2"/>
      <c r="H148" s="2"/>
    </row>
    <row r="149" spans="1:8" x14ac:dyDescent="0.3">
      <c r="A149" s="1"/>
      <c r="B149" s="2"/>
      <c r="C149" s="2"/>
      <c r="D149" s="2"/>
      <c r="E149" s="2"/>
      <c r="F149" s="2"/>
      <c r="G149" s="2"/>
      <c r="H149" s="2"/>
    </row>
    <row r="150" spans="1:8" x14ac:dyDescent="0.3">
      <c r="A150" s="1"/>
      <c r="B150" s="2"/>
      <c r="C150" s="2"/>
      <c r="D150" s="2"/>
      <c r="E150" s="2"/>
      <c r="F150" s="2"/>
      <c r="G150" s="2"/>
      <c r="H150" s="2"/>
    </row>
    <row r="151" spans="1:8" x14ac:dyDescent="0.3">
      <c r="A151" s="1"/>
      <c r="B151" s="2"/>
      <c r="C151" s="2"/>
      <c r="D151" s="2"/>
      <c r="E151" s="2"/>
      <c r="F151" s="2"/>
      <c r="G151" s="2"/>
      <c r="H151" s="2"/>
    </row>
    <row r="152" spans="1:8" x14ac:dyDescent="0.3">
      <c r="A152" s="1"/>
      <c r="B152" s="2"/>
      <c r="C152" s="2"/>
      <c r="D152" s="2"/>
      <c r="E152" s="2"/>
      <c r="F152" s="2"/>
      <c r="G152" s="2"/>
      <c r="H152" s="2"/>
    </row>
    <row r="153" spans="1:8" x14ac:dyDescent="0.3">
      <c r="A153" s="1"/>
      <c r="B153" s="2"/>
      <c r="C153" s="2"/>
      <c r="D153" s="2"/>
      <c r="E153" s="2"/>
      <c r="F153" s="2"/>
      <c r="G153" s="2"/>
      <c r="H153" s="2"/>
    </row>
    <row r="154" spans="1:8" x14ac:dyDescent="0.3">
      <c r="A154" s="1"/>
      <c r="B154" s="2"/>
      <c r="C154" s="2"/>
      <c r="D154" s="2"/>
      <c r="E154" s="2"/>
      <c r="F154" s="2"/>
      <c r="G154" s="2"/>
      <c r="H154" s="2"/>
    </row>
    <row r="155" spans="1:8" x14ac:dyDescent="0.3">
      <c r="A155" s="1"/>
      <c r="B155" s="2"/>
      <c r="C155" s="2"/>
      <c r="D155" s="2"/>
      <c r="E155" s="2"/>
      <c r="F155" s="2"/>
      <c r="G155" s="2"/>
      <c r="H155" s="2"/>
    </row>
    <row r="156" spans="1:8" x14ac:dyDescent="0.3">
      <c r="A156" s="1"/>
      <c r="B156" s="2"/>
      <c r="C156" s="2"/>
      <c r="D156" s="2"/>
      <c r="E156" s="2"/>
      <c r="F156" s="2"/>
      <c r="G156" s="2"/>
      <c r="H156" s="2"/>
    </row>
    <row r="157" spans="1:8" x14ac:dyDescent="0.3">
      <c r="A157" s="1"/>
      <c r="B157" s="2"/>
      <c r="C157" s="2"/>
      <c r="D157" s="2"/>
      <c r="E157" s="2"/>
      <c r="F157" s="2"/>
      <c r="G157" s="2"/>
      <c r="H157" s="2"/>
    </row>
    <row r="158" spans="1:8" x14ac:dyDescent="0.3">
      <c r="A158" s="1"/>
      <c r="B158" s="2"/>
      <c r="C158" s="2"/>
      <c r="D158" s="2"/>
      <c r="E158" s="2"/>
      <c r="F158" s="2"/>
      <c r="G158" s="2"/>
      <c r="H158" s="2"/>
    </row>
    <row r="159" spans="1:8" x14ac:dyDescent="0.3">
      <c r="A159" s="1"/>
      <c r="B159" s="2"/>
      <c r="C159" s="2"/>
      <c r="D159" s="2"/>
      <c r="E159" s="2"/>
      <c r="F159" s="2"/>
      <c r="G159" s="2"/>
      <c r="H159" s="2"/>
    </row>
    <row r="160" spans="1:8" x14ac:dyDescent="0.3">
      <c r="A160" s="1"/>
      <c r="B160" s="2"/>
      <c r="C160" s="2"/>
      <c r="D160" s="2"/>
      <c r="E160" s="2"/>
      <c r="F160" s="2"/>
      <c r="G160" s="2"/>
      <c r="H160" s="2"/>
    </row>
    <row r="161" spans="1:8" x14ac:dyDescent="0.3">
      <c r="A161" s="1"/>
      <c r="B161" s="2"/>
      <c r="C161" s="2"/>
      <c r="D161" s="2"/>
      <c r="E161" s="2"/>
      <c r="F161" s="2"/>
      <c r="G161" s="2"/>
      <c r="H161" s="2"/>
    </row>
    <row r="162" spans="1:8" x14ac:dyDescent="0.3">
      <c r="A162" s="1"/>
      <c r="B162" s="2"/>
      <c r="C162" s="2"/>
      <c r="D162" s="2"/>
      <c r="E162" s="2"/>
      <c r="F162" s="2"/>
      <c r="G162" s="2"/>
      <c r="H162" s="2"/>
    </row>
    <row r="163" spans="1:8" x14ac:dyDescent="0.3">
      <c r="A163" s="1"/>
      <c r="B163" s="2"/>
      <c r="C163" s="2"/>
      <c r="D163" s="2"/>
      <c r="E163" s="2"/>
      <c r="F163" s="2"/>
      <c r="G163" s="2"/>
      <c r="H163" s="2"/>
    </row>
    <row r="164" spans="1:8" x14ac:dyDescent="0.3">
      <c r="A164" s="1"/>
      <c r="B164" s="2"/>
      <c r="C164" s="2"/>
      <c r="D164" s="2"/>
      <c r="E164" s="2"/>
      <c r="F164" s="2"/>
      <c r="G164" s="2"/>
      <c r="H164" s="2"/>
    </row>
    <row r="165" spans="1:8" x14ac:dyDescent="0.3">
      <c r="A165" s="1"/>
      <c r="B165" s="2"/>
      <c r="C165" s="2"/>
      <c r="D165" s="2"/>
      <c r="E165" s="2"/>
      <c r="F165" s="2"/>
      <c r="G165" s="2"/>
      <c r="H165" s="2"/>
    </row>
    <row r="166" spans="1:8" x14ac:dyDescent="0.3">
      <c r="A166" s="1"/>
      <c r="B166" s="2"/>
      <c r="C166" s="2"/>
      <c r="D166" s="2"/>
      <c r="E166" s="2"/>
      <c r="F166" s="2"/>
      <c r="G166" s="2"/>
      <c r="H166" s="2"/>
    </row>
    <row r="167" spans="1:8" x14ac:dyDescent="0.3">
      <c r="A167" s="1"/>
      <c r="B167" s="2"/>
      <c r="C167" s="2"/>
      <c r="D167" s="2"/>
      <c r="E167" s="2"/>
      <c r="F167" s="2"/>
      <c r="G167" s="2"/>
      <c r="H167" s="2"/>
    </row>
    <row r="168" spans="1:8" x14ac:dyDescent="0.3">
      <c r="A168" s="1"/>
      <c r="B168" s="2"/>
      <c r="C168" s="2"/>
      <c r="D168" s="2"/>
      <c r="E168" s="2"/>
      <c r="F168" s="2"/>
      <c r="G168" s="2"/>
      <c r="H168" s="2"/>
    </row>
    <row r="169" spans="1:8" x14ac:dyDescent="0.3">
      <c r="A169" s="1"/>
      <c r="B169" s="2"/>
      <c r="C169" s="2"/>
      <c r="D169" s="2"/>
      <c r="E169" s="2"/>
      <c r="F169" s="2"/>
      <c r="G169" s="2"/>
      <c r="H169" s="2"/>
    </row>
    <row r="170" spans="1:8" x14ac:dyDescent="0.3">
      <c r="A170" s="1"/>
      <c r="B170" s="2"/>
      <c r="C170" s="2"/>
      <c r="D170" s="2"/>
      <c r="E170" s="2"/>
      <c r="F170" s="2"/>
      <c r="G170" s="2"/>
      <c r="H170" s="2"/>
    </row>
    <row r="171" spans="1:8" x14ac:dyDescent="0.3">
      <c r="A171" s="1"/>
      <c r="B171" s="2"/>
      <c r="C171" s="2"/>
      <c r="D171" s="2"/>
      <c r="E171" s="2"/>
      <c r="F171" s="2"/>
      <c r="G171" s="2"/>
      <c r="H171" s="2"/>
    </row>
    <row r="172" spans="1:8" x14ac:dyDescent="0.3">
      <c r="A172" s="1"/>
      <c r="B172" s="2"/>
      <c r="C172" s="2"/>
      <c r="D172" s="2"/>
      <c r="E172" s="2"/>
      <c r="F172" s="2"/>
      <c r="G172" s="2"/>
      <c r="H172" s="2"/>
    </row>
    <row r="173" spans="1:8" x14ac:dyDescent="0.3">
      <c r="A173" s="1"/>
      <c r="B173" s="2"/>
      <c r="C173" s="2"/>
      <c r="D173" s="2"/>
      <c r="E173" s="2"/>
      <c r="F173" s="2"/>
      <c r="G173" s="2"/>
      <c r="H173" s="2"/>
    </row>
    <row r="174" spans="1:8" x14ac:dyDescent="0.3">
      <c r="A174" s="1"/>
      <c r="B174" s="2"/>
      <c r="C174" s="2"/>
      <c r="D174" s="2"/>
      <c r="E174" s="2"/>
      <c r="F174" s="2"/>
      <c r="G174" s="2"/>
      <c r="H174" s="2"/>
    </row>
    <row r="175" spans="1:8" x14ac:dyDescent="0.3">
      <c r="A175" s="1"/>
      <c r="B175" s="2"/>
      <c r="C175" s="2"/>
      <c r="D175" s="2"/>
      <c r="E175" s="2"/>
      <c r="F175" s="2"/>
      <c r="G175" s="2"/>
      <c r="H175" s="2"/>
    </row>
    <row r="176" spans="1:8" x14ac:dyDescent="0.3">
      <c r="A176" s="1"/>
      <c r="B176" s="2"/>
      <c r="C176" s="2"/>
      <c r="D176" s="2"/>
      <c r="E176" s="2"/>
      <c r="F176" s="2"/>
      <c r="G176" s="2"/>
      <c r="H176" s="2"/>
    </row>
    <row r="177" spans="1:8" x14ac:dyDescent="0.3">
      <c r="A177" s="1"/>
      <c r="B177" s="2"/>
      <c r="C177" s="2"/>
      <c r="D177" s="2"/>
      <c r="E177" s="2"/>
      <c r="F177" s="2"/>
      <c r="G177" s="2"/>
      <c r="H177" s="2"/>
    </row>
    <row r="178" spans="1:8" x14ac:dyDescent="0.3">
      <c r="A178" s="1"/>
      <c r="B178" s="2"/>
      <c r="C178" s="2"/>
      <c r="D178" s="2"/>
      <c r="E178" s="2"/>
      <c r="F178" s="2"/>
      <c r="G178" s="2"/>
      <c r="H178" s="2"/>
    </row>
    <row r="179" spans="1:8" x14ac:dyDescent="0.3">
      <c r="A179" s="1"/>
      <c r="B179" s="2"/>
      <c r="C179" s="2"/>
      <c r="D179" s="2"/>
      <c r="E179" s="2"/>
      <c r="F179" s="2"/>
      <c r="G179" s="2"/>
      <c r="H179" s="2"/>
    </row>
    <row r="180" spans="1:8" x14ac:dyDescent="0.3">
      <c r="A180" s="1"/>
      <c r="B180" s="2"/>
      <c r="C180" s="2"/>
      <c r="D180" s="2"/>
      <c r="E180" s="2"/>
      <c r="F180" s="2"/>
      <c r="G180" s="2"/>
      <c r="H180" s="2"/>
    </row>
    <row r="181" spans="1:8" x14ac:dyDescent="0.3">
      <c r="A181" s="1"/>
      <c r="B181" s="2"/>
      <c r="C181" s="2"/>
      <c r="D181" s="2"/>
      <c r="E181" s="2"/>
      <c r="F181" s="2"/>
      <c r="G181" s="2"/>
      <c r="H181" s="2"/>
    </row>
    <row r="182" spans="1:8" x14ac:dyDescent="0.3">
      <c r="A182" s="1"/>
      <c r="B182" s="2"/>
      <c r="C182" s="2"/>
      <c r="D182" s="2"/>
      <c r="E182" s="2"/>
      <c r="F182" s="2"/>
      <c r="G182" s="2"/>
      <c r="H182" s="2"/>
    </row>
    <row r="183" spans="1:8" x14ac:dyDescent="0.3">
      <c r="A183" s="1"/>
      <c r="B183" s="2"/>
      <c r="C183" s="2"/>
      <c r="D183" s="2"/>
      <c r="E183" s="2"/>
      <c r="F183" s="2"/>
      <c r="G183" s="2"/>
      <c r="H183" s="2"/>
    </row>
    <row r="184" spans="1:8" x14ac:dyDescent="0.3">
      <c r="A184" s="1"/>
      <c r="B184" s="2"/>
      <c r="C184" s="2"/>
      <c r="D184" s="2"/>
      <c r="E184" s="2"/>
      <c r="F184" s="2"/>
      <c r="G184" s="2"/>
      <c r="H184" s="2"/>
    </row>
    <row r="185" spans="1:8" x14ac:dyDescent="0.3">
      <c r="A185" s="1"/>
      <c r="B185" s="2"/>
      <c r="C185" s="2"/>
      <c r="D185" s="2"/>
      <c r="E185" s="2"/>
      <c r="F185" s="2"/>
      <c r="G185" s="2"/>
      <c r="H185" s="2"/>
    </row>
    <row r="186" spans="1:8" x14ac:dyDescent="0.3">
      <c r="A186" s="1"/>
      <c r="B186" s="2"/>
      <c r="C186" s="2"/>
      <c r="D186" s="2"/>
      <c r="E186" s="2"/>
      <c r="F186" s="2"/>
      <c r="G186" s="2"/>
      <c r="H186" s="2"/>
    </row>
    <row r="187" spans="1:8" x14ac:dyDescent="0.3">
      <c r="A187" s="1"/>
      <c r="B187" s="2"/>
      <c r="C187" s="2"/>
      <c r="D187" s="2"/>
      <c r="E187" s="2"/>
      <c r="F187" s="2"/>
      <c r="G187" s="2"/>
      <c r="H187" s="2"/>
    </row>
    <row r="188" spans="1:8" x14ac:dyDescent="0.3">
      <c r="A188" s="1"/>
      <c r="B188" s="2"/>
      <c r="C188" s="2"/>
      <c r="D188" s="2"/>
      <c r="E188" s="2"/>
      <c r="F188" s="2"/>
      <c r="G188" s="2"/>
      <c r="H188" s="2"/>
    </row>
    <row r="189" spans="1:8" x14ac:dyDescent="0.3">
      <c r="A189" s="1"/>
      <c r="B189" s="2"/>
      <c r="C189" s="2"/>
      <c r="D189" s="2"/>
      <c r="E189" s="2"/>
      <c r="F189" s="2"/>
      <c r="G189" s="2"/>
      <c r="H189" s="2"/>
    </row>
    <row r="190" spans="1:8" x14ac:dyDescent="0.3">
      <c r="A190" s="1"/>
      <c r="B190" s="2"/>
      <c r="C190" s="2"/>
      <c r="D190" s="2"/>
      <c r="E190" s="2"/>
      <c r="F190" s="2"/>
      <c r="G190" s="2"/>
      <c r="H190" s="2"/>
    </row>
    <row r="191" spans="1:8" x14ac:dyDescent="0.3">
      <c r="A191" s="1"/>
      <c r="B191" s="2"/>
      <c r="C191" s="2"/>
      <c r="D191" s="2"/>
      <c r="E191" s="2"/>
      <c r="F191" s="2"/>
      <c r="G191" s="2"/>
      <c r="H191" s="2"/>
    </row>
    <row r="192" spans="1:8" x14ac:dyDescent="0.3">
      <c r="A192" s="1"/>
      <c r="B192" s="2"/>
      <c r="C192" s="2"/>
      <c r="D192" s="2"/>
      <c r="E192" s="2"/>
      <c r="F192" s="2"/>
      <c r="G192" s="2"/>
      <c r="H192" s="2"/>
    </row>
    <row r="193" spans="1:8" x14ac:dyDescent="0.3">
      <c r="A193" s="1"/>
      <c r="B193" s="2"/>
      <c r="C193" s="2"/>
      <c r="D193" s="2"/>
      <c r="E193" s="2"/>
      <c r="F193" s="2"/>
      <c r="G193" s="2"/>
      <c r="H193" s="2"/>
    </row>
    <row r="194" spans="1:8" x14ac:dyDescent="0.3">
      <c r="A194" s="1"/>
      <c r="B194" s="2"/>
      <c r="C194" s="2"/>
      <c r="D194" s="2"/>
      <c r="E194" s="2"/>
      <c r="F194" s="2"/>
      <c r="G194" s="2"/>
      <c r="H194" s="2"/>
    </row>
    <row r="195" spans="1:8" x14ac:dyDescent="0.3">
      <c r="A195" s="1"/>
      <c r="B195" s="2"/>
      <c r="C195" s="2"/>
      <c r="D195" s="2"/>
      <c r="E195" s="2"/>
      <c r="F195" s="2"/>
      <c r="G195" s="2"/>
      <c r="H195" s="2"/>
    </row>
    <row r="196" spans="1:8" x14ac:dyDescent="0.3">
      <c r="A196" s="1"/>
      <c r="B196" s="2"/>
      <c r="C196" s="2"/>
      <c r="D196" s="2"/>
      <c r="E196" s="2"/>
      <c r="F196" s="2"/>
      <c r="G196" s="2"/>
      <c r="H196" s="2"/>
    </row>
    <row r="197" spans="1:8" x14ac:dyDescent="0.3">
      <c r="A197" s="1"/>
      <c r="B197" s="2"/>
      <c r="C197" s="2"/>
      <c r="D197" s="2"/>
      <c r="E197" s="2"/>
      <c r="F197" s="2"/>
      <c r="G197" s="2"/>
      <c r="H197" s="2"/>
    </row>
    <row r="198" spans="1:8" x14ac:dyDescent="0.3">
      <c r="A198" s="1"/>
      <c r="B198" s="2"/>
      <c r="C198" s="2"/>
      <c r="D198" s="2"/>
      <c r="E198" s="2"/>
      <c r="F198" s="2"/>
      <c r="G198" s="2"/>
      <c r="H198" s="2"/>
    </row>
    <row r="199" spans="1:8" x14ac:dyDescent="0.3">
      <c r="A199" s="1"/>
      <c r="B199" s="2"/>
      <c r="C199" s="2"/>
      <c r="D199" s="2"/>
      <c r="E199" s="2"/>
      <c r="F199" s="2"/>
      <c r="G199" s="2"/>
      <c r="H199" s="2"/>
    </row>
    <row r="200" spans="1:8" x14ac:dyDescent="0.3">
      <c r="A200" s="1"/>
      <c r="B200" s="2"/>
      <c r="C200" s="2"/>
      <c r="D200" s="2"/>
      <c r="E200" s="2"/>
      <c r="F200" s="2"/>
      <c r="G200" s="2"/>
      <c r="H200" s="2"/>
    </row>
    <row r="201" spans="1:8" x14ac:dyDescent="0.3">
      <c r="A201" s="1"/>
      <c r="B201" s="2"/>
      <c r="C201" s="2"/>
      <c r="D201" s="2"/>
      <c r="E201" s="2"/>
      <c r="F201" s="2"/>
      <c r="G201" s="2"/>
      <c r="H201" s="2"/>
    </row>
    <row r="202" spans="1:8" x14ac:dyDescent="0.3">
      <c r="A202" s="1"/>
      <c r="B202" s="2"/>
      <c r="C202" s="2"/>
      <c r="D202" s="2"/>
      <c r="E202" s="2"/>
      <c r="F202" s="2"/>
      <c r="G202" s="2"/>
      <c r="H202" s="2"/>
    </row>
    <row r="203" spans="1:8" x14ac:dyDescent="0.3">
      <c r="A203" s="1"/>
      <c r="B203" s="2"/>
      <c r="C203" s="2"/>
      <c r="D203" s="2"/>
      <c r="E203" s="2"/>
      <c r="F203" s="2"/>
      <c r="G203" s="2"/>
      <c r="H203" s="2"/>
    </row>
    <row r="204" spans="1:8" x14ac:dyDescent="0.3">
      <c r="A204" s="1"/>
      <c r="B204" s="2"/>
      <c r="C204" s="2"/>
      <c r="D204" s="2"/>
      <c r="E204" s="2"/>
      <c r="F204" s="2"/>
      <c r="G204" s="2"/>
      <c r="H204" s="2"/>
    </row>
    <row r="205" spans="1:8" x14ac:dyDescent="0.3">
      <c r="A205" s="1"/>
      <c r="B205" s="2"/>
      <c r="C205" s="2"/>
      <c r="D205" s="2"/>
      <c r="E205" s="2"/>
      <c r="F205" s="2"/>
      <c r="G205" s="2"/>
      <c r="H205" s="2"/>
    </row>
    <row r="206" spans="1:8" x14ac:dyDescent="0.3">
      <c r="A206" s="1"/>
      <c r="B206" s="2"/>
      <c r="C206" s="2"/>
      <c r="D206" s="2"/>
      <c r="E206" s="2"/>
      <c r="F206" s="2"/>
      <c r="G206" s="2"/>
      <c r="H206" s="2"/>
    </row>
    <row r="207" spans="1:8" x14ac:dyDescent="0.3">
      <c r="A207" s="1"/>
      <c r="B207" s="2"/>
      <c r="C207" s="2"/>
      <c r="D207" s="2"/>
      <c r="E207" s="2"/>
      <c r="F207" s="2"/>
      <c r="G207" s="2"/>
      <c r="H207" s="2"/>
    </row>
    <row r="208" spans="1:8" x14ac:dyDescent="0.3">
      <c r="A208" s="1"/>
      <c r="B208" s="2"/>
      <c r="C208" s="2"/>
      <c r="D208" s="2"/>
      <c r="E208" s="2"/>
      <c r="F208" s="2"/>
      <c r="G208" s="2"/>
      <c r="H208" s="2"/>
    </row>
    <row r="209" spans="1:8" x14ac:dyDescent="0.3">
      <c r="A209" s="1"/>
      <c r="B209" s="2"/>
      <c r="C209" s="2"/>
      <c r="D209" s="2"/>
      <c r="E209" s="2"/>
      <c r="F209" s="2"/>
      <c r="G209" s="2"/>
      <c r="H209" s="2"/>
    </row>
    <row r="210" spans="1:8" x14ac:dyDescent="0.3">
      <c r="A210" s="1"/>
      <c r="B210" s="2"/>
      <c r="C210" s="2"/>
      <c r="D210" s="2"/>
      <c r="E210" s="2"/>
      <c r="F210" s="2"/>
      <c r="G210" s="2"/>
      <c r="H210" s="2"/>
    </row>
    <row r="211" spans="1:8" x14ac:dyDescent="0.3">
      <c r="A211" s="1"/>
      <c r="B211" s="2"/>
      <c r="C211" s="2"/>
      <c r="D211" s="2"/>
      <c r="E211" s="2"/>
      <c r="F211" s="2"/>
      <c r="G211" s="2"/>
      <c r="H211" s="2"/>
    </row>
    <row r="212" spans="1:8" x14ac:dyDescent="0.3">
      <c r="A212" s="1"/>
      <c r="B212" s="2"/>
      <c r="C212" s="2"/>
      <c r="D212" s="2"/>
      <c r="E212" s="2"/>
      <c r="F212" s="2"/>
      <c r="G212" s="2"/>
      <c r="H212" s="2"/>
    </row>
    <row r="213" spans="1:8" x14ac:dyDescent="0.3">
      <c r="A213" s="1"/>
      <c r="B213" s="2"/>
      <c r="C213" s="2"/>
      <c r="D213" s="2"/>
      <c r="E213" s="2"/>
      <c r="F213" s="2"/>
      <c r="G213" s="2"/>
      <c r="H213" s="2"/>
    </row>
    <row r="214" spans="1:8" x14ac:dyDescent="0.3">
      <c r="A214" s="1"/>
      <c r="B214" s="2"/>
      <c r="C214" s="2"/>
      <c r="D214" s="2"/>
      <c r="E214" s="2"/>
      <c r="F214" s="2"/>
      <c r="G214" s="2"/>
      <c r="H214" s="2"/>
    </row>
    <row r="215" spans="1:8" x14ac:dyDescent="0.3">
      <c r="A215" s="1"/>
      <c r="B215" s="2"/>
      <c r="C215" s="2"/>
      <c r="D215" s="2"/>
      <c r="E215" s="2"/>
      <c r="F215" s="2"/>
      <c r="G215" s="2"/>
      <c r="H215" s="2"/>
    </row>
    <row r="216" spans="1:8" x14ac:dyDescent="0.3">
      <c r="A216" s="1"/>
      <c r="B216" s="2"/>
      <c r="C216" s="2"/>
      <c r="D216" s="2"/>
      <c r="E216" s="2"/>
      <c r="F216" s="2"/>
      <c r="G216" s="2"/>
      <c r="H216" s="2"/>
    </row>
    <row r="217" spans="1:8" x14ac:dyDescent="0.3">
      <c r="A217" s="1"/>
      <c r="B217" s="2"/>
      <c r="C217" s="2"/>
      <c r="D217" s="2"/>
      <c r="E217" s="2"/>
      <c r="F217" s="2"/>
      <c r="G217" s="2"/>
      <c r="H217" s="2"/>
    </row>
    <row r="218" spans="1:8" x14ac:dyDescent="0.3">
      <c r="A218" s="1"/>
      <c r="B218" s="2"/>
      <c r="C218" s="2"/>
      <c r="D218" s="2"/>
      <c r="E218" s="2"/>
      <c r="F218" s="2"/>
      <c r="G218" s="2"/>
      <c r="H218" s="2"/>
    </row>
    <row r="219" spans="1:8" x14ac:dyDescent="0.3">
      <c r="A219" s="1"/>
      <c r="B219" s="2"/>
      <c r="C219" s="2"/>
      <c r="D219" s="2"/>
      <c r="E219" s="2"/>
      <c r="F219" s="2"/>
      <c r="G219" s="2"/>
      <c r="H219" s="2"/>
    </row>
    <row r="220" spans="1:8" x14ac:dyDescent="0.3">
      <c r="A220" s="1"/>
      <c r="B220" s="2"/>
      <c r="C220" s="2"/>
      <c r="D220" s="2"/>
      <c r="E220" s="2"/>
      <c r="F220" s="2"/>
      <c r="G220" s="2"/>
      <c r="H220" s="2"/>
    </row>
    <row r="221" spans="1:8" x14ac:dyDescent="0.3">
      <c r="A221" s="1"/>
      <c r="B221" s="2"/>
      <c r="C221" s="2"/>
      <c r="D221" s="2"/>
      <c r="E221" s="2"/>
      <c r="F221" s="2"/>
      <c r="G221" s="2"/>
      <c r="H221" s="2"/>
    </row>
    <row r="222" spans="1:8" x14ac:dyDescent="0.3">
      <c r="A222" s="1"/>
      <c r="B222" s="2"/>
      <c r="C222" s="2"/>
      <c r="D222" s="2"/>
      <c r="E222" s="2"/>
      <c r="F222" s="2"/>
      <c r="G222" s="2"/>
      <c r="H222" s="2"/>
    </row>
    <row r="223" spans="1:8" x14ac:dyDescent="0.3">
      <c r="A223" s="1"/>
      <c r="B223" s="2"/>
      <c r="C223" s="2"/>
      <c r="D223" s="2"/>
      <c r="E223" s="2"/>
      <c r="F223" s="2"/>
      <c r="G223" s="2"/>
      <c r="H223" s="2"/>
    </row>
    <row r="224" spans="1:8" x14ac:dyDescent="0.3">
      <c r="A224" s="1"/>
      <c r="B224" s="2"/>
      <c r="C224" s="2"/>
      <c r="D224" s="2"/>
      <c r="E224" s="2"/>
      <c r="F224" s="2"/>
      <c r="G224" s="2"/>
      <c r="H224" s="2"/>
    </row>
    <row r="225" spans="1:8" x14ac:dyDescent="0.3">
      <c r="A225" s="1"/>
      <c r="B225" s="2"/>
      <c r="C225" s="2"/>
      <c r="D225" s="2"/>
      <c r="E225" s="2"/>
      <c r="F225" s="2"/>
      <c r="G225" s="2"/>
      <c r="H225" s="2"/>
    </row>
    <row r="226" spans="1:8" x14ac:dyDescent="0.3">
      <c r="A226" s="1"/>
      <c r="B226" s="2"/>
      <c r="C226" s="2"/>
      <c r="D226" s="2"/>
      <c r="E226" s="2"/>
      <c r="F226" s="2"/>
      <c r="G226" s="2"/>
      <c r="H226" s="2"/>
    </row>
    <row r="227" spans="1:8" x14ac:dyDescent="0.3">
      <c r="A227" s="1"/>
      <c r="B227" s="2"/>
      <c r="C227" s="2"/>
      <c r="D227" s="2"/>
      <c r="E227" s="2"/>
      <c r="F227" s="2"/>
      <c r="G227" s="2"/>
      <c r="H227" s="2"/>
    </row>
    <row r="228" spans="1:8" x14ac:dyDescent="0.3">
      <c r="A228" s="1"/>
      <c r="B228" s="2"/>
      <c r="C228" s="2"/>
      <c r="D228" s="2"/>
      <c r="E228" s="2"/>
      <c r="F228" s="2"/>
      <c r="G228" s="2"/>
      <c r="H228" s="2"/>
    </row>
    <row r="229" spans="1:8" x14ac:dyDescent="0.3">
      <c r="A229" s="1"/>
      <c r="B229" s="2"/>
      <c r="C229" s="2"/>
      <c r="D229" s="2"/>
      <c r="E229" s="2"/>
      <c r="F229" s="2"/>
      <c r="G229" s="2"/>
      <c r="H229" s="2"/>
    </row>
    <row r="230" spans="1:8" x14ac:dyDescent="0.3">
      <c r="A230" s="1"/>
      <c r="B230" s="2"/>
      <c r="C230" s="2"/>
      <c r="D230" s="2"/>
      <c r="E230" s="2"/>
      <c r="F230" s="2"/>
      <c r="G230" s="2"/>
      <c r="H230" s="2"/>
    </row>
    <row r="231" spans="1:8" x14ac:dyDescent="0.3">
      <c r="A231" s="1"/>
      <c r="B231" s="2"/>
      <c r="C231" s="2"/>
      <c r="D231" s="2"/>
      <c r="E231" s="2"/>
      <c r="F231" s="2"/>
      <c r="G231" s="2"/>
      <c r="H231" s="2"/>
    </row>
    <row r="232" spans="1:8" x14ac:dyDescent="0.3">
      <c r="A232" s="1"/>
      <c r="B232" s="2"/>
      <c r="C232" s="2"/>
      <c r="D232" s="2"/>
      <c r="E232" s="2"/>
      <c r="F232" s="2"/>
      <c r="G232" s="2"/>
      <c r="H232" s="2"/>
    </row>
    <row r="233" spans="1:8" x14ac:dyDescent="0.3">
      <c r="A233" s="1"/>
      <c r="B233" s="2"/>
      <c r="C233" s="2"/>
      <c r="D233" s="2"/>
      <c r="E233" s="2"/>
      <c r="F233" s="2"/>
      <c r="G233" s="2"/>
      <c r="H233" s="2"/>
    </row>
    <row r="234" spans="1:8" x14ac:dyDescent="0.3">
      <c r="A234" s="1"/>
      <c r="B234" s="2"/>
      <c r="C234" s="2"/>
      <c r="D234" s="2"/>
      <c r="E234" s="2"/>
      <c r="F234" s="2"/>
      <c r="G234" s="2"/>
      <c r="H234" s="2"/>
    </row>
    <row r="235" spans="1:8" x14ac:dyDescent="0.3">
      <c r="A235" s="1"/>
      <c r="B235" s="2"/>
      <c r="C235" s="2"/>
      <c r="D235" s="2"/>
      <c r="E235" s="2"/>
      <c r="F235" s="2"/>
      <c r="G235" s="2"/>
      <c r="H235" s="2"/>
    </row>
    <row r="236" spans="1:8" x14ac:dyDescent="0.3">
      <c r="A236" s="1"/>
      <c r="B236" s="2"/>
      <c r="C236" s="2"/>
      <c r="D236" s="2"/>
      <c r="E236" s="2"/>
      <c r="F236" s="2"/>
      <c r="G236" s="2"/>
      <c r="H236" s="2"/>
    </row>
    <row r="237" spans="1:8" x14ac:dyDescent="0.3">
      <c r="A237" s="1"/>
      <c r="B237" s="2"/>
      <c r="C237" s="2"/>
      <c r="D237" s="2"/>
      <c r="E237" s="2"/>
      <c r="F237" s="2"/>
      <c r="G237" s="2"/>
      <c r="H237" s="2"/>
    </row>
    <row r="238" spans="1:8" x14ac:dyDescent="0.3">
      <c r="A238" s="1"/>
      <c r="B238" s="2"/>
      <c r="C238" s="2"/>
      <c r="D238" s="2"/>
      <c r="E238" s="2"/>
      <c r="F238" s="2"/>
      <c r="G238" s="2"/>
      <c r="H238" s="2"/>
    </row>
    <row r="239" spans="1:8" x14ac:dyDescent="0.3">
      <c r="A239" s="1"/>
      <c r="B239" s="2"/>
      <c r="C239" s="2"/>
      <c r="D239" s="2"/>
      <c r="E239" s="2"/>
      <c r="F239" s="2"/>
      <c r="G239" s="2"/>
      <c r="H239" s="2"/>
    </row>
    <row r="240" spans="1:8" x14ac:dyDescent="0.3">
      <c r="A240" s="1"/>
      <c r="B240" s="2"/>
      <c r="C240" s="2"/>
      <c r="D240" s="2"/>
      <c r="E240" s="2"/>
      <c r="F240" s="2"/>
      <c r="G240" s="2"/>
      <c r="H240" s="2"/>
    </row>
    <row r="241" spans="1:8" x14ac:dyDescent="0.3">
      <c r="A241" s="1"/>
      <c r="B241" s="2"/>
      <c r="C241" s="2"/>
      <c r="D241" s="2"/>
      <c r="E241" s="2"/>
      <c r="F241" s="2"/>
      <c r="G241" s="2"/>
      <c r="H241" s="2"/>
    </row>
    <row r="242" spans="1:8" x14ac:dyDescent="0.3">
      <c r="A242" s="1"/>
      <c r="B242" s="2"/>
      <c r="C242" s="2"/>
      <c r="D242" s="2"/>
      <c r="E242" s="2"/>
      <c r="F242" s="2"/>
      <c r="G242" s="2"/>
      <c r="H242" s="2"/>
    </row>
    <row r="243" spans="1:8" x14ac:dyDescent="0.3">
      <c r="A243" s="1"/>
      <c r="B243" s="2"/>
      <c r="C243" s="2"/>
      <c r="D243" s="2"/>
      <c r="E243" s="2"/>
      <c r="F243" s="2"/>
      <c r="G243" s="2"/>
      <c r="H243" s="2"/>
    </row>
    <row r="244" spans="1:8" x14ac:dyDescent="0.3">
      <c r="A244" s="1"/>
      <c r="B244" s="2"/>
      <c r="C244" s="2"/>
      <c r="D244" s="2"/>
      <c r="E244" s="2"/>
      <c r="F244" s="2"/>
      <c r="G244" s="2"/>
      <c r="H244" s="2"/>
    </row>
    <row r="245" spans="1:8" x14ac:dyDescent="0.3">
      <c r="A245" s="1"/>
      <c r="B245" s="2"/>
      <c r="C245" s="2"/>
      <c r="D245" s="2"/>
      <c r="E245" s="2"/>
      <c r="F245" s="2"/>
      <c r="G245" s="2"/>
      <c r="H245" s="2"/>
    </row>
    <row r="246" spans="1:8" x14ac:dyDescent="0.3">
      <c r="A246" s="1"/>
      <c r="B246" s="2"/>
      <c r="C246" s="2"/>
      <c r="D246" s="2"/>
      <c r="E246" s="2"/>
      <c r="F246" s="2"/>
      <c r="G246" s="2"/>
      <c r="H246" s="2"/>
    </row>
    <row r="247" spans="1:8" x14ac:dyDescent="0.3">
      <c r="A247" s="1"/>
      <c r="B247" s="2"/>
      <c r="C247" s="2"/>
      <c r="D247" s="2"/>
      <c r="E247" s="2"/>
      <c r="F247" s="2"/>
      <c r="G247" s="2"/>
      <c r="H247" s="2"/>
    </row>
    <row r="248" spans="1:8" x14ac:dyDescent="0.3">
      <c r="A248" s="1"/>
      <c r="B248" s="2"/>
      <c r="C248" s="2"/>
      <c r="D248" s="2"/>
      <c r="E248" s="2"/>
      <c r="F248" s="2"/>
      <c r="G248" s="2"/>
      <c r="H248" s="2"/>
    </row>
    <row r="249" spans="1:8" x14ac:dyDescent="0.3">
      <c r="A249" s="1"/>
      <c r="B249" s="2"/>
      <c r="C249" s="2"/>
      <c r="D249" s="2"/>
      <c r="E249" s="2"/>
      <c r="F249" s="2"/>
      <c r="G249" s="2"/>
      <c r="H249" s="2"/>
    </row>
    <row r="250" spans="1:8" x14ac:dyDescent="0.3">
      <c r="A250" s="1"/>
      <c r="B250" s="2"/>
      <c r="C250" s="2"/>
      <c r="D250" s="2"/>
      <c r="E250" s="2"/>
      <c r="F250" s="2"/>
      <c r="G250" s="2"/>
      <c r="H250" s="2"/>
    </row>
    <row r="251" spans="1:8" x14ac:dyDescent="0.3">
      <c r="A251" s="1"/>
      <c r="B251" s="2"/>
      <c r="C251" s="2"/>
      <c r="D251" s="2"/>
      <c r="E251" s="2"/>
      <c r="F251" s="2"/>
      <c r="G251" s="2"/>
      <c r="H251" s="2"/>
    </row>
    <row r="252" spans="1:8" x14ac:dyDescent="0.3">
      <c r="A252" s="1"/>
      <c r="B252" s="2"/>
      <c r="C252" s="2"/>
      <c r="D252" s="2"/>
      <c r="E252" s="2"/>
      <c r="F252" s="2"/>
      <c r="G252" s="2"/>
      <c r="H252" s="2"/>
    </row>
    <row r="253" spans="1:8" x14ac:dyDescent="0.3">
      <c r="A253" s="1"/>
      <c r="B253" s="2"/>
      <c r="C253" s="2"/>
      <c r="D253" s="2"/>
      <c r="E253" s="2"/>
      <c r="F253" s="2"/>
      <c r="G253" s="2"/>
      <c r="H253" s="2"/>
    </row>
    <row r="254" spans="1:8" x14ac:dyDescent="0.3">
      <c r="A254" s="1"/>
      <c r="B254" s="2"/>
      <c r="C254" s="2"/>
      <c r="D254" s="2"/>
      <c r="E254" s="2"/>
      <c r="F254" s="2"/>
      <c r="G254" s="2"/>
      <c r="H254" s="2"/>
    </row>
    <row r="255" spans="1:8" x14ac:dyDescent="0.3">
      <c r="A255" s="1"/>
      <c r="B255" s="2"/>
      <c r="C255" s="2"/>
      <c r="D255" s="2"/>
      <c r="E255" s="2"/>
      <c r="F255" s="2"/>
      <c r="G255" s="2"/>
      <c r="H255" s="2"/>
    </row>
    <row r="256" spans="1:8" x14ac:dyDescent="0.3">
      <c r="A256" s="1"/>
      <c r="B256" s="2"/>
      <c r="C256" s="2"/>
      <c r="D256" s="2"/>
      <c r="E256" s="2"/>
      <c r="F256" s="2"/>
      <c r="G256" s="2"/>
      <c r="H256" s="2"/>
    </row>
    <row r="257" spans="1:8" x14ac:dyDescent="0.3">
      <c r="A257" s="1"/>
      <c r="B257" s="2"/>
      <c r="C257" s="2"/>
      <c r="D257" s="2"/>
      <c r="E257" s="2"/>
      <c r="F257" s="2"/>
      <c r="G257" s="2"/>
      <c r="H257" s="2"/>
    </row>
    <row r="258" spans="1:8" x14ac:dyDescent="0.3">
      <c r="A258" s="1"/>
      <c r="B258" s="2"/>
      <c r="C258" s="2"/>
      <c r="D258" s="2"/>
      <c r="E258" s="2"/>
      <c r="F258" s="2"/>
      <c r="G258" s="2"/>
      <c r="H258" s="2"/>
    </row>
    <row r="259" spans="1:8" x14ac:dyDescent="0.3">
      <c r="A259" s="1"/>
      <c r="B259" s="2"/>
      <c r="C259" s="2"/>
      <c r="D259" s="2"/>
      <c r="E259" s="2"/>
      <c r="F259" s="2"/>
      <c r="G259" s="2"/>
      <c r="H259" s="2"/>
    </row>
    <row r="260" spans="1:8" x14ac:dyDescent="0.3">
      <c r="A260" s="1"/>
      <c r="B260" s="2"/>
      <c r="C260" s="2"/>
      <c r="D260" s="2"/>
      <c r="E260" s="2"/>
      <c r="F260" s="2"/>
      <c r="G260" s="2"/>
      <c r="H260" s="2"/>
    </row>
    <row r="261" spans="1:8" x14ac:dyDescent="0.3">
      <c r="A261" s="1"/>
      <c r="B261" s="2"/>
      <c r="C261" s="2"/>
      <c r="D261" s="2"/>
      <c r="E261" s="2"/>
      <c r="F261" s="2"/>
      <c r="G261" s="2"/>
      <c r="H261" s="2"/>
    </row>
    <row r="262" spans="1:8" x14ac:dyDescent="0.3">
      <c r="A262" s="1"/>
      <c r="B262" s="2"/>
      <c r="C262" s="2"/>
      <c r="D262" s="2"/>
      <c r="E262" s="2"/>
      <c r="F262" s="2"/>
      <c r="G262" s="2"/>
      <c r="H262" s="2"/>
    </row>
    <row r="263" spans="1:8" x14ac:dyDescent="0.3">
      <c r="A263" s="1"/>
      <c r="B263" s="2"/>
      <c r="C263" s="2"/>
      <c r="D263" s="2"/>
      <c r="E263" s="2"/>
      <c r="F263" s="2"/>
      <c r="G263" s="2"/>
      <c r="H263" s="2"/>
    </row>
    <row r="264" spans="1:8" x14ac:dyDescent="0.3">
      <c r="A264" s="1"/>
      <c r="B264" s="2"/>
      <c r="C264" s="2"/>
      <c r="D264" s="2"/>
      <c r="E264" s="2"/>
      <c r="F264" s="2"/>
      <c r="G264" s="2"/>
      <c r="H264" s="2"/>
    </row>
    <row r="265" spans="1:8" x14ac:dyDescent="0.3">
      <c r="A265" s="1"/>
      <c r="B265" s="2"/>
      <c r="C265" s="2"/>
      <c r="D265" s="2"/>
      <c r="E265" s="2"/>
      <c r="F265" s="2"/>
      <c r="G265" s="2"/>
      <c r="H265" s="2"/>
    </row>
    <row r="266" spans="1:8" x14ac:dyDescent="0.3">
      <c r="A266" s="1"/>
      <c r="B266" s="2"/>
      <c r="C266" s="2"/>
      <c r="D266" s="2"/>
      <c r="E266" s="2"/>
      <c r="F266" s="2"/>
      <c r="G266" s="2"/>
      <c r="H266" s="2"/>
    </row>
    <row r="267" spans="1:8" x14ac:dyDescent="0.3">
      <c r="A267" s="1"/>
      <c r="B267" s="2"/>
      <c r="C267" s="2"/>
      <c r="D267" s="2"/>
      <c r="E267" s="2"/>
      <c r="F267" s="2"/>
      <c r="G267" s="2"/>
      <c r="H267" s="2"/>
    </row>
    <row r="268" spans="1:8" x14ac:dyDescent="0.3">
      <c r="A268" s="1"/>
      <c r="B268" s="2"/>
      <c r="C268" s="2"/>
      <c r="D268" s="2"/>
      <c r="E268" s="2"/>
      <c r="F268" s="2"/>
      <c r="G268" s="2"/>
      <c r="H268" s="2"/>
    </row>
    <row r="269" spans="1:8" x14ac:dyDescent="0.3">
      <c r="A269" s="1"/>
      <c r="B269" s="2"/>
      <c r="C269" s="2"/>
      <c r="D269" s="2"/>
      <c r="E269" s="2"/>
      <c r="F269" s="2"/>
      <c r="G269" s="2"/>
      <c r="H269" s="2"/>
    </row>
    <row r="270" spans="1:8" x14ac:dyDescent="0.3">
      <c r="A270" s="1"/>
      <c r="B270" s="2"/>
      <c r="C270" s="2"/>
      <c r="D270" s="2"/>
      <c r="E270" s="2"/>
      <c r="F270" s="2"/>
      <c r="G270" s="2"/>
      <c r="H270" s="2"/>
    </row>
    <row r="271" spans="1:8" x14ac:dyDescent="0.3">
      <c r="A271" s="1"/>
      <c r="B271" s="2"/>
      <c r="C271" s="2"/>
      <c r="D271" s="2"/>
      <c r="E271" s="2"/>
      <c r="F271" s="2"/>
      <c r="G271" s="2"/>
      <c r="H271" s="2"/>
    </row>
    <row r="272" spans="1:8" x14ac:dyDescent="0.3">
      <c r="A272" s="1"/>
      <c r="B272" s="2"/>
      <c r="C272" s="2"/>
      <c r="D272" s="2"/>
      <c r="E272" s="2"/>
      <c r="F272" s="2"/>
      <c r="G272" s="2"/>
      <c r="H272" s="2"/>
    </row>
    <row r="273" spans="1:8" x14ac:dyDescent="0.3">
      <c r="A273" s="1"/>
      <c r="B273" s="2"/>
      <c r="C273" s="2"/>
      <c r="D273" s="2"/>
      <c r="E273" s="2"/>
      <c r="F273" s="2"/>
      <c r="G273" s="2"/>
      <c r="H273" s="2"/>
    </row>
    <row r="274" spans="1:8" x14ac:dyDescent="0.3">
      <c r="A274" s="1"/>
      <c r="B274" s="2"/>
      <c r="C274" s="2"/>
      <c r="D274" s="2"/>
      <c r="E274" s="2"/>
      <c r="F274" s="2"/>
      <c r="G274" s="2"/>
      <c r="H274" s="2"/>
    </row>
    <row r="275" spans="1:8" x14ac:dyDescent="0.3">
      <c r="A275" s="1"/>
      <c r="B275" s="2"/>
      <c r="C275" s="2"/>
      <c r="D275" s="2"/>
      <c r="E275" s="2"/>
      <c r="F275" s="2"/>
      <c r="G275" s="2"/>
      <c r="H275" s="2"/>
    </row>
    <row r="276" spans="1:8" x14ac:dyDescent="0.3">
      <c r="A276" s="1"/>
      <c r="B276" s="2"/>
      <c r="C276" s="2"/>
      <c r="D276" s="2"/>
      <c r="E276" s="2"/>
      <c r="F276" s="2"/>
      <c r="G276" s="2"/>
      <c r="H276" s="2"/>
    </row>
    <row r="277" spans="1:8" x14ac:dyDescent="0.3">
      <c r="A277" s="1"/>
      <c r="B277" s="2"/>
      <c r="C277" s="2"/>
      <c r="D277" s="2"/>
      <c r="E277" s="2"/>
      <c r="F277" s="2"/>
      <c r="G277" s="2"/>
      <c r="H277" s="2"/>
    </row>
    <row r="278" spans="1:8" x14ac:dyDescent="0.3">
      <c r="A278" s="1"/>
      <c r="B278" s="2"/>
      <c r="C278" s="2"/>
      <c r="D278" s="2"/>
      <c r="E278" s="2"/>
      <c r="F278" s="2"/>
      <c r="G278" s="2"/>
      <c r="H278" s="2"/>
    </row>
    <row r="279" spans="1:8" x14ac:dyDescent="0.3">
      <c r="A279" s="1"/>
      <c r="B279" s="2"/>
      <c r="C279" s="2"/>
      <c r="D279" s="2"/>
      <c r="E279" s="2"/>
      <c r="F279" s="2"/>
      <c r="G279" s="2"/>
      <c r="H279" s="2"/>
    </row>
    <row r="280" spans="1:8" x14ac:dyDescent="0.3">
      <c r="A280" s="1"/>
      <c r="B280" s="2"/>
      <c r="C280" s="2"/>
      <c r="D280" s="2"/>
      <c r="E280" s="2"/>
      <c r="F280" s="2"/>
      <c r="G280" s="2"/>
      <c r="H280" s="2"/>
    </row>
    <row r="281" spans="1:8" x14ac:dyDescent="0.3">
      <c r="A281" s="1"/>
      <c r="B281" s="2"/>
      <c r="C281" s="2"/>
      <c r="D281" s="2"/>
      <c r="E281" s="2"/>
      <c r="F281" s="2"/>
      <c r="G281" s="2"/>
      <c r="H281" s="2"/>
    </row>
    <row r="282" spans="1:8" x14ac:dyDescent="0.3">
      <c r="A282" s="1"/>
      <c r="B282" s="2"/>
      <c r="C282" s="2"/>
      <c r="D282" s="2"/>
      <c r="E282" s="2"/>
      <c r="F282" s="2"/>
      <c r="G282" s="2"/>
      <c r="H282" s="2"/>
    </row>
    <row r="283" spans="1:8" x14ac:dyDescent="0.3">
      <c r="A283" s="1"/>
      <c r="B283" s="2"/>
      <c r="C283" s="2"/>
      <c r="D283" s="2"/>
      <c r="E283" s="2"/>
      <c r="F283" s="2"/>
      <c r="G283" s="2"/>
      <c r="H283" s="2"/>
    </row>
    <row r="284" spans="1:8" x14ac:dyDescent="0.3">
      <c r="A284" s="1"/>
      <c r="B284" s="2"/>
      <c r="C284" s="2"/>
      <c r="D284" s="2"/>
      <c r="E284" s="2"/>
      <c r="F284" s="2"/>
      <c r="G284" s="2"/>
      <c r="H284" s="2"/>
    </row>
    <row r="285" spans="1:8" x14ac:dyDescent="0.3">
      <c r="A285" s="1"/>
      <c r="B285" s="2"/>
      <c r="C285" s="2"/>
      <c r="D285" s="2"/>
      <c r="E285" s="2"/>
      <c r="F285" s="2"/>
      <c r="G285" s="2"/>
      <c r="H285" s="2"/>
    </row>
    <row r="286" spans="1:8" x14ac:dyDescent="0.3">
      <c r="A286" s="1"/>
      <c r="B286" s="2"/>
      <c r="C286" s="2"/>
      <c r="D286" s="2"/>
      <c r="E286" s="2"/>
      <c r="F286" s="2"/>
      <c r="G286" s="2"/>
      <c r="H286" s="2"/>
    </row>
    <row r="287" spans="1:8" x14ac:dyDescent="0.3">
      <c r="A287" s="1"/>
      <c r="B287" s="2"/>
      <c r="C287" s="2"/>
      <c r="D287" s="2"/>
      <c r="E287" s="2"/>
      <c r="F287" s="2"/>
      <c r="G287" s="2"/>
      <c r="H287" s="2"/>
    </row>
    <row r="288" spans="1:8" x14ac:dyDescent="0.3">
      <c r="A288" s="1"/>
      <c r="B288" s="2"/>
      <c r="C288" s="2"/>
      <c r="D288" s="2"/>
      <c r="E288" s="2"/>
      <c r="F288" s="2"/>
      <c r="G288" s="2"/>
      <c r="H288" s="2"/>
    </row>
    <row r="289" spans="1:8" x14ac:dyDescent="0.3">
      <c r="A289" s="1"/>
      <c r="B289" s="2"/>
      <c r="C289" s="2"/>
      <c r="D289" s="2"/>
      <c r="E289" s="2"/>
      <c r="F289" s="2"/>
      <c r="G289" s="2"/>
      <c r="H289" s="2"/>
    </row>
    <row r="290" spans="1:8" x14ac:dyDescent="0.3">
      <c r="A290" s="1"/>
      <c r="B290" s="2"/>
      <c r="C290" s="2"/>
      <c r="D290" s="2"/>
      <c r="E290" s="2"/>
      <c r="F290" s="2"/>
      <c r="G290" s="2"/>
      <c r="H290" s="2"/>
    </row>
    <row r="291" spans="1:8" x14ac:dyDescent="0.3">
      <c r="A291" s="1"/>
      <c r="B291" s="2"/>
      <c r="C291" s="2"/>
      <c r="D291" s="2"/>
      <c r="E291" s="2"/>
      <c r="F291" s="2"/>
      <c r="G291" s="2"/>
      <c r="H291" s="2"/>
    </row>
    <row r="292" spans="1:8" x14ac:dyDescent="0.3">
      <c r="A292" s="1"/>
      <c r="B292" s="2"/>
      <c r="C292" s="2"/>
      <c r="D292" s="2"/>
      <c r="E292" s="2"/>
      <c r="F292" s="2"/>
      <c r="G292" s="2"/>
      <c r="H292" s="2"/>
    </row>
    <row r="293" spans="1:8" x14ac:dyDescent="0.3">
      <c r="A293" s="1"/>
      <c r="B293" s="2"/>
      <c r="C293" s="2"/>
      <c r="D293" s="2"/>
      <c r="E293" s="2"/>
      <c r="F293" s="2"/>
      <c r="G293" s="2"/>
      <c r="H293" s="2"/>
    </row>
    <row r="294" spans="1:8" x14ac:dyDescent="0.3">
      <c r="A294" s="1"/>
      <c r="B294" s="2"/>
      <c r="C294" s="2"/>
      <c r="D294" s="2"/>
      <c r="E294" s="2"/>
      <c r="F294" s="2"/>
      <c r="G294" s="2"/>
      <c r="H294" s="2"/>
    </row>
    <row r="295" spans="1:8" x14ac:dyDescent="0.3">
      <c r="A295" s="1"/>
      <c r="B295" s="2"/>
      <c r="C295" s="2"/>
      <c r="D295" s="2"/>
      <c r="E295" s="2"/>
      <c r="F295" s="2"/>
      <c r="G295" s="2"/>
      <c r="H295" s="2"/>
    </row>
    <row r="296" spans="1:8" x14ac:dyDescent="0.3">
      <c r="A296" s="1"/>
      <c r="B296" s="2"/>
      <c r="C296" s="2"/>
      <c r="D296" s="2"/>
      <c r="E296" s="2"/>
      <c r="F296" s="2"/>
      <c r="G296" s="2"/>
      <c r="H296" s="2"/>
    </row>
    <row r="297" spans="1:8" x14ac:dyDescent="0.3">
      <c r="A297" s="1"/>
      <c r="B297" s="2"/>
      <c r="C297" s="2"/>
      <c r="D297" s="2"/>
      <c r="E297" s="2"/>
      <c r="F297" s="2"/>
      <c r="G297" s="2"/>
      <c r="H297" s="2"/>
    </row>
    <row r="298" spans="1:8" x14ac:dyDescent="0.3">
      <c r="A298" s="1"/>
      <c r="B298" s="2"/>
      <c r="C298" s="2"/>
      <c r="D298" s="2"/>
      <c r="E298" s="2"/>
      <c r="F298" s="2"/>
      <c r="G298" s="2"/>
      <c r="H298" s="2"/>
    </row>
    <row r="299" spans="1:8" x14ac:dyDescent="0.3">
      <c r="A299" s="1"/>
      <c r="B299" s="2"/>
      <c r="C299" s="2"/>
      <c r="D299" s="2"/>
      <c r="E299" s="2"/>
      <c r="F299" s="2"/>
      <c r="G299" s="2"/>
      <c r="H299" s="2"/>
    </row>
    <row r="300" spans="1:8" x14ac:dyDescent="0.3">
      <c r="A300" s="1"/>
      <c r="B300" s="2"/>
      <c r="C300" s="2"/>
      <c r="D300" s="2"/>
      <c r="E300" s="2"/>
      <c r="F300" s="2"/>
      <c r="G300" s="2"/>
      <c r="H300" s="2"/>
    </row>
    <row r="301" spans="1:8" x14ac:dyDescent="0.3">
      <c r="A301" s="1"/>
      <c r="B301" s="2"/>
      <c r="C301" s="2"/>
      <c r="D301" s="2"/>
      <c r="E301" s="2"/>
      <c r="F301" s="2"/>
      <c r="G301" s="2"/>
      <c r="H301" s="2"/>
    </row>
    <row r="302" spans="1:8" x14ac:dyDescent="0.3">
      <c r="A302" s="1"/>
      <c r="B302" s="2"/>
      <c r="C302" s="2"/>
      <c r="D302" s="2"/>
      <c r="E302" s="2"/>
      <c r="F302" s="2"/>
      <c r="G302" s="2"/>
      <c r="H302" s="2"/>
    </row>
    <row r="303" spans="1:8" x14ac:dyDescent="0.3">
      <c r="A303" s="1"/>
      <c r="B303" s="2"/>
      <c r="C303" s="2"/>
      <c r="D303" s="2"/>
      <c r="E303" s="2"/>
      <c r="F303" s="2"/>
      <c r="G303" s="2"/>
      <c r="H303" s="2"/>
    </row>
    <row r="304" spans="1:8" x14ac:dyDescent="0.3">
      <c r="A304" s="1"/>
      <c r="B304" s="2"/>
      <c r="C304" s="2"/>
      <c r="D304" s="2"/>
      <c r="E304" s="2"/>
      <c r="F304" s="2"/>
      <c r="G304" s="2"/>
      <c r="H304" s="2"/>
    </row>
    <row r="305" spans="1:8" x14ac:dyDescent="0.3">
      <c r="A305" s="1"/>
      <c r="B305" s="2"/>
      <c r="C305" s="2"/>
      <c r="D305" s="2"/>
      <c r="E305" s="2"/>
      <c r="F305" s="2"/>
      <c r="G305" s="2"/>
      <c r="H305" s="2"/>
    </row>
    <row r="306" spans="1:8" x14ac:dyDescent="0.3">
      <c r="A306" s="1"/>
      <c r="B306" s="2"/>
      <c r="C306" s="2"/>
      <c r="D306" s="2"/>
      <c r="E306" s="2"/>
      <c r="F306" s="2"/>
      <c r="G306" s="2"/>
      <c r="H306" s="2"/>
    </row>
    <row r="307" spans="1:8" x14ac:dyDescent="0.3">
      <c r="A307" s="1"/>
      <c r="B307" s="2"/>
      <c r="C307" s="2"/>
      <c r="D307" s="2"/>
      <c r="E307" s="2"/>
      <c r="F307" s="2"/>
      <c r="G307" s="2"/>
      <c r="H307" s="2"/>
    </row>
    <row r="308" spans="1:8" x14ac:dyDescent="0.3">
      <c r="A308" s="1"/>
      <c r="B308" s="2"/>
      <c r="C308" s="2"/>
      <c r="D308" s="2"/>
      <c r="E308" s="2"/>
      <c r="F308" s="2"/>
      <c r="G308" s="2"/>
      <c r="H308" s="2"/>
    </row>
    <row r="309" spans="1:8" x14ac:dyDescent="0.3">
      <c r="A309" s="1"/>
      <c r="B309" s="2"/>
      <c r="C309" s="2"/>
      <c r="D309" s="2"/>
      <c r="E309" s="2"/>
      <c r="F309" s="2"/>
      <c r="G309" s="2"/>
      <c r="H309" s="2"/>
    </row>
    <row r="310" spans="1:8" x14ac:dyDescent="0.3">
      <c r="A310" s="1"/>
      <c r="B310" s="2"/>
      <c r="C310" s="2"/>
      <c r="D310" s="2"/>
      <c r="E310" s="2"/>
      <c r="F310" s="2"/>
      <c r="G310" s="2"/>
      <c r="H310" s="2"/>
    </row>
    <row r="311" spans="1:8" x14ac:dyDescent="0.3">
      <c r="A311" s="1"/>
      <c r="B311" s="2"/>
      <c r="C311" s="2"/>
      <c r="D311" s="2"/>
      <c r="E311" s="2"/>
      <c r="F311" s="2"/>
      <c r="G311" s="2"/>
      <c r="H311" s="2"/>
    </row>
    <row r="312" spans="1:8" x14ac:dyDescent="0.3">
      <c r="A312" s="1"/>
      <c r="B312" s="2"/>
      <c r="C312" s="2"/>
      <c r="D312" s="2"/>
      <c r="E312" s="2"/>
      <c r="F312" s="2"/>
      <c r="G312" s="2"/>
      <c r="H312" s="2"/>
    </row>
    <row r="313" spans="1:8" x14ac:dyDescent="0.3">
      <c r="A313" s="1"/>
      <c r="B313" s="2"/>
      <c r="C313" s="2"/>
      <c r="D313" s="2"/>
      <c r="E313" s="2"/>
      <c r="F313" s="2"/>
      <c r="G313" s="2"/>
      <c r="H313" s="2"/>
    </row>
    <row r="314" spans="1:8" x14ac:dyDescent="0.3">
      <c r="A314" s="1"/>
      <c r="B314" s="2"/>
      <c r="C314" s="2"/>
      <c r="D314" s="2"/>
      <c r="E314" s="2"/>
      <c r="F314" s="2"/>
      <c r="G314" s="2"/>
      <c r="H314" s="2"/>
    </row>
    <row r="315" spans="1:8" x14ac:dyDescent="0.3">
      <c r="A315" s="1"/>
      <c r="B315" s="2"/>
      <c r="C315" s="2"/>
      <c r="D315" s="2"/>
      <c r="E315" s="2"/>
      <c r="F315" s="2"/>
      <c r="G315" s="2"/>
      <c r="H315" s="2"/>
    </row>
    <row r="316" spans="1:8" x14ac:dyDescent="0.3">
      <c r="A316" s="1"/>
      <c r="B316" s="2"/>
      <c r="C316" s="2"/>
      <c r="D316" s="2"/>
      <c r="E316" s="2"/>
      <c r="F316" s="2"/>
      <c r="G316" s="2"/>
      <c r="H316" s="2"/>
    </row>
    <row r="317" spans="1:8" x14ac:dyDescent="0.3">
      <c r="A317" s="1"/>
      <c r="B317" s="2"/>
      <c r="C317" s="2"/>
      <c r="D317" s="2"/>
      <c r="E317" s="2"/>
      <c r="F317" s="2"/>
      <c r="G317" s="2"/>
      <c r="H317" s="2"/>
    </row>
    <row r="318" spans="1:8" x14ac:dyDescent="0.3">
      <c r="A318" s="1"/>
      <c r="B318" s="2"/>
      <c r="C318" s="2"/>
      <c r="D318" s="2"/>
      <c r="E318" s="2"/>
      <c r="F318" s="2"/>
      <c r="G318" s="2"/>
      <c r="H318" s="2"/>
    </row>
    <row r="319" spans="1:8" x14ac:dyDescent="0.3">
      <c r="A319" s="1"/>
      <c r="B319" s="2"/>
      <c r="C319" s="2"/>
      <c r="D319" s="2"/>
      <c r="E319" s="2"/>
      <c r="F319" s="2"/>
      <c r="G319" s="2"/>
      <c r="H319" s="2"/>
    </row>
    <row r="320" spans="1:8" x14ac:dyDescent="0.3">
      <c r="A320" s="1"/>
      <c r="B320" s="2"/>
      <c r="C320" s="2"/>
      <c r="D320" s="2"/>
      <c r="E320" s="2"/>
      <c r="F320" s="2"/>
      <c r="G320" s="2"/>
      <c r="H320" s="2"/>
    </row>
    <row r="321" spans="1:8" x14ac:dyDescent="0.3">
      <c r="A321" s="1"/>
      <c r="B321" s="2"/>
      <c r="C321" s="2"/>
      <c r="D321" s="2"/>
      <c r="E321" s="2"/>
      <c r="F321" s="2"/>
      <c r="G321" s="2"/>
      <c r="H321" s="2"/>
    </row>
    <row r="322" spans="1:8" x14ac:dyDescent="0.3">
      <c r="A322" s="1"/>
      <c r="B322" s="2"/>
      <c r="C322" s="2"/>
      <c r="D322" s="2"/>
      <c r="E322" s="2"/>
      <c r="F322" s="2"/>
      <c r="G322" s="2"/>
      <c r="H322" s="2"/>
    </row>
    <row r="323" spans="1:8" x14ac:dyDescent="0.3">
      <c r="A323" s="1"/>
      <c r="B323" s="2"/>
      <c r="C323" s="2"/>
      <c r="D323" s="2"/>
      <c r="E323" s="2"/>
      <c r="F323" s="2"/>
      <c r="G323" s="2"/>
      <c r="H323" s="2"/>
    </row>
    <row r="324" spans="1:8" x14ac:dyDescent="0.3">
      <c r="A324" s="1"/>
      <c r="B324" s="2"/>
      <c r="C324" s="2"/>
      <c r="D324" s="2"/>
      <c r="E324" s="2"/>
      <c r="F324" s="2"/>
      <c r="G324" s="2"/>
      <c r="H324" s="2"/>
    </row>
    <row r="325" spans="1:8" x14ac:dyDescent="0.3">
      <c r="A325" s="1"/>
      <c r="B325" s="2"/>
      <c r="C325" s="2"/>
      <c r="D325" s="2"/>
      <c r="E325" s="2"/>
      <c r="F325" s="2"/>
      <c r="G325" s="2"/>
      <c r="H325" s="2"/>
    </row>
    <row r="326" spans="1:8" x14ac:dyDescent="0.3">
      <c r="A326" s="1"/>
      <c r="B326" s="2"/>
      <c r="C326" s="2"/>
      <c r="D326" s="2"/>
      <c r="E326" s="2"/>
      <c r="F326" s="2"/>
      <c r="G326" s="2"/>
      <c r="H326" s="2"/>
    </row>
    <row r="327" spans="1:8" x14ac:dyDescent="0.3">
      <c r="A327" s="1"/>
      <c r="B327" s="2"/>
      <c r="C327" s="2"/>
      <c r="D327" s="2"/>
      <c r="E327" s="2"/>
      <c r="F327" s="2"/>
      <c r="G327" s="2"/>
      <c r="H327" s="2"/>
    </row>
    <row r="328" spans="1:8" x14ac:dyDescent="0.3">
      <c r="A328" s="1"/>
      <c r="B328" s="2"/>
      <c r="C328" s="2"/>
      <c r="D328" s="2"/>
      <c r="E328" s="2"/>
      <c r="F328" s="2"/>
      <c r="G328" s="2"/>
      <c r="H328" s="2"/>
    </row>
    <row r="329" spans="1:8" x14ac:dyDescent="0.3">
      <c r="A329" s="1"/>
      <c r="B329" s="2"/>
      <c r="C329" s="2"/>
      <c r="D329" s="2"/>
      <c r="E329" s="2"/>
      <c r="F329" s="2"/>
      <c r="G329" s="2"/>
      <c r="H329" s="2"/>
    </row>
    <row r="330" spans="1:8" x14ac:dyDescent="0.3">
      <c r="A330" s="1"/>
      <c r="B330" s="2"/>
      <c r="C330" s="2"/>
      <c r="D330" s="2"/>
      <c r="E330" s="2"/>
      <c r="F330" s="2"/>
      <c r="G330" s="2"/>
      <c r="H330" s="2"/>
    </row>
    <row r="331" spans="1:8" x14ac:dyDescent="0.3">
      <c r="A331" s="1"/>
      <c r="B331" s="2"/>
      <c r="C331" s="2"/>
      <c r="D331" s="2"/>
      <c r="E331" s="2"/>
      <c r="F331" s="2"/>
      <c r="G331" s="2"/>
      <c r="H331" s="2"/>
    </row>
    <row r="332" spans="1:8" x14ac:dyDescent="0.3">
      <c r="A332" s="1"/>
      <c r="B332" s="2"/>
      <c r="C332" s="2"/>
      <c r="D332" s="2"/>
      <c r="E332" s="2"/>
      <c r="F332" s="2"/>
      <c r="G332" s="2"/>
      <c r="H332" s="2"/>
    </row>
    <row r="333" spans="1:8" x14ac:dyDescent="0.3">
      <c r="A333" s="1"/>
      <c r="B333" s="2"/>
      <c r="C333" s="2"/>
      <c r="D333" s="2"/>
      <c r="E333" s="2"/>
      <c r="F333" s="2"/>
      <c r="G333" s="2"/>
      <c r="H333" s="2"/>
    </row>
    <row r="334" spans="1:8" x14ac:dyDescent="0.3">
      <c r="A334" s="1"/>
      <c r="B334" s="2"/>
      <c r="C334" s="2"/>
      <c r="D334" s="2"/>
      <c r="E334" s="2"/>
      <c r="F334" s="2"/>
      <c r="G334" s="2"/>
      <c r="H334" s="2"/>
    </row>
    <row r="335" spans="1:8" x14ac:dyDescent="0.3">
      <c r="A335" s="1"/>
      <c r="B335" s="2"/>
      <c r="C335" s="2"/>
      <c r="D335" s="2"/>
      <c r="E335" s="2"/>
      <c r="F335" s="2"/>
      <c r="G335" s="2"/>
      <c r="H335" s="2"/>
    </row>
    <row r="336" spans="1:8" x14ac:dyDescent="0.3">
      <c r="A336" s="1"/>
      <c r="B336" s="2"/>
      <c r="C336" s="2"/>
      <c r="D336" s="2"/>
      <c r="E336" s="2"/>
      <c r="F336" s="2"/>
      <c r="G336" s="2"/>
      <c r="H336" s="2"/>
    </row>
    <row r="337" spans="1:8" x14ac:dyDescent="0.3">
      <c r="A337" s="1"/>
      <c r="B337" s="2"/>
      <c r="C337" s="2"/>
      <c r="D337" s="2"/>
      <c r="E337" s="2"/>
      <c r="F337" s="2"/>
      <c r="G337" s="2"/>
      <c r="H337" s="2"/>
    </row>
    <row r="338" spans="1:8" x14ac:dyDescent="0.3">
      <c r="A338" s="1"/>
      <c r="B338" s="2"/>
      <c r="C338" s="2"/>
      <c r="D338" s="2"/>
      <c r="E338" s="2"/>
      <c r="F338" s="2"/>
      <c r="G338" s="2"/>
      <c r="H338" s="2"/>
    </row>
    <row r="339" spans="1:8" x14ac:dyDescent="0.3">
      <c r="A339" s="1"/>
      <c r="B339" s="2"/>
      <c r="C339" s="2"/>
      <c r="D339" s="2"/>
      <c r="E339" s="2"/>
      <c r="F339" s="2"/>
      <c r="G339" s="2"/>
      <c r="H339" s="2"/>
    </row>
    <row r="340" spans="1:8" x14ac:dyDescent="0.3">
      <c r="A340" s="1"/>
      <c r="B340" s="2"/>
      <c r="C340" s="2"/>
      <c r="D340" s="2"/>
      <c r="E340" s="2"/>
      <c r="F340" s="2"/>
      <c r="G340" s="2"/>
      <c r="H340" s="2"/>
    </row>
    <row r="341" spans="1:8" x14ac:dyDescent="0.3">
      <c r="A341" s="1"/>
      <c r="B341" s="2"/>
      <c r="C341" s="2"/>
      <c r="D341" s="2"/>
      <c r="E341" s="2"/>
      <c r="F341" s="2"/>
      <c r="G341" s="2"/>
      <c r="H341" s="2"/>
    </row>
    <row r="342" spans="1:8" x14ac:dyDescent="0.3">
      <c r="A342" s="1"/>
      <c r="B342" s="2"/>
      <c r="C342" s="2"/>
      <c r="D342" s="2"/>
      <c r="E342" s="2"/>
      <c r="F342" s="2"/>
      <c r="G342" s="2"/>
      <c r="H342" s="2"/>
    </row>
    <row r="343" spans="1:8" x14ac:dyDescent="0.3">
      <c r="A343" s="1"/>
      <c r="B343" s="2"/>
      <c r="C343" s="2"/>
      <c r="D343" s="2"/>
      <c r="E343" s="2"/>
      <c r="F343" s="2"/>
      <c r="G343" s="2"/>
      <c r="H343" s="2"/>
    </row>
    <row r="344" spans="1:8" x14ac:dyDescent="0.3">
      <c r="A344" s="1"/>
      <c r="B344" s="2"/>
      <c r="C344" s="2"/>
      <c r="D344" s="2"/>
      <c r="E344" s="2"/>
      <c r="F344" s="2"/>
      <c r="G344" s="2"/>
      <c r="H344" s="2"/>
    </row>
    <row r="345" spans="1:8" x14ac:dyDescent="0.3">
      <c r="A345" s="1"/>
      <c r="B345" s="2"/>
      <c r="C345" s="2"/>
      <c r="D345" s="2"/>
      <c r="E345" s="2"/>
      <c r="F345" s="2"/>
      <c r="G345" s="2"/>
      <c r="H345" s="2"/>
    </row>
    <row r="346" spans="1:8" x14ac:dyDescent="0.3">
      <c r="A346" s="1"/>
      <c r="B346" s="2"/>
      <c r="C346" s="2"/>
      <c r="D346" s="2"/>
      <c r="E346" s="2"/>
      <c r="F346" s="2"/>
      <c r="G346" s="2"/>
      <c r="H346" s="2"/>
    </row>
    <row r="347" spans="1:8" x14ac:dyDescent="0.3">
      <c r="A347" s="1"/>
      <c r="B347" s="2"/>
      <c r="C347" s="2"/>
      <c r="D347" s="2"/>
      <c r="E347" s="2"/>
      <c r="F347" s="2"/>
      <c r="G347" s="2"/>
      <c r="H347" s="2"/>
    </row>
    <row r="348" spans="1:8" x14ac:dyDescent="0.3">
      <c r="A348" s="1"/>
      <c r="B348" s="2"/>
      <c r="C348" s="2"/>
      <c r="D348" s="2"/>
      <c r="E348" s="2"/>
      <c r="F348" s="2"/>
      <c r="G348" s="2"/>
      <c r="H348" s="2"/>
    </row>
    <row r="349" spans="1:8" x14ac:dyDescent="0.3">
      <c r="A349" s="1"/>
      <c r="B349" s="2"/>
      <c r="C349" s="2"/>
      <c r="D349" s="2"/>
      <c r="E349" s="2"/>
      <c r="F349" s="2"/>
      <c r="G349" s="2"/>
      <c r="H349" s="2"/>
    </row>
    <row r="350" spans="1:8" x14ac:dyDescent="0.3">
      <c r="A350" s="1"/>
      <c r="B350" s="2"/>
      <c r="C350" s="2"/>
      <c r="D350" s="2"/>
      <c r="E350" s="2"/>
      <c r="F350" s="2"/>
      <c r="G350" s="2"/>
      <c r="H350" s="2"/>
    </row>
    <row r="351" spans="1:8" x14ac:dyDescent="0.3">
      <c r="A351" s="1"/>
      <c r="B351" s="2"/>
      <c r="C351" s="2"/>
      <c r="D351" s="2"/>
      <c r="E351" s="2"/>
      <c r="F351" s="2"/>
      <c r="G351" s="2"/>
      <c r="H351" s="2"/>
    </row>
    <row r="352" spans="1:8" x14ac:dyDescent="0.3">
      <c r="A352" s="1"/>
      <c r="B352" s="2"/>
      <c r="C352" s="2"/>
      <c r="D352" s="2"/>
      <c r="E352" s="2"/>
      <c r="F352" s="2"/>
      <c r="G352" s="2"/>
      <c r="H352" s="2"/>
    </row>
    <row r="353" spans="1:8" x14ac:dyDescent="0.3">
      <c r="A353" s="1"/>
      <c r="B353" s="2"/>
      <c r="C353" s="2"/>
      <c r="D353" s="2"/>
      <c r="E353" s="2"/>
      <c r="F353" s="2"/>
      <c r="G353" s="2"/>
      <c r="H353" s="2"/>
    </row>
    <row r="354" spans="1:8" x14ac:dyDescent="0.3">
      <c r="A354" s="1"/>
      <c r="B354" s="2"/>
      <c r="C354" s="2"/>
      <c r="D354" s="2"/>
      <c r="E354" s="2"/>
      <c r="F354" s="2"/>
      <c r="G354" s="2"/>
      <c r="H354" s="2"/>
    </row>
    <row r="355" spans="1:8" x14ac:dyDescent="0.3">
      <c r="A355" s="1"/>
      <c r="B355" s="2"/>
      <c r="C355" s="2"/>
      <c r="D355" s="2"/>
      <c r="E355" s="2"/>
      <c r="F355" s="2"/>
      <c r="G355" s="2"/>
      <c r="H355" s="2"/>
    </row>
    <row r="356" spans="1:8" x14ac:dyDescent="0.3">
      <c r="A356" s="1"/>
      <c r="B356" s="2"/>
      <c r="C356" s="2"/>
      <c r="D356" s="2"/>
      <c r="E356" s="2"/>
      <c r="F356" s="2"/>
      <c r="G356" s="2"/>
      <c r="H356" s="2"/>
    </row>
    <row r="357" spans="1:8" x14ac:dyDescent="0.3">
      <c r="A357" s="1"/>
      <c r="B357" s="2"/>
      <c r="C357" s="2"/>
      <c r="D357" s="2"/>
      <c r="E357" s="2"/>
      <c r="F357" s="2"/>
      <c r="G357" s="2"/>
      <c r="H357" s="2"/>
    </row>
    <row r="358" spans="1:8" x14ac:dyDescent="0.3">
      <c r="A358" s="1"/>
      <c r="B358" s="2"/>
      <c r="C358" s="2"/>
      <c r="D358" s="2"/>
      <c r="E358" s="2"/>
      <c r="F358" s="2"/>
      <c r="G358" s="2"/>
      <c r="H358" s="2"/>
    </row>
    <row r="359" spans="1:8" x14ac:dyDescent="0.3">
      <c r="A359" s="1"/>
      <c r="B359" s="2"/>
      <c r="C359" s="2"/>
      <c r="D359" s="2"/>
      <c r="E359" s="2"/>
      <c r="F359" s="2"/>
      <c r="G359" s="2"/>
      <c r="H359" s="2"/>
    </row>
    <row r="360" spans="1:8" x14ac:dyDescent="0.3">
      <c r="A360" s="1"/>
      <c r="B360" s="2"/>
      <c r="C360" s="2"/>
      <c r="D360" s="2"/>
      <c r="E360" s="2"/>
      <c r="F360" s="2"/>
      <c r="G360" s="2"/>
      <c r="H360" s="2"/>
    </row>
    <row r="361" spans="1:8" x14ac:dyDescent="0.3">
      <c r="A361" s="1"/>
      <c r="B361" s="2"/>
      <c r="C361" s="2"/>
      <c r="D361" s="2"/>
      <c r="E361" s="2"/>
      <c r="F361" s="2"/>
      <c r="G361" s="2"/>
      <c r="H361" s="2"/>
    </row>
    <row r="362" spans="1:8" x14ac:dyDescent="0.3">
      <c r="A362" s="1"/>
      <c r="B362" s="2"/>
      <c r="C362" s="2"/>
      <c r="D362" s="2"/>
      <c r="E362" s="2"/>
      <c r="F362" s="2"/>
      <c r="G362" s="2"/>
      <c r="H362" s="2"/>
    </row>
    <row r="363" spans="1:8" x14ac:dyDescent="0.3">
      <c r="A363" s="1"/>
      <c r="B363" s="2"/>
      <c r="C363" s="2"/>
      <c r="D363" s="2"/>
      <c r="E363" s="2"/>
      <c r="F363" s="2"/>
      <c r="G363" s="2"/>
      <c r="H363" s="2"/>
    </row>
    <row r="364" spans="1:8" x14ac:dyDescent="0.3">
      <c r="A364" s="1"/>
      <c r="B364" s="2"/>
      <c r="C364" s="2"/>
      <c r="D364" s="2"/>
      <c r="E364" s="2"/>
      <c r="F364" s="2"/>
      <c r="G364" s="2"/>
      <c r="H364" s="2"/>
    </row>
    <row r="365" spans="1:8" x14ac:dyDescent="0.3">
      <c r="A365" s="1"/>
      <c r="B365" s="2"/>
      <c r="C365" s="2"/>
      <c r="D365" s="2"/>
      <c r="E365" s="2"/>
      <c r="F365" s="2"/>
      <c r="G365" s="2"/>
      <c r="H365" s="2"/>
    </row>
    <row r="366" spans="1:8" x14ac:dyDescent="0.3">
      <c r="A366" s="1"/>
      <c r="B366" s="2"/>
      <c r="C366" s="2"/>
      <c r="D366" s="2"/>
      <c r="E366" s="2"/>
      <c r="F366" s="2"/>
      <c r="G366" s="2"/>
      <c r="H366" s="2"/>
    </row>
    <row r="367" spans="1:8" x14ac:dyDescent="0.3">
      <c r="A367" s="1"/>
      <c r="B367" s="2"/>
      <c r="C367" s="2"/>
      <c r="D367" s="2"/>
      <c r="E367" s="2"/>
      <c r="F367" s="2"/>
      <c r="G367" s="2"/>
      <c r="H367" s="2"/>
    </row>
    <row r="368" spans="1:8" x14ac:dyDescent="0.3">
      <c r="A368" s="1"/>
      <c r="B368" s="2"/>
      <c r="C368" s="2"/>
      <c r="D368" s="2"/>
      <c r="E368" s="2"/>
      <c r="F368" s="2"/>
      <c r="G368" s="2"/>
      <c r="H368" s="2"/>
    </row>
    <row r="369" spans="1:8" x14ac:dyDescent="0.3">
      <c r="A369" s="1"/>
      <c r="B369" s="2"/>
      <c r="C369" s="2"/>
      <c r="D369" s="2"/>
      <c r="E369" s="2"/>
      <c r="F369" s="2"/>
      <c r="G369" s="2"/>
      <c r="H369" s="2"/>
    </row>
    <row r="370" spans="1:8" x14ac:dyDescent="0.3">
      <c r="A370" s="1"/>
      <c r="B370" s="2"/>
      <c r="C370" s="2"/>
      <c r="D370" s="2"/>
      <c r="E370" s="2"/>
      <c r="F370" s="2"/>
      <c r="G370" s="2"/>
      <c r="H370" s="2"/>
    </row>
    <row r="371" spans="1:8" x14ac:dyDescent="0.3">
      <c r="A371" s="1"/>
      <c r="B371" s="2"/>
      <c r="C371" s="2"/>
      <c r="D371" s="2"/>
      <c r="E371" s="2"/>
      <c r="F371" s="2"/>
      <c r="G371" s="2"/>
      <c r="H371" s="2"/>
    </row>
    <row r="372" spans="1:8" x14ac:dyDescent="0.3">
      <c r="A372" s="1"/>
      <c r="B372" s="2"/>
      <c r="C372" s="2"/>
      <c r="D372" s="2"/>
      <c r="E372" s="2"/>
      <c r="F372" s="2"/>
      <c r="G372" s="2"/>
      <c r="H372" s="2"/>
    </row>
    <row r="373" spans="1:8" x14ac:dyDescent="0.3">
      <c r="A373" s="1"/>
      <c r="B373" s="2"/>
      <c r="C373" s="2"/>
      <c r="D373" s="2"/>
      <c r="E373" s="2"/>
      <c r="F373" s="2"/>
      <c r="G373" s="2"/>
      <c r="H373" s="2"/>
    </row>
    <row r="374" spans="1:8" x14ac:dyDescent="0.3">
      <c r="A374" s="1"/>
      <c r="B374" s="2"/>
      <c r="C374" s="2"/>
      <c r="D374" s="2"/>
      <c r="E374" s="2"/>
      <c r="F374" s="2"/>
      <c r="G374" s="2"/>
      <c r="H374" s="2"/>
    </row>
    <row r="375" spans="1:8" x14ac:dyDescent="0.3">
      <c r="A375" s="1"/>
      <c r="B375" s="2"/>
      <c r="C375" s="2"/>
      <c r="D375" s="2"/>
      <c r="E375" s="2"/>
      <c r="F375" s="2"/>
      <c r="G375" s="2"/>
      <c r="H375" s="2"/>
    </row>
    <row r="376" spans="1:8" x14ac:dyDescent="0.3">
      <c r="A376" s="1"/>
      <c r="B376" s="2"/>
      <c r="C376" s="2"/>
      <c r="D376" s="2"/>
      <c r="E376" s="2"/>
      <c r="F376" s="2"/>
      <c r="G376" s="2"/>
      <c r="H376" s="2"/>
    </row>
    <row r="377" spans="1:8" x14ac:dyDescent="0.3">
      <c r="A377" s="1"/>
      <c r="B377" s="2"/>
      <c r="C377" s="2"/>
      <c r="D377" s="2"/>
      <c r="E377" s="2"/>
      <c r="F377" s="2"/>
      <c r="G377" s="2"/>
      <c r="H377" s="2"/>
    </row>
    <row r="378" spans="1:8" x14ac:dyDescent="0.3">
      <c r="A378" s="1"/>
      <c r="B378" s="2"/>
      <c r="C378" s="2"/>
      <c r="D378" s="2"/>
      <c r="E378" s="2"/>
      <c r="F378" s="2"/>
      <c r="G378" s="2"/>
      <c r="H378" s="2"/>
    </row>
    <row r="379" spans="1:8" x14ac:dyDescent="0.3">
      <c r="A379" s="1"/>
      <c r="B379" s="2"/>
      <c r="C379" s="2"/>
      <c r="D379" s="2"/>
      <c r="E379" s="2"/>
      <c r="F379" s="2"/>
      <c r="G379" s="2"/>
      <c r="H379" s="2"/>
    </row>
    <row r="380" spans="1:8" x14ac:dyDescent="0.3">
      <c r="A380" s="1"/>
      <c r="B380" s="2"/>
      <c r="C380" s="2"/>
      <c r="D380" s="2"/>
      <c r="E380" s="2"/>
      <c r="F380" s="2"/>
      <c r="G380" s="2"/>
      <c r="H380" s="2"/>
    </row>
    <row r="381" spans="1:8" x14ac:dyDescent="0.3">
      <c r="A381" s="1"/>
      <c r="B381" s="2"/>
      <c r="C381" s="2"/>
      <c r="D381" s="2"/>
      <c r="E381" s="2"/>
      <c r="F381" s="2"/>
      <c r="G381" s="2"/>
      <c r="H381" s="2"/>
    </row>
    <row r="382" spans="1:8" x14ac:dyDescent="0.3">
      <c r="A382" s="1"/>
      <c r="B382" s="2"/>
      <c r="C382" s="2"/>
      <c r="D382" s="2"/>
      <c r="E382" s="2"/>
      <c r="F382" s="2"/>
      <c r="G382" s="2"/>
      <c r="H382" s="2"/>
    </row>
    <row r="383" spans="1:8" x14ac:dyDescent="0.3">
      <c r="A383" s="1"/>
      <c r="B383" s="2"/>
      <c r="C383" s="2"/>
      <c r="D383" s="2"/>
      <c r="E383" s="2"/>
      <c r="F383" s="2"/>
      <c r="G383" s="2"/>
      <c r="H383" s="2"/>
    </row>
    <row r="384" spans="1:8" x14ac:dyDescent="0.3">
      <c r="A384" s="1"/>
      <c r="B384" s="2"/>
      <c r="C384" s="2"/>
      <c r="D384" s="2"/>
      <c r="E384" s="2"/>
      <c r="F384" s="2"/>
      <c r="G384" s="2"/>
      <c r="H384" s="2"/>
    </row>
    <row r="385" spans="1:8" x14ac:dyDescent="0.3">
      <c r="A385" s="1"/>
      <c r="B385" s="2"/>
      <c r="C385" s="2"/>
      <c r="D385" s="2"/>
      <c r="E385" s="2"/>
      <c r="F385" s="2"/>
      <c r="G385" s="2"/>
      <c r="H385" s="2"/>
    </row>
    <row r="386" spans="1:8" x14ac:dyDescent="0.3">
      <c r="A386" s="1"/>
      <c r="B386" s="2"/>
      <c r="C386" s="2"/>
      <c r="D386" s="2"/>
      <c r="E386" s="2"/>
      <c r="F386" s="2"/>
      <c r="G386" s="2"/>
      <c r="H386" s="2"/>
    </row>
    <row r="387" spans="1:8" x14ac:dyDescent="0.3">
      <c r="A387" s="1"/>
      <c r="B387" s="2"/>
      <c r="C387" s="2"/>
      <c r="D387" s="2"/>
      <c r="E387" s="2"/>
      <c r="F387" s="2"/>
      <c r="G387" s="2"/>
      <c r="H387" s="2"/>
    </row>
    <row r="388" spans="1:8" x14ac:dyDescent="0.3">
      <c r="A388" s="1"/>
      <c r="B388" s="2"/>
      <c r="C388" s="2"/>
      <c r="D388" s="2"/>
      <c r="E388" s="2"/>
      <c r="F388" s="2"/>
      <c r="G388" s="2"/>
      <c r="H388" s="2"/>
    </row>
    <row r="389" spans="1:8" x14ac:dyDescent="0.3">
      <c r="A389" s="1"/>
      <c r="B389" s="2"/>
      <c r="C389" s="2"/>
      <c r="D389" s="2"/>
      <c r="E389" s="2"/>
      <c r="F389" s="2"/>
      <c r="G389" s="2"/>
      <c r="H389" s="2"/>
    </row>
    <row r="390" spans="1:8" x14ac:dyDescent="0.3">
      <c r="A390" s="1"/>
      <c r="B390" s="2"/>
      <c r="C390" s="2"/>
      <c r="D390" s="2"/>
      <c r="E390" s="2"/>
      <c r="F390" s="2"/>
      <c r="G390" s="2"/>
      <c r="H390" s="2"/>
    </row>
    <row r="391" spans="1:8" x14ac:dyDescent="0.3">
      <c r="A391" s="1"/>
      <c r="B391" s="2"/>
      <c r="C391" s="2"/>
      <c r="D391" s="2"/>
      <c r="E391" s="2"/>
      <c r="F391" s="2"/>
      <c r="G391" s="2"/>
      <c r="H391" s="2"/>
    </row>
    <row r="392" spans="1:8" x14ac:dyDescent="0.3">
      <c r="A392" s="1"/>
      <c r="B392" s="2"/>
      <c r="C392" s="2"/>
      <c r="D392" s="2"/>
      <c r="E392" s="2"/>
      <c r="F392" s="2"/>
      <c r="G392" s="2"/>
      <c r="H392" s="2"/>
    </row>
    <row r="393" spans="1:8" x14ac:dyDescent="0.3">
      <c r="A393" s="1"/>
      <c r="B393" s="2"/>
      <c r="C393" s="2"/>
      <c r="D393" s="2"/>
      <c r="E393" s="2"/>
      <c r="F393" s="2"/>
      <c r="G393" s="2"/>
      <c r="H393" s="2"/>
    </row>
    <row r="394" spans="1:8" x14ac:dyDescent="0.3">
      <c r="A394" s="1"/>
      <c r="B394" s="2"/>
      <c r="C394" s="2"/>
      <c r="D394" s="2"/>
      <c r="E394" s="2"/>
      <c r="F394" s="2"/>
      <c r="G394" s="2"/>
      <c r="H394" s="2"/>
    </row>
    <row r="395" spans="1:8" x14ac:dyDescent="0.3">
      <c r="A395" s="1"/>
      <c r="B395" s="2"/>
      <c r="C395" s="2"/>
      <c r="D395" s="2"/>
      <c r="E395" s="2"/>
      <c r="F395" s="2"/>
      <c r="G395" s="2"/>
      <c r="H395" s="2"/>
    </row>
    <row r="396" spans="1:8" x14ac:dyDescent="0.3">
      <c r="A396" s="1"/>
      <c r="B396" s="2"/>
      <c r="C396" s="2"/>
      <c r="D396" s="2"/>
      <c r="E396" s="2"/>
      <c r="F396" s="2"/>
      <c r="G396" s="2"/>
      <c r="H396" s="2"/>
    </row>
    <row r="397" spans="1:8" x14ac:dyDescent="0.3">
      <c r="A397" s="1"/>
      <c r="B397" s="2"/>
      <c r="C397" s="2"/>
      <c r="D397" s="2"/>
      <c r="E397" s="2"/>
      <c r="F397" s="2"/>
      <c r="G397" s="2"/>
      <c r="H397" s="2"/>
    </row>
    <row r="398" spans="1:8" x14ac:dyDescent="0.3">
      <c r="A398" s="1"/>
      <c r="B398" s="2"/>
      <c r="C398" s="2"/>
      <c r="D398" s="2"/>
      <c r="E398" s="2"/>
      <c r="F398" s="2"/>
      <c r="G398" s="2"/>
      <c r="H398" s="2"/>
    </row>
    <row r="399" spans="1:8" x14ac:dyDescent="0.3">
      <c r="A399" s="1"/>
      <c r="B399" s="2"/>
      <c r="C399" s="2"/>
      <c r="D399" s="2"/>
      <c r="E399" s="2"/>
      <c r="F399" s="2"/>
      <c r="G399" s="2"/>
      <c r="H399" s="2"/>
    </row>
    <row r="400" spans="1:8" x14ac:dyDescent="0.3">
      <c r="A400" s="1"/>
      <c r="B400" s="2"/>
      <c r="C400" s="2"/>
      <c r="D400" s="2"/>
      <c r="E400" s="2"/>
      <c r="F400" s="2"/>
      <c r="G400" s="2"/>
      <c r="H400" s="2"/>
    </row>
    <row r="401" spans="1:8" x14ac:dyDescent="0.3">
      <c r="A401" s="1"/>
      <c r="B401" s="2"/>
      <c r="C401" s="2"/>
      <c r="D401" s="2"/>
      <c r="E401" s="2"/>
      <c r="F401" s="2"/>
      <c r="G401" s="2"/>
      <c r="H401" s="2"/>
    </row>
    <row r="402" spans="1:8" x14ac:dyDescent="0.3">
      <c r="A402" s="1"/>
      <c r="B402" s="2"/>
      <c r="C402" s="2"/>
      <c r="D402" s="2"/>
      <c r="E402" s="2"/>
      <c r="F402" s="2"/>
      <c r="G402" s="2"/>
      <c r="H402" s="2"/>
    </row>
    <row r="403" spans="1:8" x14ac:dyDescent="0.3">
      <c r="A403" s="1"/>
      <c r="B403" s="2"/>
      <c r="C403" s="2"/>
      <c r="D403" s="2"/>
      <c r="E403" s="2"/>
      <c r="F403" s="2"/>
      <c r="G403" s="2"/>
      <c r="H403" s="2"/>
    </row>
    <row r="404" spans="1:8" x14ac:dyDescent="0.3">
      <c r="A404" s="1"/>
      <c r="B404" s="2"/>
      <c r="C404" s="2"/>
      <c r="D404" s="2"/>
      <c r="E404" s="2"/>
      <c r="F404" s="2"/>
      <c r="G404" s="2"/>
      <c r="H404" s="2"/>
    </row>
    <row r="405" spans="1:8" x14ac:dyDescent="0.3">
      <c r="A405" s="1"/>
      <c r="B405" s="2"/>
      <c r="C405" s="2"/>
      <c r="D405" s="2"/>
      <c r="E405" s="2"/>
      <c r="F405" s="2"/>
      <c r="G405" s="2"/>
      <c r="H405" s="2"/>
    </row>
    <row r="406" spans="1:8" x14ac:dyDescent="0.3">
      <c r="A406" s="1"/>
      <c r="B406" s="2"/>
      <c r="C406" s="2"/>
      <c r="D406" s="2"/>
      <c r="E406" s="2"/>
      <c r="F406" s="2"/>
      <c r="G406" s="2"/>
      <c r="H406" s="2"/>
    </row>
    <row r="407" spans="1:8" x14ac:dyDescent="0.3">
      <c r="A407" s="1"/>
      <c r="B407" s="2"/>
      <c r="C407" s="2"/>
      <c r="D407" s="2"/>
      <c r="E407" s="2"/>
      <c r="F407" s="2"/>
      <c r="G407" s="2"/>
      <c r="H407" s="2"/>
    </row>
    <row r="408" spans="1:8" x14ac:dyDescent="0.3">
      <c r="A408" s="1"/>
      <c r="B408" s="2"/>
      <c r="C408" s="2"/>
      <c r="D408" s="2"/>
      <c r="E408" s="2"/>
      <c r="F408" s="2"/>
      <c r="G408" s="2"/>
      <c r="H408" s="2"/>
    </row>
    <row r="409" spans="1:8" x14ac:dyDescent="0.3">
      <c r="A409" s="1"/>
      <c r="B409" s="2"/>
      <c r="C409" s="2"/>
      <c r="D409" s="2"/>
      <c r="E409" s="2"/>
      <c r="F409" s="2"/>
      <c r="G409" s="2"/>
      <c r="H409" s="2"/>
    </row>
    <row r="410" spans="1:8" x14ac:dyDescent="0.3">
      <c r="A410" s="1"/>
      <c r="B410" s="2"/>
      <c r="C410" s="2"/>
      <c r="D410" s="2"/>
      <c r="E410" s="2"/>
      <c r="F410" s="2"/>
      <c r="G410" s="2"/>
      <c r="H410" s="2"/>
    </row>
    <row r="411" spans="1:8" x14ac:dyDescent="0.3">
      <c r="A411" s="1"/>
      <c r="B411" s="2"/>
      <c r="C411" s="2"/>
      <c r="D411" s="2"/>
      <c r="E411" s="2"/>
      <c r="F411" s="2"/>
      <c r="G411" s="2"/>
      <c r="H411" s="2"/>
    </row>
    <row r="412" spans="1:8" x14ac:dyDescent="0.3">
      <c r="A412" s="1"/>
      <c r="B412" s="2"/>
      <c r="C412" s="2"/>
      <c r="D412" s="2"/>
      <c r="E412" s="2"/>
      <c r="F412" s="2"/>
      <c r="G412" s="2"/>
      <c r="H412" s="2"/>
    </row>
    <row r="413" spans="1:8" x14ac:dyDescent="0.3">
      <c r="A413" s="1"/>
      <c r="B413" s="2"/>
      <c r="C413" s="2"/>
      <c r="D413" s="2"/>
      <c r="E413" s="2"/>
      <c r="F413" s="2"/>
      <c r="G413" s="2"/>
      <c r="H413" s="2"/>
    </row>
    <row r="414" spans="1:8" x14ac:dyDescent="0.3">
      <c r="A414" s="1"/>
      <c r="B414" s="2"/>
      <c r="C414" s="2"/>
      <c r="D414" s="2"/>
      <c r="E414" s="2"/>
      <c r="F414" s="2"/>
      <c r="G414" s="2"/>
      <c r="H414" s="2"/>
    </row>
    <row r="415" spans="1:8" x14ac:dyDescent="0.3">
      <c r="A415" s="1"/>
      <c r="B415" s="2"/>
      <c r="C415" s="2"/>
      <c r="D415" s="2"/>
      <c r="E415" s="2"/>
      <c r="F415" s="2"/>
      <c r="G415" s="2"/>
      <c r="H415" s="2"/>
    </row>
    <row r="416" spans="1:8" x14ac:dyDescent="0.3">
      <c r="A416" s="1"/>
      <c r="B416" s="2"/>
      <c r="C416" s="2"/>
      <c r="D416" s="2"/>
      <c r="E416" s="2"/>
      <c r="F416" s="2"/>
      <c r="G416" s="2"/>
      <c r="H416" s="2"/>
    </row>
    <row r="417" spans="1:8" x14ac:dyDescent="0.3">
      <c r="A417" s="1"/>
      <c r="B417" s="2"/>
      <c r="C417" s="2"/>
      <c r="D417" s="2"/>
      <c r="E417" s="2"/>
      <c r="F417" s="2"/>
      <c r="G417" s="2"/>
      <c r="H417" s="2"/>
    </row>
    <row r="418" spans="1:8" x14ac:dyDescent="0.3">
      <c r="A418" s="1"/>
      <c r="B418" s="2"/>
      <c r="C418" s="2"/>
      <c r="D418" s="2"/>
      <c r="E418" s="2"/>
      <c r="F418" s="2"/>
      <c r="G418" s="2"/>
      <c r="H418" s="2"/>
    </row>
    <row r="419" spans="1:8" x14ac:dyDescent="0.3">
      <c r="A419" s="1"/>
      <c r="B419" s="2"/>
      <c r="C419" s="2"/>
      <c r="D419" s="2"/>
      <c r="E419" s="2"/>
      <c r="F419" s="2"/>
      <c r="G419" s="2"/>
      <c r="H419" s="2"/>
    </row>
    <row r="420" spans="1:8" x14ac:dyDescent="0.3">
      <c r="A420" s="1"/>
      <c r="B420" s="2"/>
      <c r="C420" s="2"/>
      <c r="D420" s="2"/>
      <c r="E420" s="2"/>
      <c r="F420" s="2"/>
      <c r="G420" s="2"/>
      <c r="H420" s="2"/>
    </row>
    <row r="421" spans="1:8" x14ac:dyDescent="0.3">
      <c r="A421" s="1"/>
      <c r="B421" s="2"/>
      <c r="C421" s="2"/>
      <c r="D421" s="2"/>
      <c r="E421" s="2"/>
      <c r="F421" s="2"/>
      <c r="G421" s="2"/>
      <c r="H421" s="2"/>
    </row>
    <row r="422" spans="1:8" x14ac:dyDescent="0.3">
      <c r="A422" s="1"/>
      <c r="B422" s="2"/>
      <c r="C422" s="2"/>
      <c r="D422" s="2"/>
      <c r="E422" s="2"/>
      <c r="F422" s="2"/>
      <c r="G422" s="2"/>
      <c r="H422" s="2"/>
    </row>
    <row r="423" spans="1:8" x14ac:dyDescent="0.3">
      <c r="A423" s="1"/>
      <c r="B423" s="2"/>
      <c r="C423" s="2"/>
      <c r="D423" s="2"/>
      <c r="E423" s="2"/>
      <c r="F423" s="2"/>
      <c r="G423" s="2"/>
      <c r="H423" s="2"/>
    </row>
    <row r="424" spans="1:8" x14ac:dyDescent="0.3">
      <c r="A424" s="1"/>
      <c r="B424" s="2"/>
      <c r="C424" s="2"/>
      <c r="D424" s="2"/>
      <c r="E424" s="2"/>
      <c r="F424" s="2"/>
      <c r="G424" s="2"/>
      <c r="H424" s="2"/>
    </row>
    <row r="425" spans="1:8" x14ac:dyDescent="0.3">
      <c r="A425" s="1"/>
      <c r="B425" s="2"/>
      <c r="C425" s="2"/>
      <c r="D425" s="2"/>
      <c r="E425" s="2"/>
      <c r="F425" s="2"/>
      <c r="G425" s="2"/>
      <c r="H425" s="2"/>
    </row>
    <row r="426" spans="1:8" x14ac:dyDescent="0.3">
      <c r="A426" s="1"/>
      <c r="B426" s="2"/>
      <c r="C426" s="2"/>
      <c r="D426" s="2"/>
      <c r="E426" s="2"/>
      <c r="F426" s="2"/>
      <c r="G426" s="2"/>
      <c r="H426" s="2"/>
    </row>
    <row r="427" spans="1:8" x14ac:dyDescent="0.3">
      <c r="A427" s="1"/>
      <c r="B427" s="2"/>
      <c r="C427" s="2"/>
      <c r="D427" s="2"/>
      <c r="E427" s="2"/>
      <c r="F427" s="2"/>
      <c r="G427" s="2"/>
      <c r="H427" s="2"/>
    </row>
    <row r="428" spans="1:8" x14ac:dyDescent="0.3">
      <c r="A428" s="1"/>
      <c r="B428" s="2"/>
      <c r="C428" s="2"/>
      <c r="D428" s="2"/>
      <c r="E428" s="2"/>
      <c r="F428" s="2"/>
      <c r="G428" s="2"/>
      <c r="H428" s="2"/>
    </row>
    <row r="429" spans="1:8" x14ac:dyDescent="0.3">
      <c r="A429" s="1"/>
      <c r="B429" s="2"/>
      <c r="C429" s="2"/>
      <c r="D429" s="2"/>
      <c r="E429" s="2"/>
      <c r="F429" s="2"/>
      <c r="G429" s="2"/>
      <c r="H429" s="2"/>
    </row>
    <row r="430" spans="1:8" x14ac:dyDescent="0.3">
      <c r="A430" s="1"/>
      <c r="B430" s="2"/>
      <c r="C430" s="2"/>
      <c r="D430" s="2"/>
      <c r="E430" s="2"/>
      <c r="F430" s="2"/>
      <c r="G430" s="2"/>
      <c r="H430" s="2"/>
    </row>
    <row r="431" spans="1:8" x14ac:dyDescent="0.3">
      <c r="A431" s="1"/>
      <c r="B431" s="2"/>
      <c r="C431" s="2"/>
      <c r="D431" s="2"/>
      <c r="E431" s="2"/>
      <c r="F431" s="2"/>
      <c r="G431" s="2"/>
      <c r="H431" s="2"/>
    </row>
    <row r="432" spans="1:8" x14ac:dyDescent="0.3">
      <c r="A432" s="1"/>
      <c r="B432" s="2"/>
      <c r="C432" s="2"/>
      <c r="D432" s="2"/>
      <c r="E432" s="2"/>
      <c r="F432" s="2"/>
      <c r="G432" s="2"/>
      <c r="H432" s="2"/>
    </row>
    <row r="433" spans="1:8" x14ac:dyDescent="0.3">
      <c r="A433" s="1"/>
      <c r="B433" s="2"/>
      <c r="C433" s="2"/>
      <c r="D433" s="2"/>
      <c r="E433" s="2"/>
      <c r="F433" s="2"/>
      <c r="G433" s="2"/>
      <c r="H433" s="2"/>
    </row>
    <row r="434" spans="1:8" x14ac:dyDescent="0.3">
      <c r="A434" s="1"/>
      <c r="B434" s="2"/>
      <c r="C434" s="2"/>
      <c r="D434" s="2"/>
      <c r="E434" s="2"/>
      <c r="F434" s="2"/>
      <c r="G434" s="2"/>
      <c r="H434" s="2"/>
    </row>
    <row r="435" spans="1:8" x14ac:dyDescent="0.3">
      <c r="A435" s="1"/>
      <c r="B435" s="2"/>
      <c r="C435" s="2"/>
      <c r="D435" s="2"/>
      <c r="E435" s="2"/>
      <c r="F435" s="2"/>
      <c r="G435" s="2"/>
      <c r="H435" s="2"/>
    </row>
    <row r="436" spans="1:8" x14ac:dyDescent="0.3">
      <c r="A436" s="1"/>
      <c r="B436" s="2"/>
      <c r="C436" s="2"/>
      <c r="D436" s="2"/>
      <c r="E436" s="2"/>
      <c r="F436" s="2"/>
      <c r="G436" s="2"/>
      <c r="H436" s="2"/>
    </row>
    <row r="437" spans="1:8" x14ac:dyDescent="0.3">
      <c r="A437" s="1"/>
      <c r="B437" s="2"/>
      <c r="C437" s="2"/>
      <c r="D437" s="2"/>
      <c r="E437" s="2"/>
      <c r="F437" s="2"/>
      <c r="G437" s="2"/>
      <c r="H437" s="2"/>
    </row>
    <row r="438" spans="1:8" x14ac:dyDescent="0.3">
      <c r="A438" s="1"/>
      <c r="B438" s="2"/>
      <c r="C438" s="2"/>
      <c r="D438" s="2"/>
      <c r="E438" s="2"/>
      <c r="F438" s="2"/>
      <c r="G438" s="2"/>
      <c r="H438" s="2"/>
    </row>
    <row r="439" spans="1:8" x14ac:dyDescent="0.3">
      <c r="A439" s="1"/>
      <c r="B439" s="2"/>
      <c r="C439" s="2"/>
      <c r="D439" s="2"/>
      <c r="E439" s="2"/>
      <c r="F439" s="2"/>
      <c r="G439" s="2"/>
      <c r="H439" s="2"/>
    </row>
    <row r="440" spans="1:8" x14ac:dyDescent="0.3">
      <c r="A440" s="1"/>
      <c r="B440" s="2"/>
      <c r="C440" s="2"/>
      <c r="D440" s="2"/>
      <c r="E440" s="2"/>
      <c r="F440" s="2"/>
      <c r="G440" s="2"/>
      <c r="H440" s="2"/>
    </row>
    <row r="441" spans="1:8" x14ac:dyDescent="0.3">
      <c r="A441" s="1"/>
      <c r="B441" s="2"/>
      <c r="C441" s="2"/>
      <c r="D441" s="2"/>
      <c r="E441" s="2"/>
      <c r="F441" s="2"/>
      <c r="G441" s="2"/>
      <c r="H441" s="2"/>
    </row>
    <row r="442" spans="1:8" x14ac:dyDescent="0.3">
      <c r="A442" s="1"/>
      <c r="B442" s="2"/>
      <c r="C442" s="2"/>
      <c r="D442" s="2"/>
      <c r="E442" s="2"/>
      <c r="F442" s="2"/>
      <c r="G442" s="2"/>
      <c r="H442" s="2"/>
    </row>
    <row r="443" spans="1:8" x14ac:dyDescent="0.3">
      <c r="A443" s="1"/>
      <c r="B443" s="2"/>
      <c r="C443" s="2"/>
      <c r="D443" s="2"/>
      <c r="E443" s="2"/>
      <c r="F443" s="2"/>
      <c r="G443" s="2"/>
      <c r="H443" s="2"/>
    </row>
    <row r="444" spans="1:8" x14ac:dyDescent="0.3">
      <c r="A444" s="1"/>
      <c r="B444" s="2"/>
      <c r="C444" s="2"/>
      <c r="D444" s="2"/>
      <c r="E444" s="2"/>
      <c r="F444" s="2"/>
      <c r="G444" s="2"/>
      <c r="H444" s="2"/>
    </row>
    <row r="445" spans="1:8" x14ac:dyDescent="0.3">
      <c r="A445" s="1"/>
      <c r="B445" s="2"/>
      <c r="C445" s="2"/>
      <c r="D445" s="2"/>
      <c r="E445" s="2"/>
      <c r="F445" s="2"/>
      <c r="G445" s="2"/>
      <c r="H445" s="2"/>
    </row>
    <row r="446" spans="1:8" x14ac:dyDescent="0.3">
      <c r="A446" s="1"/>
      <c r="B446" s="2"/>
      <c r="C446" s="2"/>
      <c r="D446" s="2"/>
      <c r="E446" s="2"/>
      <c r="F446" s="2"/>
      <c r="G446" s="2"/>
      <c r="H446" s="2"/>
    </row>
    <row r="447" spans="1:8" x14ac:dyDescent="0.3">
      <c r="A447" s="1"/>
      <c r="B447" s="2"/>
      <c r="C447" s="2"/>
      <c r="D447" s="2"/>
      <c r="E447" s="2"/>
      <c r="F447" s="2"/>
      <c r="G447" s="2"/>
      <c r="H447" s="2"/>
    </row>
    <row r="448" spans="1:8" x14ac:dyDescent="0.3">
      <c r="A448" s="1"/>
      <c r="B448" s="2"/>
      <c r="C448" s="2"/>
      <c r="D448" s="2"/>
      <c r="E448" s="2"/>
      <c r="F448" s="2"/>
      <c r="G448" s="2"/>
      <c r="H448" s="2"/>
    </row>
    <row r="449" spans="1:8" x14ac:dyDescent="0.3">
      <c r="A449" s="1"/>
      <c r="B449" s="2"/>
      <c r="C449" s="2"/>
      <c r="D449" s="2"/>
      <c r="E449" s="2"/>
      <c r="F449" s="2"/>
      <c r="G449" s="2"/>
      <c r="H449" s="2"/>
    </row>
    <row r="450" spans="1:8" x14ac:dyDescent="0.3">
      <c r="A450" s="1"/>
      <c r="B450" s="2"/>
      <c r="C450" s="2"/>
      <c r="D450" s="2"/>
      <c r="E450" s="2"/>
      <c r="F450" s="2"/>
      <c r="G450" s="2"/>
      <c r="H450" s="2"/>
    </row>
    <row r="451" spans="1:8" x14ac:dyDescent="0.3">
      <c r="A451" s="1"/>
      <c r="B451" s="2"/>
      <c r="C451" s="2"/>
      <c r="D451" s="2"/>
      <c r="E451" s="2"/>
      <c r="F451" s="2"/>
      <c r="G451" s="2"/>
      <c r="H451" s="2"/>
    </row>
    <row r="452" spans="1:8" x14ac:dyDescent="0.3">
      <c r="A452" s="1"/>
      <c r="B452" s="2"/>
      <c r="C452" s="2"/>
      <c r="D452" s="2"/>
      <c r="E452" s="2"/>
      <c r="F452" s="2"/>
      <c r="G452" s="2"/>
      <c r="H452" s="2"/>
    </row>
    <row r="453" spans="1:8" x14ac:dyDescent="0.3">
      <c r="A453" s="1"/>
      <c r="B453" s="2"/>
      <c r="C453" s="2"/>
      <c r="D453" s="2"/>
      <c r="E453" s="2"/>
      <c r="F453" s="2"/>
      <c r="G453" s="2"/>
      <c r="H453" s="2"/>
    </row>
    <row r="454" spans="1:8" x14ac:dyDescent="0.3">
      <c r="A454" s="1"/>
      <c r="B454" s="2"/>
      <c r="C454" s="2"/>
      <c r="D454" s="2"/>
      <c r="E454" s="2"/>
      <c r="F454" s="2"/>
      <c r="G454" s="2"/>
      <c r="H454" s="2"/>
    </row>
    <row r="455" spans="1:8" x14ac:dyDescent="0.3">
      <c r="A455" s="1"/>
      <c r="B455" s="2"/>
      <c r="C455" s="2"/>
      <c r="D455" s="2"/>
      <c r="E455" s="2"/>
      <c r="F455" s="2"/>
      <c r="G455" s="2"/>
      <c r="H455" s="2"/>
    </row>
    <row r="456" spans="1:8" x14ac:dyDescent="0.3">
      <c r="A456" s="1"/>
      <c r="B456" s="2"/>
      <c r="C456" s="2"/>
      <c r="D456" s="2"/>
      <c r="E456" s="2"/>
      <c r="F456" s="2"/>
      <c r="G456" s="2"/>
      <c r="H456" s="2"/>
    </row>
    <row r="457" spans="1:8" x14ac:dyDescent="0.3">
      <c r="A457" s="1"/>
      <c r="B457" s="2"/>
      <c r="C457" s="2"/>
      <c r="D457" s="2"/>
      <c r="E457" s="2"/>
      <c r="F457" s="2"/>
      <c r="G457" s="2"/>
      <c r="H457" s="2"/>
    </row>
    <row r="458" spans="1:8" x14ac:dyDescent="0.3">
      <c r="A458" s="1"/>
      <c r="B458" s="2"/>
      <c r="C458" s="2"/>
      <c r="D458" s="2"/>
      <c r="E458" s="2"/>
      <c r="F458" s="2"/>
      <c r="G458" s="2"/>
      <c r="H458" s="2"/>
    </row>
    <row r="459" spans="1:8" x14ac:dyDescent="0.3">
      <c r="A459" s="1"/>
      <c r="B459" s="2"/>
      <c r="C459" s="2"/>
      <c r="D459" s="2"/>
      <c r="E459" s="2"/>
      <c r="F459" s="2"/>
      <c r="G459" s="2"/>
      <c r="H459" s="2"/>
    </row>
    <row r="460" spans="1:8" x14ac:dyDescent="0.3">
      <c r="A460" s="1"/>
      <c r="B460" s="2"/>
      <c r="C460" s="2"/>
      <c r="D460" s="2"/>
      <c r="E460" s="2"/>
      <c r="F460" s="2"/>
      <c r="G460" s="2"/>
      <c r="H460" s="2"/>
    </row>
    <row r="461" spans="1:8" x14ac:dyDescent="0.3">
      <c r="A461" s="1"/>
      <c r="B461" s="2"/>
      <c r="C461" s="2"/>
      <c r="D461" s="2"/>
      <c r="E461" s="2"/>
      <c r="F461" s="2"/>
      <c r="G461" s="2"/>
      <c r="H461" s="2"/>
    </row>
    <row r="462" spans="1:8" x14ac:dyDescent="0.3">
      <c r="A462" s="1"/>
      <c r="B462" s="2"/>
      <c r="C462" s="2"/>
      <c r="D462" s="2"/>
      <c r="E462" s="2"/>
      <c r="F462" s="2"/>
      <c r="G462" s="2"/>
      <c r="H462" s="2"/>
    </row>
    <row r="463" spans="1:8" x14ac:dyDescent="0.3">
      <c r="A463" s="1"/>
      <c r="B463" s="2"/>
      <c r="C463" s="2"/>
      <c r="D463" s="2"/>
      <c r="E463" s="2"/>
      <c r="F463" s="2"/>
      <c r="G463" s="2"/>
      <c r="H463" s="2"/>
    </row>
    <row r="464" spans="1:8" x14ac:dyDescent="0.3">
      <c r="A464" s="1"/>
      <c r="B464" s="2"/>
      <c r="C464" s="2"/>
      <c r="D464" s="2"/>
      <c r="E464" s="2"/>
      <c r="F464" s="2"/>
      <c r="G464" s="2"/>
      <c r="H464" s="2"/>
    </row>
    <row r="465" spans="1:8" x14ac:dyDescent="0.3">
      <c r="A465" s="1"/>
      <c r="B465" s="2"/>
      <c r="C465" s="2"/>
      <c r="D465" s="2"/>
      <c r="E465" s="2"/>
      <c r="F465" s="2"/>
      <c r="G465" s="2"/>
      <c r="H465" s="2"/>
    </row>
    <row r="466" spans="1:8" x14ac:dyDescent="0.3">
      <c r="A466" s="1"/>
      <c r="B466" s="2"/>
      <c r="C466" s="2"/>
      <c r="D466" s="2"/>
      <c r="E466" s="2"/>
      <c r="F466" s="2"/>
      <c r="G466" s="2"/>
      <c r="H466" s="2"/>
    </row>
    <row r="467" spans="1:8" x14ac:dyDescent="0.3">
      <c r="A467" s="1"/>
      <c r="B467" s="2"/>
      <c r="C467" s="2"/>
      <c r="D467" s="2"/>
      <c r="E467" s="2"/>
      <c r="F467" s="2"/>
      <c r="G467" s="2"/>
      <c r="H467" s="2"/>
    </row>
    <row r="468" spans="1:8" x14ac:dyDescent="0.3">
      <c r="A468" s="1"/>
      <c r="B468" s="2"/>
      <c r="C468" s="2"/>
      <c r="D468" s="2"/>
      <c r="E468" s="2"/>
      <c r="F468" s="2"/>
      <c r="G468" s="2"/>
      <c r="H468" s="2"/>
    </row>
    <row r="469" spans="1:8" x14ac:dyDescent="0.3">
      <c r="A469" s="1"/>
      <c r="B469" s="2"/>
      <c r="C469" s="2"/>
      <c r="D469" s="2"/>
      <c r="E469" s="2"/>
      <c r="F469" s="2"/>
      <c r="G469" s="2"/>
      <c r="H469" s="2"/>
    </row>
    <row r="470" spans="1:8" x14ac:dyDescent="0.3">
      <c r="A470" s="1"/>
      <c r="B470" s="2"/>
      <c r="C470" s="2"/>
      <c r="D470" s="2"/>
      <c r="E470" s="2"/>
      <c r="F470" s="2"/>
      <c r="G470" s="2"/>
      <c r="H470" s="2"/>
    </row>
    <row r="471" spans="1:8" x14ac:dyDescent="0.3">
      <c r="A471" s="1"/>
      <c r="B471" s="2"/>
      <c r="C471" s="2"/>
      <c r="D471" s="2"/>
      <c r="E471" s="2"/>
      <c r="F471" s="2"/>
      <c r="G471" s="2"/>
      <c r="H471" s="2"/>
    </row>
    <row r="472" spans="1:8" x14ac:dyDescent="0.3">
      <c r="A472" s="1"/>
      <c r="B472" s="2"/>
      <c r="C472" s="2"/>
      <c r="D472" s="2"/>
      <c r="E472" s="2"/>
      <c r="F472" s="2"/>
      <c r="G472" s="2"/>
      <c r="H472" s="2"/>
    </row>
    <row r="473" spans="1:8" x14ac:dyDescent="0.3">
      <c r="A473" s="1"/>
      <c r="B473" s="2"/>
      <c r="C473" s="2"/>
      <c r="D473" s="2"/>
      <c r="E473" s="2"/>
      <c r="F473" s="2"/>
      <c r="G473" s="2"/>
      <c r="H473" s="2"/>
    </row>
    <row r="474" spans="1:8" x14ac:dyDescent="0.3">
      <c r="A474" s="1"/>
      <c r="B474" s="2"/>
      <c r="C474" s="2"/>
      <c r="D474" s="2"/>
      <c r="E474" s="2"/>
      <c r="F474" s="2"/>
      <c r="G474" s="2"/>
      <c r="H474" s="2"/>
    </row>
    <row r="475" spans="1:8" x14ac:dyDescent="0.3">
      <c r="A475" s="1"/>
      <c r="B475" s="2"/>
      <c r="C475" s="2"/>
      <c r="D475" s="2"/>
      <c r="E475" s="2"/>
      <c r="F475" s="2"/>
      <c r="G475" s="2"/>
      <c r="H475" s="2"/>
    </row>
    <row r="476" spans="1:8" x14ac:dyDescent="0.3">
      <c r="A476" s="1"/>
      <c r="B476" s="2"/>
      <c r="C476" s="2"/>
      <c r="D476" s="2"/>
      <c r="E476" s="2"/>
      <c r="F476" s="2"/>
      <c r="G476" s="2"/>
      <c r="H476" s="2"/>
    </row>
    <row r="477" spans="1:8" x14ac:dyDescent="0.3">
      <c r="A477" s="1"/>
      <c r="B477" s="2"/>
      <c r="C477" s="2"/>
      <c r="D477" s="2"/>
      <c r="E477" s="2"/>
      <c r="F477" s="2"/>
      <c r="G477" s="2"/>
      <c r="H477" s="2"/>
    </row>
    <row r="478" spans="1:8" x14ac:dyDescent="0.3">
      <c r="A478" s="1"/>
      <c r="B478" s="2"/>
      <c r="C478" s="2"/>
      <c r="D478" s="2"/>
      <c r="E478" s="2"/>
      <c r="F478" s="2"/>
      <c r="G478" s="2"/>
      <c r="H478" s="2"/>
    </row>
    <row r="479" spans="1:8" x14ac:dyDescent="0.3">
      <c r="A479" s="1"/>
      <c r="B479" s="2"/>
      <c r="C479" s="2"/>
      <c r="D479" s="2"/>
      <c r="E479" s="2"/>
      <c r="F479" s="2"/>
      <c r="G479" s="2"/>
      <c r="H479" s="2"/>
    </row>
    <row r="480" spans="1:8" x14ac:dyDescent="0.3">
      <c r="A480" s="1"/>
      <c r="B480" s="2"/>
      <c r="C480" s="2"/>
      <c r="D480" s="2"/>
      <c r="E480" s="2"/>
      <c r="F480" s="2"/>
      <c r="G480" s="2"/>
      <c r="H480" s="2"/>
    </row>
    <row r="481" spans="1:8" x14ac:dyDescent="0.3">
      <c r="A481" s="1"/>
      <c r="B481" s="2"/>
      <c r="C481" s="2"/>
      <c r="D481" s="2"/>
      <c r="E481" s="2"/>
      <c r="F481" s="2"/>
      <c r="G481" s="2"/>
      <c r="H481" s="2"/>
    </row>
    <row r="482" spans="1:8" x14ac:dyDescent="0.3">
      <c r="A482" s="1"/>
      <c r="B482" s="2"/>
      <c r="C482" s="2"/>
      <c r="D482" s="2"/>
      <c r="E482" s="2"/>
      <c r="F482" s="2"/>
      <c r="G482" s="2"/>
      <c r="H482" s="2"/>
    </row>
    <row r="483" spans="1:8" x14ac:dyDescent="0.3">
      <c r="A483" s="1"/>
      <c r="B483" s="2"/>
      <c r="C483" s="2"/>
      <c r="D483" s="2"/>
      <c r="E483" s="2"/>
      <c r="F483" s="2"/>
      <c r="G483" s="2"/>
      <c r="H483" s="2"/>
    </row>
    <row r="484" spans="1:8" x14ac:dyDescent="0.3">
      <c r="A484" s="1"/>
      <c r="B484" s="2"/>
      <c r="C484" s="2"/>
      <c r="D484" s="2"/>
      <c r="E484" s="2"/>
      <c r="F484" s="2"/>
      <c r="G484" s="2"/>
      <c r="H484" s="2"/>
    </row>
    <row r="485" spans="1:8" x14ac:dyDescent="0.3">
      <c r="A485" s="1"/>
      <c r="B485" s="2"/>
      <c r="C485" s="2"/>
      <c r="D485" s="2"/>
      <c r="E485" s="2"/>
      <c r="F485" s="2"/>
      <c r="G485" s="2"/>
      <c r="H485" s="2"/>
    </row>
    <row r="486" spans="1:8" x14ac:dyDescent="0.3">
      <c r="A486" s="1"/>
      <c r="B486" s="2"/>
      <c r="C486" s="2"/>
      <c r="D486" s="2"/>
      <c r="E486" s="2"/>
      <c r="F486" s="2"/>
      <c r="G486" s="2"/>
      <c r="H486" s="2"/>
    </row>
    <row r="487" spans="1:8" x14ac:dyDescent="0.3">
      <c r="A487" s="1"/>
      <c r="B487" s="2"/>
      <c r="C487" s="2"/>
      <c r="D487" s="2"/>
      <c r="E487" s="2"/>
      <c r="F487" s="2"/>
      <c r="G487" s="2"/>
      <c r="H487" s="2"/>
    </row>
    <row r="488" spans="1:8" x14ac:dyDescent="0.3">
      <c r="A488" s="1"/>
      <c r="B488" s="2"/>
      <c r="C488" s="2"/>
      <c r="D488" s="2"/>
      <c r="E488" s="2"/>
      <c r="F488" s="2"/>
      <c r="G488" s="2"/>
      <c r="H488" s="2"/>
    </row>
    <row r="489" spans="1:8" x14ac:dyDescent="0.3">
      <c r="A489" s="1"/>
      <c r="B489" s="2"/>
      <c r="C489" s="2"/>
      <c r="D489" s="2"/>
      <c r="E489" s="2"/>
      <c r="F489" s="2"/>
      <c r="G489" s="2"/>
      <c r="H489" s="2"/>
    </row>
    <row r="490" spans="1:8" x14ac:dyDescent="0.3">
      <c r="A490" s="1"/>
      <c r="B490" s="2"/>
      <c r="C490" s="2"/>
      <c r="D490" s="2"/>
      <c r="E490" s="2"/>
      <c r="F490" s="2"/>
      <c r="G490" s="2"/>
      <c r="H490" s="2"/>
    </row>
    <row r="491" spans="1:8" x14ac:dyDescent="0.3">
      <c r="A491" s="1"/>
      <c r="B491" s="2"/>
      <c r="C491" s="2"/>
      <c r="D491" s="2"/>
      <c r="E491" s="2"/>
      <c r="F491" s="2"/>
      <c r="G491" s="2"/>
      <c r="H491" s="2"/>
    </row>
    <row r="492" spans="1:8" x14ac:dyDescent="0.3">
      <c r="A492" s="1"/>
      <c r="B492" s="2"/>
      <c r="C492" s="2"/>
      <c r="D492" s="2"/>
      <c r="E492" s="2"/>
      <c r="F492" s="2"/>
      <c r="G492" s="2"/>
      <c r="H492" s="2"/>
    </row>
    <row r="493" spans="1:8" x14ac:dyDescent="0.3">
      <c r="A493" s="1"/>
      <c r="B493" s="2"/>
      <c r="C493" s="2"/>
      <c r="D493" s="2"/>
      <c r="E493" s="2"/>
      <c r="F493" s="2"/>
      <c r="G493" s="2"/>
      <c r="H493" s="2"/>
    </row>
    <row r="494" spans="1:8" x14ac:dyDescent="0.3">
      <c r="A494" s="1"/>
      <c r="B494" s="2"/>
      <c r="C494" s="2"/>
      <c r="D494" s="2"/>
      <c r="E494" s="2"/>
      <c r="F494" s="2"/>
      <c r="G494" s="2"/>
      <c r="H494" s="2"/>
    </row>
    <row r="495" spans="1:8" x14ac:dyDescent="0.3">
      <c r="A495" s="1"/>
      <c r="B495" s="2"/>
      <c r="C495" s="2"/>
      <c r="D495" s="2"/>
      <c r="E495" s="2"/>
      <c r="F495" s="2"/>
      <c r="G495" s="2"/>
      <c r="H495" s="2"/>
    </row>
    <row r="496" spans="1:8" x14ac:dyDescent="0.3">
      <c r="A496" s="1"/>
      <c r="B496" s="2"/>
      <c r="C496" s="2"/>
      <c r="D496" s="2"/>
      <c r="E496" s="2"/>
      <c r="F496" s="2"/>
      <c r="G496" s="2"/>
      <c r="H496" s="2"/>
    </row>
    <row r="497" spans="1:8" x14ac:dyDescent="0.3">
      <c r="A497" s="1"/>
      <c r="B497" s="2"/>
      <c r="C497" s="2"/>
      <c r="D497" s="2"/>
      <c r="E497" s="2"/>
      <c r="F497" s="2"/>
      <c r="G497" s="2"/>
      <c r="H497" s="2"/>
    </row>
    <row r="498" spans="1:8" x14ac:dyDescent="0.3">
      <c r="A498" s="1"/>
      <c r="B498" s="2"/>
      <c r="C498" s="2"/>
      <c r="D498" s="2"/>
      <c r="E498" s="2"/>
      <c r="F498" s="2"/>
      <c r="G498" s="2"/>
      <c r="H498" s="2"/>
    </row>
    <row r="499" spans="1:8" x14ac:dyDescent="0.3">
      <c r="A499" s="1"/>
      <c r="B499" s="2"/>
      <c r="C499" s="2"/>
      <c r="D499" s="2"/>
      <c r="E499" s="2"/>
      <c r="F499" s="2"/>
      <c r="G499" s="2"/>
      <c r="H499" s="2"/>
    </row>
    <row r="500" spans="1:8" x14ac:dyDescent="0.3">
      <c r="A500" s="1"/>
      <c r="B500" s="2"/>
      <c r="C500" s="2"/>
      <c r="D500" s="2"/>
      <c r="E500" s="2"/>
      <c r="F500" s="2"/>
      <c r="G500" s="2"/>
      <c r="H500" s="2"/>
    </row>
    <row r="501" spans="1:8" x14ac:dyDescent="0.3">
      <c r="A501" s="1"/>
      <c r="B501" s="2"/>
      <c r="C501" s="2"/>
      <c r="D501" s="2"/>
      <c r="E501" s="2"/>
      <c r="F501" s="2"/>
      <c r="G501" s="2"/>
      <c r="H501" s="2"/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596A48A-7D3E-4724-97BC-053026C0ECD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batch_summary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박시우/임베디드시스템공학과</dc:creator>
  <cp:lastModifiedBy>박시우/임베디드시스템공학과</cp:lastModifiedBy>
  <dcterms:created xsi:type="dcterms:W3CDTF">2026-05-30T02:19:20Z</dcterms:created>
  <dcterms:modified xsi:type="dcterms:W3CDTF">2026-06-01T00:04:42Z</dcterms:modified>
</cp:coreProperties>
</file>