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siu/WCL/beeeee/bee_optical_flow/validation/"/>
    </mc:Choice>
  </mc:AlternateContent>
  <xr:revisionPtr revIDLastSave="0" documentId="13_ncr:1_{09FF5AA5-5654-A84E-919A-281758911055}" xr6:coauthVersionLast="47" xr6:coauthVersionMax="47" xr10:uidLastSave="{00000000-0000-0000-0000-000000000000}"/>
  <bookViews>
    <workbookView xWindow="3020" yWindow="1160" windowWidth="25480" windowHeight="16660" xr2:uid="{E4937D80-6285-054E-BE15-6730F9D489D0}"/>
  </bookViews>
  <sheets>
    <sheet name="batch_summary" sheetId="2" r:id="rId1"/>
    <sheet name="Sheet1" sheetId="1" r:id="rId2"/>
  </sheets>
  <definedNames>
    <definedName name="ExternalData_1" localSheetId="0" hidden="1">batch_summary!$A$1:$AH$978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2" l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AD901-A661-8B4E-9442-C0FFA0055B01}" keepAlive="1" name="Query - batch_summary" description="Connection to the 'batch_summary' query in the workbook." type="5" refreshedVersion="8" background="1" saveData="1">
    <dbPr connection="Provider=Microsoft.Mashup.OleDb.1;Data Source=$Workbook$;Location=batch_summary;Extended Properties=&quot;&quot;" command="SELECT * FROM [batch_summary]"/>
  </connection>
  <connection id="2" xr16:uid="{B189181C-ADC8-B444-8CC0-90445A4ADCE7}" keepAlive="1" name="Query - batch_summary (2)" description="Connection to the 'batch_summary (2)' query in the workbook." type="5" refreshedVersion="8" background="1" saveData="1">
    <dbPr connection="Provider=Microsoft.Mashup.OleDb.1;Data Source=$Workbook$;Location=&quot;batch_summary (2)&quot;;Extended Properties=&quot;&quot;" command="SELECT * FROM [batch_summary (2)]"/>
  </connection>
</connections>
</file>

<file path=xl/sharedStrings.xml><?xml version="1.0" encoding="utf-8"?>
<sst xmlns="http://schemas.openxmlformats.org/spreadsheetml/2006/main" count="4922" uniqueCount="4922">
  <si>
    <t>video</t>
  </si>
  <si>
    <t>video_path</t>
  </si>
  <si>
    <t>duration_sec</t>
  </si>
  <si>
    <t>processed_frame_pairs</t>
  </si>
  <si>
    <t>preprocessing_time_sec</t>
  </si>
  <si>
    <t>optical_flow_time_sec</t>
  </si>
  <si>
    <t>preprocessing_time_per_pair_sec</t>
  </si>
  <si>
    <t>optical_flow_time_per_pair_sec</t>
  </si>
  <si>
    <t>blur_kernel</t>
  </si>
  <si>
    <t>use_persistence_filter</t>
  </si>
  <si>
    <t>persist_decay</t>
  </si>
  <si>
    <t>persist_threshold</t>
  </si>
  <si>
    <t>use_component_area_filter</t>
  </si>
  <si>
    <t>min_flow_component_area</t>
  </si>
  <si>
    <t>use_global_flow_compensation</t>
  </si>
  <si>
    <t>use_bidirectional_balance_filter</t>
  </si>
  <si>
    <t>balance_ratio_threshold</t>
  </si>
  <si>
    <t>total_raw_in_flux</t>
  </si>
  <si>
    <t>total_raw_out_flux</t>
  </si>
  <si>
    <t>total_filtered_in_flux</t>
  </si>
  <si>
    <t>total_filtered_out_flux</t>
  </si>
  <si>
    <t>total_raw_traffic_flux</t>
  </si>
  <si>
    <t>total_filtered_traffic_flux</t>
  </si>
  <si>
    <t>mean_raw_traffic_flux_per_sec</t>
  </si>
  <si>
    <t>mean_filtered_traffic_flux_per_sec</t>
  </si>
  <si>
    <t>max_window_filtered_traffic_count_est</t>
  </si>
  <si>
    <t>mean_window_filtered_traffic_count_est</t>
  </si>
  <si>
    <t>total_filtered_in_count_est</t>
  </si>
  <si>
    <t>total_filtered_out_count_est</t>
  </si>
  <si>
    <t>total_filtered_traffic_count_est</t>
  </si>
  <si>
    <t>raw_to_filtered_reduction_ratio</t>
  </si>
  <si>
    <t>preview_video</t>
  </si>
  <si>
    <t>frame_csv</t>
  </si>
  <si>
    <t>window_csv</t>
  </si>
  <si>
    <t>ANU-25-summer-20_20260309_060000.mp4</t>
  </si>
  <si>
    <t>videos/ANU-25-summer-20_20260309_060000.mp4</t>
  </si>
  <si>
    <t>bee_count_output/runs/selected/ANU-25-summer-20_20260309_060000_preview.mp4</t>
  </si>
  <si>
    <t>bee_count_output/runs/selected/ANU-25-summer-20_20260309_060000_frame_flux.csv</t>
  </si>
  <si>
    <t>bee_count_output/runs/selected/ANU-25-summer-20_20260309_060000_window_3sec.csv</t>
  </si>
  <si>
    <t>ANU-25-summer-20_20260309_070000.mp4</t>
  </si>
  <si>
    <t>videos/ANU-25-summer-20_20260309_070000.mp4</t>
  </si>
  <si>
    <t>bee_count_output/runs/selected/ANU-25-summer-20_20260309_070000_preview.mp4</t>
  </si>
  <si>
    <t>bee_count_output/runs/selected/ANU-25-summer-20_20260309_070000_frame_flux.csv</t>
  </si>
  <si>
    <t>bee_count_output/runs/selected/ANU-25-summer-20_20260309_070000_window_3sec.csv</t>
  </si>
  <si>
    <t>ANU-25-summer-20_20260309_080000.mp4</t>
  </si>
  <si>
    <t>videos/ANU-25-summer-20_20260309_080000.mp4</t>
  </si>
  <si>
    <t>bee_count_output/runs/selected/ANU-25-summer-20_20260309_080000_preview.mp4</t>
  </si>
  <si>
    <t>bee_count_output/runs/selected/ANU-25-summer-20_20260309_080000_frame_flux.csv</t>
  </si>
  <si>
    <t>bee_count_output/runs/selected/ANU-25-summer-20_20260309_080000_window_3sec.csv</t>
  </si>
  <si>
    <t>ANU-25-summer-20_20260309_090000.mp4</t>
  </si>
  <si>
    <t>videos/ANU-25-summer-20_20260309_090000.mp4</t>
  </si>
  <si>
    <t>bee_count_output/runs/selected/ANU-25-summer-20_20260309_090000_preview.mp4</t>
  </si>
  <si>
    <t>bee_count_output/runs/selected/ANU-25-summer-20_20260309_090000_frame_flux.csv</t>
  </si>
  <si>
    <t>bee_count_output/runs/selected/ANU-25-summer-20_20260309_090000_window_3sec.csv</t>
  </si>
  <si>
    <t>ANU-25-summer-20_20260309_100000.mp4</t>
  </si>
  <si>
    <t>videos/ANU-25-summer-20_20260309_100000.mp4</t>
  </si>
  <si>
    <t>bee_count_output/runs/selected/ANU-25-summer-20_20260309_100000_preview.mp4</t>
  </si>
  <si>
    <t>bee_count_output/runs/selected/ANU-25-summer-20_20260309_100000_frame_flux.csv</t>
  </si>
  <si>
    <t>bee_count_output/runs/selected/ANU-25-summer-20_20260309_100000_window_3sec.csv</t>
  </si>
  <si>
    <t>ANU-25-summer-20_20260309_110000.mp4</t>
  </si>
  <si>
    <t>videos/ANU-25-summer-20_20260309_110000.mp4</t>
  </si>
  <si>
    <t>bee_count_output/runs/selected/ANU-25-summer-20_20260309_110000_preview.mp4</t>
  </si>
  <si>
    <t>bee_count_output/runs/selected/ANU-25-summer-20_20260309_110000_frame_flux.csv</t>
  </si>
  <si>
    <t>bee_count_output/runs/selected/ANU-25-summer-20_20260309_110000_window_3sec.csv</t>
  </si>
  <si>
    <t>ANU-25-summer-20_20260309_120000.mp4</t>
  </si>
  <si>
    <t>videos/ANU-25-summer-20_20260309_120000.mp4</t>
  </si>
  <si>
    <t>bee_count_output/runs/selected/ANU-25-summer-20_20260309_120000_preview.mp4</t>
  </si>
  <si>
    <t>bee_count_output/runs/selected/ANU-25-summer-20_20260309_120000_frame_flux.csv</t>
  </si>
  <si>
    <t>bee_count_output/runs/selected/ANU-25-summer-20_20260309_120000_window_3sec.csv</t>
  </si>
  <si>
    <t>ANU-25-summer-20_20260309_130000.mp4</t>
  </si>
  <si>
    <t>videos/ANU-25-summer-20_20260309_130000.mp4</t>
  </si>
  <si>
    <t>bee_count_output/runs/selected/ANU-25-summer-20_20260309_130000_preview.mp4</t>
  </si>
  <si>
    <t>bee_count_output/runs/selected/ANU-25-summer-20_20260309_130000_frame_flux.csv</t>
  </si>
  <si>
    <t>bee_count_output/runs/selected/ANU-25-summer-20_20260309_130000_window_3sec.csv</t>
  </si>
  <si>
    <t>ANU-25-summer-20_20260309_140000.mp4</t>
  </si>
  <si>
    <t>videos/ANU-25-summer-20_20260309_140000.mp4</t>
  </si>
  <si>
    <t>bee_count_output/runs/selected/ANU-25-summer-20_20260309_140000_preview.mp4</t>
  </si>
  <si>
    <t>bee_count_output/runs/selected/ANU-25-summer-20_20260309_140000_frame_flux.csv</t>
  </si>
  <si>
    <t>bee_count_output/runs/selected/ANU-25-summer-20_20260309_140000_window_3sec.csv</t>
  </si>
  <si>
    <t>ANU-25-summer-20_20260309_150000.mp4</t>
  </si>
  <si>
    <t>videos/ANU-25-summer-20_20260309_150000.mp4</t>
  </si>
  <si>
    <t>bee_count_output/runs/selected/ANU-25-summer-20_20260309_150000_preview.mp4</t>
  </si>
  <si>
    <t>bee_count_output/runs/selected/ANU-25-summer-20_20260309_150000_frame_flux.csv</t>
  </si>
  <si>
    <t>bee_count_output/runs/selected/ANU-25-summer-20_20260309_150000_window_3sec.csv</t>
  </si>
  <si>
    <t>ANU-25-summer-20_20260309_160000.mp4</t>
  </si>
  <si>
    <t>videos/ANU-25-summer-20_20260309_160000.mp4</t>
  </si>
  <si>
    <t>bee_count_output/runs/selected/ANU-25-summer-20_20260309_160000_preview.mp4</t>
  </si>
  <si>
    <t>bee_count_output/runs/selected/ANU-25-summer-20_20260309_160000_frame_flux.csv</t>
  </si>
  <si>
    <t>bee_count_output/runs/selected/ANU-25-summer-20_20260309_160000_window_3sec.csv</t>
  </si>
  <si>
    <t>ANU-25-summer-20_20260309_170000.mp4</t>
  </si>
  <si>
    <t>videos/ANU-25-summer-20_20260309_170000.mp4</t>
  </si>
  <si>
    <t>bee_count_output/runs/selected/ANU-25-summer-20_20260309_170000_preview.mp4</t>
  </si>
  <si>
    <t>bee_count_output/runs/selected/ANU-25-summer-20_20260309_170000_frame_flux.csv</t>
  </si>
  <si>
    <t>bee_count_output/runs/selected/ANU-25-summer-20_20260309_170000_window_3sec.csv</t>
  </si>
  <si>
    <t>ANU-25-summer-20_20260309_180000.mp4</t>
  </si>
  <si>
    <t>videos/ANU-25-summer-20_20260309_180000.mp4</t>
  </si>
  <si>
    <t>bee_count_output/runs/selected/ANU-25-summer-20_20260309_180000_preview.mp4</t>
  </si>
  <si>
    <t>bee_count_output/runs/selected/ANU-25-summer-20_20260309_180000_frame_flux.csv</t>
  </si>
  <si>
    <t>bee_count_output/runs/selected/ANU-25-summer-20_20260309_180000_window_3sec.csv</t>
  </si>
  <si>
    <t>ANU-25-summer-20_20260309_190000.mp4</t>
  </si>
  <si>
    <t>videos/ANU-25-summer-20_20260309_190000.mp4</t>
  </si>
  <si>
    <t>bee_count_output/runs/selected/ANU-25-summer-20_20260309_190000_preview.mp4</t>
  </si>
  <si>
    <t>bee_count_output/runs/selected/ANU-25-summer-20_20260309_190000_frame_flux.csv</t>
  </si>
  <si>
    <t>bee_count_output/runs/selected/ANU-25-summer-20_20260309_190000_window_3sec.csv</t>
  </si>
  <si>
    <t>ANU-25-summer-20_20260310_060000.mp4</t>
  </si>
  <si>
    <t>videos/ANU-25-summer-20_20260310_060000.mp4</t>
  </si>
  <si>
    <t>bee_count_output/runs/selected/ANU-25-summer-20_20260310_060000_preview.mp4</t>
  </si>
  <si>
    <t>bee_count_output/runs/selected/ANU-25-summer-20_20260310_060000_frame_flux.csv</t>
  </si>
  <si>
    <t>bee_count_output/runs/selected/ANU-25-summer-20_20260310_060000_window_3sec.csv</t>
  </si>
  <si>
    <t>ANU-25-summer-20_20260310_070000.mp4</t>
  </si>
  <si>
    <t>videos/ANU-25-summer-20_20260310_070000.mp4</t>
  </si>
  <si>
    <t>bee_count_output/runs/selected/ANU-25-summer-20_20260310_070000_preview.mp4</t>
  </si>
  <si>
    <t>bee_count_output/runs/selected/ANU-25-summer-20_20260310_070000_frame_flux.csv</t>
  </si>
  <si>
    <t>bee_count_output/runs/selected/ANU-25-summer-20_20260310_070000_window_3sec.csv</t>
  </si>
  <si>
    <t>ANU-25-summer-20_20260310_080000.mp4</t>
  </si>
  <si>
    <t>videos/ANU-25-summer-20_20260310_080000.mp4</t>
  </si>
  <si>
    <t>bee_count_output/runs/selected/ANU-25-summer-20_20260310_080000_preview.mp4</t>
  </si>
  <si>
    <t>bee_count_output/runs/selected/ANU-25-summer-20_20260310_080000_frame_flux.csv</t>
  </si>
  <si>
    <t>bee_count_output/runs/selected/ANU-25-summer-20_20260310_080000_window_3sec.csv</t>
  </si>
  <si>
    <t>ANU-25-summer-20_20260310_090000.mp4</t>
  </si>
  <si>
    <t>videos/ANU-25-summer-20_20260310_090000.mp4</t>
  </si>
  <si>
    <t>bee_count_output/runs/selected/ANU-25-summer-20_20260310_090000_preview.mp4</t>
  </si>
  <si>
    <t>bee_count_output/runs/selected/ANU-25-summer-20_20260310_090000_frame_flux.csv</t>
  </si>
  <si>
    <t>bee_count_output/runs/selected/ANU-25-summer-20_20260310_090000_window_3sec.csv</t>
  </si>
  <si>
    <t>ANU-25-summer-20_20260310_100000.mp4</t>
  </si>
  <si>
    <t>videos/ANU-25-summer-20_20260310_100000.mp4</t>
  </si>
  <si>
    <t>bee_count_output/runs/selected/ANU-25-summer-20_20260310_100000_preview.mp4</t>
  </si>
  <si>
    <t>bee_count_output/runs/selected/ANU-25-summer-20_20260310_100000_frame_flux.csv</t>
  </si>
  <si>
    <t>bee_count_output/runs/selected/ANU-25-summer-20_20260310_100000_window_3sec.csv</t>
  </si>
  <si>
    <t>ANU-25-summer-20_20260310_110000.mp4</t>
  </si>
  <si>
    <t>videos/ANU-25-summer-20_20260310_110000.mp4</t>
  </si>
  <si>
    <t>bee_count_output/runs/selected/ANU-25-summer-20_20260310_110000_preview.mp4</t>
  </si>
  <si>
    <t>bee_count_output/runs/selected/ANU-25-summer-20_20260310_110000_frame_flux.csv</t>
  </si>
  <si>
    <t>bee_count_output/runs/selected/ANU-25-summer-20_20260310_110000_window_3sec.csv</t>
  </si>
  <si>
    <t>ANU-25-summer-20_20260310_120000.mp4</t>
  </si>
  <si>
    <t>videos/ANU-25-summer-20_20260310_120000.mp4</t>
  </si>
  <si>
    <t>bee_count_output/runs/selected/ANU-25-summer-20_20260310_120000_preview.mp4</t>
  </si>
  <si>
    <t>bee_count_output/runs/selected/ANU-25-summer-20_20260310_120000_frame_flux.csv</t>
  </si>
  <si>
    <t>bee_count_output/runs/selected/ANU-25-summer-20_20260310_120000_window_3sec.csv</t>
  </si>
  <si>
    <t>ANU-25-summer-20_20260310_130000.mp4</t>
  </si>
  <si>
    <t>videos/ANU-25-summer-20_20260310_130000.mp4</t>
  </si>
  <si>
    <t>bee_count_output/runs/selected/ANU-25-summer-20_20260310_130000_preview.mp4</t>
  </si>
  <si>
    <t>bee_count_output/runs/selected/ANU-25-summer-20_20260310_130000_frame_flux.csv</t>
  </si>
  <si>
    <t>bee_count_output/runs/selected/ANU-25-summer-20_20260310_130000_window_3sec.csv</t>
  </si>
  <si>
    <t>ANU-25-summer-20_20260310_140000.mp4</t>
  </si>
  <si>
    <t>videos/ANU-25-summer-20_20260310_140000.mp4</t>
  </si>
  <si>
    <t>bee_count_output/runs/selected/ANU-25-summer-20_20260310_140000_preview.mp4</t>
  </si>
  <si>
    <t>bee_count_output/runs/selected/ANU-25-summer-20_20260310_140000_frame_flux.csv</t>
  </si>
  <si>
    <t>bee_count_output/runs/selected/ANU-25-summer-20_20260310_140000_window_3sec.csv</t>
  </si>
  <si>
    <t>ANU-25-summer-20_20260310_150000.mp4</t>
  </si>
  <si>
    <t>videos/ANU-25-summer-20_20260310_150000.mp4</t>
  </si>
  <si>
    <t>bee_count_output/runs/selected/ANU-25-summer-20_20260310_150000_preview.mp4</t>
  </si>
  <si>
    <t>bee_count_output/runs/selected/ANU-25-summer-20_20260310_150000_frame_flux.csv</t>
  </si>
  <si>
    <t>bee_count_output/runs/selected/ANU-25-summer-20_20260310_150000_window_3sec.csv</t>
  </si>
  <si>
    <t>ANU-25-summer-20_20260310_160000.mp4</t>
  </si>
  <si>
    <t>videos/ANU-25-summer-20_20260310_160000.mp4</t>
  </si>
  <si>
    <t>bee_count_output/runs/selected/ANU-25-summer-20_20260310_160000_preview.mp4</t>
  </si>
  <si>
    <t>bee_count_output/runs/selected/ANU-25-summer-20_20260310_160000_frame_flux.csv</t>
  </si>
  <si>
    <t>bee_count_output/runs/selected/ANU-25-summer-20_20260310_160000_window_3sec.csv</t>
  </si>
  <si>
    <t>ANU-25-summer-20_20260310_170000.mp4</t>
  </si>
  <si>
    <t>videos/ANU-25-summer-20_20260310_170000.mp4</t>
  </si>
  <si>
    <t>bee_count_output/runs/selected/ANU-25-summer-20_20260310_170000_preview.mp4</t>
  </si>
  <si>
    <t>bee_count_output/runs/selected/ANU-25-summer-20_20260310_170000_frame_flux.csv</t>
  </si>
  <si>
    <t>bee_count_output/runs/selected/ANU-25-summer-20_20260310_170000_window_3sec.csv</t>
  </si>
  <si>
    <t>ANU-25-summer-20_20260310_180000.mp4</t>
  </si>
  <si>
    <t>videos/ANU-25-summer-20_20260310_180000.mp4</t>
  </si>
  <si>
    <t>bee_count_output/runs/selected/ANU-25-summer-20_20260310_180000_preview.mp4</t>
  </si>
  <si>
    <t>bee_count_output/runs/selected/ANU-25-summer-20_20260310_180000_frame_flux.csv</t>
  </si>
  <si>
    <t>bee_count_output/runs/selected/ANU-25-summer-20_20260310_180000_window_3sec.csv</t>
  </si>
  <si>
    <t>ANU-25-summer-20_20260310_190000.mp4</t>
  </si>
  <si>
    <t>videos/ANU-25-summer-20_20260310_190000.mp4</t>
  </si>
  <si>
    <t>bee_count_output/runs/selected/ANU-25-summer-20_20260310_190000_preview.mp4</t>
  </si>
  <si>
    <t>bee_count_output/runs/selected/ANU-25-summer-20_20260310_190000_frame_flux.csv</t>
  </si>
  <si>
    <t>bee_count_output/runs/selected/ANU-25-summer-20_20260310_190000_window_3sec.csv</t>
  </si>
  <si>
    <t>ANU-25-summer-20_20260311_060000.mp4</t>
  </si>
  <si>
    <t>videos/ANU-25-summer-20_20260311_060000.mp4</t>
  </si>
  <si>
    <t>bee_count_output/runs/selected/ANU-25-summer-20_20260311_060000_preview.mp4</t>
  </si>
  <si>
    <t>bee_count_output/runs/selected/ANU-25-summer-20_20260311_060000_frame_flux.csv</t>
  </si>
  <si>
    <t>bee_count_output/runs/selected/ANU-25-summer-20_20260311_060000_window_3sec.csv</t>
  </si>
  <si>
    <t>ANU-25-summer-20_20260311_070000.mp4</t>
  </si>
  <si>
    <t>videos/ANU-25-summer-20_20260311_070000.mp4</t>
  </si>
  <si>
    <t>bee_count_output/runs/selected/ANU-25-summer-20_20260311_070000_preview.mp4</t>
  </si>
  <si>
    <t>bee_count_output/runs/selected/ANU-25-summer-20_20260311_070000_frame_flux.csv</t>
  </si>
  <si>
    <t>bee_count_output/runs/selected/ANU-25-summer-20_20260311_070000_window_3sec.csv</t>
  </si>
  <si>
    <t>ANU-25-summer-20_20260311_080000.mp4</t>
  </si>
  <si>
    <t>videos/ANU-25-summer-20_20260311_080000.mp4</t>
  </si>
  <si>
    <t>bee_count_output/runs/selected/ANU-25-summer-20_20260311_080000_preview.mp4</t>
  </si>
  <si>
    <t>bee_count_output/runs/selected/ANU-25-summer-20_20260311_080000_frame_flux.csv</t>
  </si>
  <si>
    <t>bee_count_output/runs/selected/ANU-25-summer-20_20260311_080000_window_3sec.csv</t>
  </si>
  <si>
    <t>ANU-25-summer-20_20260311_090000.mp4</t>
  </si>
  <si>
    <t>videos/ANU-25-summer-20_20260311_090000.mp4</t>
  </si>
  <si>
    <t>bee_count_output/runs/selected/ANU-25-summer-20_20260311_090000_preview.mp4</t>
  </si>
  <si>
    <t>bee_count_output/runs/selected/ANU-25-summer-20_20260311_090000_frame_flux.csv</t>
  </si>
  <si>
    <t>bee_count_output/runs/selected/ANU-25-summer-20_20260311_090000_window_3sec.csv</t>
  </si>
  <si>
    <t>ANU-25-summer-20_20260311_100000.mp4</t>
  </si>
  <si>
    <t>videos/ANU-25-summer-20_20260311_100000.mp4</t>
  </si>
  <si>
    <t>bee_count_output/runs/selected/ANU-25-summer-20_20260311_100000_preview.mp4</t>
  </si>
  <si>
    <t>bee_count_output/runs/selected/ANU-25-summer-20_20260311_100000_frame_flux.csv</t>
  </si>
  <si>
    <t>bee_count_output/runs/selected/ANU-25-summer-20_20260311_100000_window_3sec.csv</t>
  </si>
  <si>
    <t>ANU-25-summer-20_20260311_110000.mp4</t>
  </si>
  <si>
    <t>videos/ANU-25-summer-20_20260311_110000.mp4</t>
  </si>
  <si>
    <t>bee_count_output/runs/selected/ANU-25-summer-20_20260311_110000_preview.mp4</t>
  </si>
  <si>
    <t>bee_count_output/runs/selected/ANU-25-summer-20_20260311_110000_frame_flux.csv</t>
  </si>
  <si>
    <t>bee_count_output/runs/selected/ANU-25-summer-20_20260311_110000_window_3sec.csv</t>
  </si>
  <si>
    <t>ANU-25-summer-20_20260311_120000.mp4</t>
  </si>
  <si>
    <t>videos/ANU-25-summer-20_20260311_120000.mp4</t>
  </si>
  <si>
    <t>bee_count_output/runs/selected/ANU-25-summer-20_20260311_120000_preview.mp4</t>
  </si>
  <si>
    <t>bee_count_output/runs/selected/ANU-25-summer-20_20260311_120000_frame_flux.csv</t>
  </si>
  <si>
    <t>bee_count_output/runs/selected/ANU-25-summer-20_20260311_120000_window_3sec.csv</t>
  </si>
  <si>
    <t>ANU-25-summer-20_20260311_130000.mp4</t>
  </si>
  <si>
    <t>videos/ANU-25-summer-20_20260311_130000.mp4</t>
  </si>
  <si>
    <t>bee_count_output/runs/selected/ANU-25-summer-20_20260311_130000_preview.mp4</t>
  </si>
  <si>
    <t>bee_count_output/runs/selected/ANU-25-summer-20_20260311_130000_frame_flux.csv</t>
  </si>
  <si>
    <t>bee_count_output/runs/selected/ANU-25-summer-20_20260311_130000_window_3sec.csv</t>
  </si>
  <si>
    <t>ANU-25-summer-20_20260311_140000.mp4</t>
  </si>
  <si>
    <t>videos/ANU-25-summer-20_20260311_140000.mp4</t>
  </si>
  <si>
    <t>bee_count_output/runs/selected/ANU-25-summer-20_20260311_140000_preview.mp4</t>
  </si>
  <si>
    <t>bee_count_output/runs/selected/ANU-25-summer-20_20260311_140000_frame_flux.csv</t>
  </si>
  <si>
    <t>bee_count_output/runs/selected/ANU-25-summer-20_20260311_140000_window_3sec.csv</t>
  </si>
  <si>
    <t>ANU-25-summer-20_20260311_150000.mp4</t>
  </si>
  <si>
    <t>videos/ANU-25-summer-20_20260311_150000.mp4</t>
  </si>
  <si>
    <t>bee_count_output/runs/selected/ANU-25-summer-20_20260311_150000_preview.mp4</t>
  </si>
  <si>
    <t>bee_count_output/runs/selected/ANU-25-summer-20_20260311_150000_frame_flux.csv</t>
  </si>
  <si>
    <t>bee_count_output/runs/selected/ANU-25-summer-20_20260311_150000_window_3sec.csv</t>
  </si>
  <si>
    <t>ANU-25-summer-20_20260311_160000.mp4</t>
  </si>
  <si>
    <t>videos/ANU-25-summer-20_20260311_160000.mp4</t>
  </si>
  <si>
    <t>bee_count_output/runs/selected/ANU-25-summer-20_20260311_160000_preview.mp4</t>
  </si>
  <si>
    <t>bee_count_output/runs/selected/ANU-25-summer-20_20260311_160000_frame_flux.csv</t>
  </si>
  <si>
    <t>bee_count_output/runs/selected/ANU-25-summer-20_20260311_160000_window_3sec.csv</t>
  </si>
  <si>
    <t>ANU-25-summer-20_20260311_170000.mp4</t>
  </si>
  <si>
    <t>videos/ANU-25-summer-20_20260311_170000.mp4</t>
  </si>
  <si>
    <t>bee_count_output/runs/selected/ANU-25-summer-20_20260311_170000_preview.mp4</t>
  </si>
  <si>
    <t>bee_count_output/runs/selected/ANU-25-summer-20_20260311_170000_frame_flux.csv</t>
  </si>
  <si>
    <t>bee_count_output/runs/selected/ANU-25-summer-20_20260311_170000_window_3sec.csv</t>
  </si>
  <si>
    <t>ANU-25-summer-20_20260311_180000.mp4</t>
  </si>
  <si>
    <t>videos/ANU-25-summer-20_20260311_180000.mp4</t>
  </si>
  <si>
    <t>bee_count_output/runs/selected/ANU-25-summer-20_20260311_180000_preview.mp4</t>
  </si>
  <si>
    <t>bee_count_output/runs/selected/ANU-25-summer-20_20260311_180000_frame_flux.csv</t>
  </si>
  <si>
    <t>bee_count_output/runs/selected/ANU-25-summer-20_20260311_180000_window_3sec.csv</t>
  </si>
  <si>
    <t>ANU-25-summer-20_20260311_190000.mp4</t>
  </si>
  <si>
    <t>videos/ANU-25-summer-20_20260311_190000.mp4</t>
  </si>
  <si>
    <t>bee_count_output/runs/selected/ANU-25-summer-20_20260311_190000_preview.mp4</t>
  </si>
  <si>
    <t>bee_count_output/runs/selected/ANU-25-summer-20_20260311_190000_frame_flux.csv</t>
  </si>
  <si>
    <t>bee_count_output/runs/selected/ANU-25-summer-20_20260311_190000_window_3sec.csv</t>
  </si>
  <si>
    <t>ANU-25-summer-20_20260312_060000.mp4</t>
  </si>
  <si>
    <t>videos/ANU-25-summer-20_20260312_060000.mp4</t>
  </si>
  <si>
    <t>bee_count_output/runs/selected/ANU-25-summer-20_20260312_060000_preview.mp4</t>
  </si>
  <si>
    <t>bee_count_output/runs/selected/ANU-25-summer-20_20260312_060000_frame_flux.csv</t>
  </si>
  <si>
    <t>bee_count_output/runs/selected/ANU-25-summer-20_20260312_060000_window_3sec.csv</t>
  </si>
  <si>
    <t>ANU-25-summer-20_20260312_070000.mp4</t>
  </si>
  <si>
    <t>videos/ANU-25-summer-20_20260312_070000.mp4</t>
  </si>
  <si>
    <t>bee_count_output/runs/selected/ANU-25-summer-20_20260312_070000_preview.mp4</t>
  </si>
  <si>
    <t>bee_count_output/runs/selected/ANU-25-summer-20_20260312_070000_frame_flux.csv</t>
  </si>
  <si>
    <t>bee_count_output/runs/selected/ANU-25-summer-20_20260312_070000_window_3sec.csv</t>
  </si>
  <si>
    <t>ANU-25-summer-20_20260312_080000.mp4</t>
  </si>
  <si>
    <t>videos/ANU-25-summer-20_20260312_080000.mp4</t>
  </si>
  <si>
    <t>bee_count_output/runs/selected/ANU-25-summer-20_20260312_080000_preview.mp4</t>
  </si>
  <si>
    <t>bee_count_output/runs/selected/ANU-25-summer-20_20260312_080000_frame_flux.csv</t>
  </si>
  <si>
    <t>bee_count_output/runs/selected/ANU-25-summer-20_20260312_080000_window_3sec.csv</t>
  </si>
  <si>
    <t>ANU-25-summer-20_20260312_090000.mp4</t>
  </si>
  <si>
    <t>videos/ANU-25-summer-20_20260312_090000.mp4</t>
  </si>
  <si>
    <t>bee_count_output/runs/selected/ANU-25-summer-20_20260312_090000_preview.mp4</t>
  </si>
  <si>
    <t>bee_count_output/runs/selected/ANU-25-summer-20_20260312_090000_frame_flux.csv</t>
  </si>
  <si>
    <t>bee_count_output/runs/selected/ANU-25-summer-20_20260312_090000_window_3sec.csv</t>
  </si>
  <si>
    <t>ANU-25-summer-20_20260312_100000.mp4</t>
  </si>
  <si>
    <t>videos/ANU-25-summer-20_20260312_100000.mp4</t>
  </si>
  <si>
    <t>bee_count_output/runs/selected/ANU-25-summer-20_20260312_100000_preview.mp4</t>
  </si>
  <si>
    <t>bee_count_output/runs/selected/ANU-25-summer-20_20260312_100000_frame_flux.csv</t>
  </si>
  <si>
    <t>bee_count_output/runs/selected/ANU-25-summer-20_20260312_100000_window_3sec.csv</t>
  </si>
  <si>
    <t>ANU-25-summer-20_20260312_110000.mp4</t>
  </si>
  <si>
    <t>videos/ANU-25-summer-20_20260312_110000.mp4</t>
  </si>
  <si>
    <t>bee_count_output/runs/selected/ANU-25-summer-20_20260312_110000_preview.mp4</t>
  </si>
  <si>
    <t>bee_count_output/runs/selected/ANU-25-summer-20_20260312_110000_frame_flux.csv</t>
  </si>
  <si>
    <t>bee_count_output/runs/selected/ANU-25-summer-20_20260312_110000_window_3sec.csv</t>
  </si>
  <si>
    <t>ANU-25-summer-20_20260312_120000.mp4</t>
  </si>
  <si>
    <t>videos/ANU-25-summer-20_20260312_120000.mp4</t>
  </si>
  <si>
    <t>bee_count_output/runs/selected/ANU-25-summer-20_20260312_120000_preview.mp4</t>
  </si>
  <si>
    <t>bee_count_output/runs/selected/ANU-25-summer-20_20260312_120000_frame_flux.csv</t>
  </si>
  <si>
    <t>bee_count_output/runs/selected/ANU-25-summer-20_20260312_120000_window_3sec.csv</t>
  </si>
  <si>
    <t>ANU-25-summer-20_20260312_130000.mp4</t>
  </si>
  <si>
    <t>videos/ANU-25-summer-20_20260312_130000.mp4</t>
  </si>
  <si>
    <t>bee_count_output/runs/selected/ANU-25-summer-20_20260312_130000_preview.mp4</t>
  </si>
  <si>
    <t>bee_count_output/runs/selected/ANU-25-summer-20_20260312_130000_frame_flux.csv</t>
  </si>
  <si>
    <t>bee_count_output/runs/selected/ANU-25-summer-20_20260312_130000_window_3sec.csv</t>
  </si>
  <si>
    <t>ANU-25-summer-20_20260312_140000.mp4</t>
  </si>
  <si>
    <t>videos/ANU-25-summer-20_20260312_140000.mp4</t>
  </si>
  <si>
    <t>bee_count_output/runs/selected/ANU-25-summer-20_20260312_140000_preview.mp4</t>
  </si>
  <si>
    <t>bee_count_output/runs/selected/ANU-25-summer-20_20260312_140000_frame_flux.csv</t>
  </si>
  <si>
    <t>bee_count_output/runs/selected/ANU-25-summer-20_20260312_140000_window_3sec.csv</t>
  </si>
  <si>
    <t>ANU-25-summer-20_20260312_150000.mp4</t>
  </si>
  <si>
    <t>videos/ANU-25-summer-20_20260312_150000.mp4</t>
  </si>
  <si>
    <t>bee_count_output/runs/selected/ANU-25-summer-20_20260312_150000_preview.mp4</t>
  </si>
  <si>
    <t>bee_count_output/runs/selected/ANU-25-summer-20_20260312_150000_frame_flux.csv</t>
  </si>
  <si>
    <t>bee_count_output/runs/selected/ANU-25-summer-20_20260312_150000_window_3sec.csv</t>
  </si>
  <si>
    <t>ANU-25-summer-20_20260312_160000.mp4</t>
  </si>
  <si>
    <t>videos/ANU-25-summer-20_20260312_160000.mp4</t>
  </si>
  <si>
    <t>bee_count_output/runs/selected/ANU-25-summer-20_20260312_160000_preview.mp4</t>
  </si>
  <si>
    <t>bee_count_output/runs/selected/ANU-25-summer-20_20260312_160000_frame_flux.csv</t>
  </si>
  <si>
    <t>bee_count_output/runs/selected/ANU-25-summer-20_20260312_160000_window_3sec.csv</t>
  </si>
  <si>
    <t>ANU-25-summer-20_20260312_170000.mp4</t>
  </si>
  <si>
    <t>videos/ANU-25-summer-20_20260312_170000.mp4</t>
  </si>
  <si>
    <t>bee_count_output/runs/selected/ANU-25-summer-20_20260312_170000_preview.mp4</t>
  </si>
  <si>
    <t>bee_count_output/runs/selected/ANU-25-summer-20_20260312_170000_frame_flux.csv</t>
  </si>
  <si>
    <t>bee_count_output/runs/selected/ANU-25-summer-20_20260312_170000_window_3sec.csv</t>
  </si>
  <si>
    <t>ANU-25-summer-20_20260312_180000.mp4</t>
  </si>
  <si>
    <t>videos/ANU-25-summer-20_20260312_180000.mp4</t>
  </si>
  <si>
    <t>bee_count_output/runs/selected/ANU-25-summer-20_20260312_180000_preview.mp4</t>
  </si>
  <si>
    <t>bee_count_output/runs/selected/ANU-25-summer-20_20260312_180000_frame_flux.csv</t>
  </si>
  <si>
    <t>bee_count_output/runs/selected/ANU-25-summer-20_20260312_180000_window_3sec.csv</t>
  </si>
  <si>
    <t>ANU-25-summer-20_20260312_190000.mp4</t>
  </si>
  <si>
    <t>videos/ANU-25-summer-20_20260312_190000.mp4</t>
  </si>
  <si>
    <t>bee_count_output/runs/selected/ANU-25-summer-20_20260312_190000_preview.mp4</t>
  </si>
  <si>
    <t>bee_count_output/runs/selected/ANU-25-summer-20_20260312_190000_frame_flux.csv</t>
  </si>
  <si>
    <t>bee_count_output/runs/selected/ANU-25-summer-20_20260312_190000_window_3sec.csv</t>
  </si>
  <si>
    <t>ANU-25-summer-20_20260313_060000.mp4</t>
  </si>
  <si>
    <t>videos/ANU-25-summer-20_20260313_060000.mp4</t>
  </si>
  <si>
    <t>bee_count_output/runs/selected/ANU-25-summer-20_20260313_060000_preview.mp4</t>
  </si>
  <si>
    <t>bee_count_output/runs/selected/ANU-25-summer-20_20260313_060000_frame_flux.csv</t>
  </si>
  <si>
    <t>bee_count_output/runs/selected/ANU-25-summer-20_20260313_060000_window_3sec.csv</t>
  </si>
  <si>
    <t>ANU-25-summer-20_20260313_070000.mp4</t>
  </si>
  <si>
    <t>videos/ANU-25-summer-20_20260313_070000.mp4</t>
  </si>
  <si>
    <t>bee_count_output/runs/selected/ANU-25-summer-20_20260313_070000_preview.mp4</t>
  </si>
  <si>
    <t>bee_count_output/runs/selected/ANU-25-summer-20_20260313_070000_frame_flux.csv</t>
  </si>
  <si>
    <t>bee_count_output/runs/selected/ANU-25-summer-20_20260313_070000_window_3sec.csv</t>
  </si>
  <si>
    <t>ANU-25-summer-20_20260313_080000.mp4</t>
  </si>
  <si>
    <t>videos/ANU-25-summer-20_20260313_080000.mp4</t>
  </si>
  <si>
    <t>bee_count_output/runs/selected/ANU-25-summer-20_20260313_080000_preview.mp4</t>
  </si>
  <si>
    <t>bee_count_output/runs/selected/ANU-25-summer-20_20260313_080000_frame_flux.csv</t>
  </si>
  <si>
    <t>bee_count_output/runs/selected/ANU-25-summer-20_20260313_080000_window_3sec.csv</t>
  </si>
  <si>
    <t>ANU-25-summer-20_20260313_090000.mp4</t>
  </si>
  <si>
    <t>videos/ANU-25-summer-20_20260313_090000.mp4</t>
  </si>
  <si>
    <t>bee_count_output/runs/selected/ANU-25-summer-20_20260313_090000_preview.mp4</t>
  </si>
  <si>
    <t>bee_count_output/runs/selected/ANU-25-summer-20_20260313_090000_frame_flux.csv</t>
  </si>
  <si>
    <t>bee_count_output/runs/selected/ANU-25-summer-20_20260313_090000_window_3sec.csv</t>
  </si>
  <si>
    <t>ANU-25-summer-20_20260313_100000.mp4</t>
  </si>
  <si>
    <t>videos/ANU-25-summer-20_20260313_100000.mp4</t>
  </si>
  <si>
    <t>bee_count_output/runs/selected/ANU-25-summer-20_20260313_100000_preview.mp4</t>
  </si>
  <si>
    <t>bee_count_output/runs/selected/ANU-25-summer-20_20260313_100000_frame_flux.csv</t>
  </si>
  <si>
    <t>bee_count_output/runs/selected/ANU-25-summer-20_20260313_100000_window_3sec.csv</t>
  </si>
  <si>
    <t>ANU-25-summer-20_20260313_110000.mp4</t>
  </si>
  <si>
    <t>videos/ANU-25-summer-20_20260313_110000.mp4</t>
  </si>
  <si>
    <t>bee_count_output/runs/selected/ANU-25-summer-20_20260313_110000_preview.mp4</t>
  </si>
  <si>
    <t>bee_count_output/runs/selected/ANU-25-summer-20_20260313_110000_frame_flux.csv</t>
  </si>
  <si>
    <t>bee_count_output/runs/selected/ANU-25-summer-20_20260313_110000_window_3sec.csv</t>
  </si>
  <si>
    <t>ANU-25-summer-20_20260313_120000.mp4</t>
  </si>
  <si>
    <t>videos/ANU-25-summer-20_20260313_120000.mp4</t>
  </si>
  <si>
    <t>bee_count_output/runs/selected/ANU-25-summer-20_20260313_120000_preview.mp4</t>
  </si>
  <si>
    <t>bee_count_output/runs/selected/ANU-25-summer-20_20260313_120000_frame_flux.csv</t>
  </si>
  <si>
    <t>bee_count_output/runs/selected/ANU-25-summer-20_20260313_120000_window_3sec.csv</t>
  </si>
  <si>
    <t>ANU-25-summer-20_20260313_130000.mp4</t>
  </si>
  <si>
    <t>videos/ANU-25-summer-20_20260313_130000.mp4</t>
  </si>
  <si>
    <t>bee_count_output/runs/selected/ANU-25-summer-20_20260313_130000_preview.mp4</t>
  </si>
  <si>
    <t>bee_count_output/runs/selected/ANU-25-summer-20_20260313_130000_frame_flux.csv</t>
  </si>
  <si>
    <t>bee_count_output/runs/selected/ANU-25-summer-20_20260313_130000_window_3sec.csv</t>
  </si>
  <si>
    <t>ANU-25-summer-20_20260313_140000.mp4</t>
  </si>
  <si>
    <t>videos/ANU-25-summer-20_20260313_140000.mp4</t>
  </si>
  <si>
    <t>bee_count_output/runs/selected/ANU-25-summer-20_20260313_140000_preview.mp4</t>
  </si>
  <si>
    <t>bee_count_output/runs/selected/ANU-25-summer-20_20260313_140000_frame_flux.csv</t>
  </si>
  <si>
    <t>bee_count_output/runs/selected/ANU-25-summer-20_20260313_140000_window_3sec.csv</t>
  </si>
  <si>
    <t>ANU-25-summer-20_20260313_150000.mp4</t>
  </si>
  <si>
    <t>videos/ANU-25-summer-20_20260313_150000.mp4</t>
  </si>
  <si>
    <t>bee_count_output/runs/selected/ANU-25-summer-20_20260313_150000_preview.mp4</t>
  </si>
  <si>
    <t>bee_count_output/runs/selected/ANU-25-summer-20_20260313_150000_frame_flux.csv</t>
  </si>
  <si>
    <t>bee_count_output/runs/selected/ANU-25-summer-20_20260313_150000_window_3sec.csv</t>
  </si>
  <si>
    <t>ANU-25-summer-20_20260313_160000.mp4</t>
  </si>
  <si>
    <t>videos/ANU-25-summer-20_20260313_160000.mp4</t>
  </si>
  <si>
    <t>bee_count_output/runs/selected/ANU-25-summer-20_20260313_160000_preview.mp4</t>
  </si>
  <si>
    <t>bee_count_output/runs/selected/ANU-25-summer-20_20260313_160000_frame_flux.csv</t>
  </si>
  <si>
    <t>bee_count_output/runs/selected/ANU-25-summer-20_20260313_160000_window_3sec.csv</t>
  </si>
  <si>
    <t>ANU-25-summer-20_20260313_170000.mp4</t>
  </si>
  <si>
    <t>videos/ANU-25-summer-20_20260313_170000.mp4</t>
  </si>
  <si>
    <t>bee_count_output/runs/selected/ANU-25-summer-20_20260313_170000_preview.mp4</t>
  </si>
  <si>
    <t>bee_count_output/runs/selected/ANU-25-summer-20_20260313_170000_frame_flux.csv</t>
  </si>
  <si>
    <t>bee_count_output/runs/selected/ANU-25-summer-20_20260313_170000_window_3sec.csv</t>
  </si>
  <si>
    <t>ANU-25-summer-20_20260313_180000.mp4</t>
  </si>
  <si>
    <t>videos/ANU-25-summer-20_20260313_180000.mp4</t>
  </si>
  <si>
    <t>bee_count_output/runs/selected/ANU-25-summer-20_20260313_180000_preview.mp4</t>
  </si>
  <si>
    <t>bee_count_output/runs/selected/ANU-25-summer-20_20260313_180000_frame_flux.csv</t>
  </si>
  <si>
    <t>bee_count_output/runs/selected/ANU-25-summer-20_20260313_180000_window_3sec.csv</t>
  </si>
  <si>
    <t>ANU-25-summer-20_20260313_190000.mp4</t>
  </si>
  <si>
    <t>videos/ANU-25-summer-20_20260313_190000.mp4</t>
  </si>
  <si>
    <t>bee_count_output/runs/selected/ANU-25-summer-20_20260313_190000_preview.mp4</t>
  </si>
  <si>
    <t>bee_count_output/runs/selected/ANU-25-summer-20_20260313_190000_frame_flux.csv</t>
  </si>
  <si>
    <t>bee_count_output/runs/selected/ANU-25-summer-20_20260313_190000_window_3sec.csv</t>
  </si>
  <si>
    <t>ANU-25-summer-20_20260314_060000.mp4</t>
  </si>
  <si>
    <t>videos/ANU-25-summer-20_20260314_060000.mp4</t>
  </si>
  <si>
    <t>bee_count_output/runs/selected/ANU-25-summer-20_20260314_060000_preview.mp4</t>
  </si>
  <si>
    <t>bee_count_output/runs/selected/ANU-25-summer-20_20260314_060000_frame_flux.csv</t>
  </si>
  <si>
    <t>bee_count_output/runs/selected/ANU-25-summer-20_20260314_060000_window_3sec.csv</t>
  </si>
  <si>
    <t>ANU-25-summer-20_20260314_070000.mp4</t>
  </si>
  <si>
    <t>videos/ANU-25-summer-20_20260314_070000.mp4</t>
  </si>
  <si>
    <t>bee_count_output/runs/selected/ANU-25-summer-20_20260314_070000_preview.mp4</t>
  </si>
  <si>
    <t>bee_count_output/runs/selected/ANU-25-summer-20_20260314_070000_frame_flux.csv</t>
  </si>
  <si>
    <t>bee_count_output/runs/selected/ANU-25-summer-20_20260314_070000_window_3sec.csv</t>
  </si>
  <si>
    <t>ANU-25-summer-20_20260314_080000.mp4</t>
  </si>
  <si>
    <t>videos/ANU-25-summer-20_20260314_080000.mp4</t>
  </si>
  <si>
    <t>bee_count_output/runs/selected/ANU-25-summer-20_20260314_080000_preview.mp4</t>
  </si>
  <si>
    <t>bee_count_output/runs/selected/ANU-25-summer-20_20260314_080000_frame_flux.csv</t>
  </si>
  <si>
    <t>bee_count_output/runs/selected/ANU-25-summer-20_20260314_080000_window_3sec.csv</t>
  </si>
  <si>
    <t>ANU-25-summer-20_20260314_090000.mp4</t>
  </si>
  <si>
    <t>videos/ANU-25-summer-20_20260314_090000.mp4</t>
  </si>
  <si>
    <t>bee_count_output/runs/selected/ANU-25-summer-20_20260314_090000_preview.mp4</t>
  </si>
  <si>
    <t>bee_count_output/runs/selected/ANU-25-summer-20_20260314_090000_frame_flux.csv</t>
  </si>
  <si>
    <t>bee_count_output/runs/selected/ANU-25-summer-20_20260314_090000_window_3sec.csv</t>
  </si>
  <si>
    <t>ANU-25-summer-20_20260314_100000.mp4</t>
  </si>
  <si>
    <t>videos/ANU-25-summer-20_20260314_100000.mp4</t>
  </si>
  <si>
    <t>bee_count_output/runs/selected/ANU-25-summer-20_20260314_100000_preview.mp4</t>
  </si>
  <si>
    <t>bee_count_output/runs/selected/ANU-25-summer-20_20260314_100000_frame_flux.csv</t>
  </si>
  <si>
    <t>bee_count_output/runs/selected/ANU-25-summer-20_20260314_100000_window_3sec.csv</t>
  </si>
  <si>
    <t>ANU-25-summer-20_20260314_110000.mp4</t>
  </si>
  <si>
    <t>videos/ANU-25-summer-20_20260314_110000.mp4</t>
  </si>
  <si>
    <t>bee_count_output/runs/selected/ANU-25-summer-20_20260314_110000_preview.mp4</t>
  </si>
  <si>
    <t>bee_count_output/runs/selected/ANU-25-summer-20_20260314_110000_frame_flux.csv</t>
  </si>
  <si>
    <t>bee_count_output/runs/selected/ANU-25-summer-20_20260314_110000_window_3sec.csv</t>
  </si>
  <si>
    <t>ANU-25-summer-20_20260314_120000.mp4</t>
  </si>
  <si>
    <t>videos/ANU-25-summer-20_20260314_120000.mp4</t>
  </si>
  <si>
    <t>bee_count_output/runs/selected/ANU-25-summer-20_20260314_120000_preview.mp4</t>
  </si>
  <si>
    <t>bee_count_output/runs/selected/ANU-25-summer-20_20260314_120000_frame_flux.csv</t>
  </si>
  <si>
    <t>bee_count_output/runs/selected/ANU-25-summer-20_20260314_120000_window_3sec.csv</t>
  </si>
  <si>
    <t>ANU-25-summer-20_20260314_130000.mp4</t>
  </si>
  <si>
    <t>videos/ANU-25-summer-20_20260314_130000.mp4</t>
  </si>
  <si>
    <t>bee_count_output/runs/selected/ANU-25-summer-20_20260314_130000_preview.mp4</t>
  </si>
  <si>
    <t>bee_count_output/runs/selected/ANU-25-summer-20_20260314_130000_frame_flux.csv</t>
  </si>
  <si>
    <t>bee_count_output/runs/selected/ANU-25-summer-20_20260314_130000_window_3sec.csv</t>
  </si>
  <si>
    <t>ANU-25-summer-20_20260314_140000.mp4</t>
  </si>
  <si>
    <t>videos/ANU-25-summer-20_20260314_140000.mp4</t>
  </si>
  <si>
    <t>bee_count_output/runs/selected/ANU-25-summer-20_20260314_140000_preview.mp4</t>
  </si>
  <si>
    <t>bee_count_output/runs/selected/ANU-25-summer-20_20260314_140000_frame_flux.csv</t>
  </si>
  <si>
    <t>bee_count_output/runs/selected/ANU-25-summer-20_20260314_140000_window_3sec.csv</t>
  </si>
  <si>
    <t>ANU-25-summer-20_20260314_150000.mp4</t>
  </si>
  <si>
    <t>videos/ANU-25-summer-20_20260314_150000.mp4</t>
  </si>
  <si>
    <t>bee_count_output/runs/selected/ANU-25-summer-20_20260314_150000_preview.mp4</t>
  </si>
  <si>
    <t>bee_count_output/runs/selected/ANU-25-summer-20_20260314_150000_frame_flux.csv</t>
  </si>
  <si>
    <t>bee_count_output/runs/selected/ANU-25-summer-20_20260314_150000_window_3sec.csv</t>
  </si>
  <si>
    <t>ANU-25-summer-20_20260314_160000.mp4</t>
  </si>
  <si>
    <t>videos/ANU-25-summer-20_20260314_160000.mp4</t>
  </si>
  <si>
    <t>bee_count_output/runs/selected/ANU-25-summer-20_20260314_160000_preview.mp4</t>
  </si>
  <si>
    <t>bee_count_output/runs/selected/ANU-25-summer-20_20260314_160000_frame_flux.csv</t>
  </si>
  <si>
    <t>bee_count_output/runs/selected/ANU-25-summer-20_20260314_160000_window_3sec.csv</t>
  </si>
  <si>
    <t>ANU-25-summer-20_20260314_170000.mp4</t>
  </si>
  <si>
    <t>videos/ANU-25-summer-20_20260314_170000.mp4</t>
  </si>
  <si>
    <t>bee_count_output/runs/selected/ANU-25-summer-20_20260314_170000_preview.mp4</t>
  </si>
  <si>
    <t>bee_count_output/runs/selected/ANU-25-summer-20_20260314_170000_frame_flux.csv</t>
  </si>
  <si>
    <t>bee_count_output/runs/selected/ANU-25-summer-20_20260314_170000_window_3sec.csv</t>
  </si>
  <si>
    <t>ANU-25-summer-20_20260314_180000.mp4</t>
  </si>
  <si>
    <t>videos/ANU-25-summer-20_20260314_180000.mp4</t>
  </si>
  <si>
    <t>bee_count_output/runs/selected/ANU-25-summer-20_20260314_180000_preview.mp4</t>
  </si>
  <si>
    <t>bee_count_output/runs/selected/ANU-25-summer-20_20260314_180000_frame_flux.csv</t>
  </si>
  <si>
    <t>bee_count_output/runs/selected/ANU-25-summer-20_20260314_180000_window_3sec.csv</t>
  </si>
  <si>
    <t>ANU-25-summer-20_20260314_190000.mp4</t>
  </si>
  <si>
    <t>videos/ANU-25-summer-20_20260314_190000.mp4</t>
  </si>
  <si>
    <t>bee_count_output/runs/selected/ANU-25-summer-20_20260314_190000_preview.mp4</t>
  </si>
  <si>
    <t>bee_count_output/runs/selected/ANU-25-summer-20_20260314_190000_frame_flux.csv</t>
  </si>
  <si>
    <t>bee_count_output/runs/selected/ANU-25-summer-20_20260314_190000_window_3sec.csv</t>
  </si>
  <si>
    <t>ANU-25-summer-20_20260315_060000.mp4</t>
  </si>
  <si>
    <t>videos/ANU-25-summer-20_20260315_060000.mp4</t>
  </si>
  <si>
    <t>bee_count_output/runs/selected/ANU-25-summer-20_20260315_060000_preview.mp4</t>
  </si>
  <si>
    <t>bee_count_output/runs/selected/ANU-25-summer-20_20260315_060000_frame_flux.csv</t>
  </si>
  <si>
    <t>bee_count_output/runs/selected/ANU-25-summer-20_20260315_060000_window_3sec.csv</t>
  </si>
  <si>
    <t>ANU-25-summer-20_20260315_070000.mp4</t>
  </si>
  <si>
    <t>videos/ANU-25-summer-20_20260315_070000.mp4</t>
  </si>
  <si>
    <t>bee_count_output/runs/selected/ANU-25-summer-20_20260315_070000_preview.mp4</t>
  </si>
  <si>
    <t>bee_count_output/runs/selected/ANU-25-summer-20_20260315_070000_frame_flux.csv</t>
  </si>
  <si>
    <t>bee_count_output/runs/selected/ANU-25-summer-20_20260315_070000_window_3sec.csv</t>
  </si>
  <si>
    <t>ANU-25-summer-20_20260315_080000.mp4</t>
  </si>
  <si>
    <t>videos/ANU-25-summer-20_20260315_080000.mp4</t>
  </si>
  <si>
    <t>bee_count_output/runs/selected/ANU-25-summer-20_20260315_080000_preview.mp4</t>
  </si>
  <si>
    <t>bee_count_output/runs/selected/ANU-25-summer-20_20260315_080000_frame_flux.csv</t>
  </si>
  <si>
    <t>bee_count_output/runs/selected/ANU-25-summer-20_20260315_080000_window_3sec.csv</t>
  </si>
  <si>
    <t>ANU-25-summer-20_20260315_090000.mp4</t>
  </si>
  <si>
    <t>videos/ANU-25-summer-20_20260315_090000.mp4</t>
  </si>
  <si>
    <t>bee_count_output/runs/selected/ANU-25-summer-20_20260315_090000_preview.mp4</t>
  </si>
  <si>
    <t>bee_count_output/runs/selected/ANU-25-summer-20_20260315_090000_frame_flux.csv</t>
  </si>
  <si>
    <t>bee_count_output/runs/selected/ANU-25-summer-20_20260315_090000_window_3sec.csv</t>
  </si>
  <si>
    <t>ANU-25-summer-20_20260315_100000.mp4</t>
  </si>
  <si>
    <t>videos/ANU-25-summer-20_20260315_100000.mp4</t>
  </si>
  <si>
    <t>bee_count_output/runs/selected/ANU-25-summer-20_20260315_100000_preview.mp4</t>
  </si>
  <si>
    <t>bee_count_output/runs/selected/ANU-25-summer-20_20260315_100000_frame_flux.csv</t>
  </si>
  <si>
    <t>bee_count_output/runs/selected/ANU-25-summer-20_20260315_100000_window_3sec.csv</t>
  </si>
  <si>
    <t>ANU-25-summer-20_20260315_110000.mp4</t>
  </si>
  <si>
    <t>videos/ANU-25-summer-20_20260315_110000.mp4</t>
  </si>
  <si>
    <t>bee_count_output/runs/selected/ANU-25-summer-20_20260315_110000_preview.mp4</t>
  </si>
  <si>
    <t>bee_count_output/runs/selected/ANU-25-summer-20_20260315_110000_frame_flux.csv</t>
  </si>
  <si>
    <t>bee_count_output/runs/selected/ANU-25-summer-20_20260315_110000_window_3sec.csv</t>
  </si>
  <si>
    <t>ANU-25-summer-20_20260315_120000.mp4</t>
  </si>
  <si>
    <t>videos/ANU-25-summer-20_20260315_120000.mp4</t>
  </si>
  <si>
    <t>bee_count_output/runs/selected/ANU-25-summer-20_20260315_120000_preview.mp4</t>
  </si>
  <si>
    <t>bee_count_output/runs/selected/ANU-25-summer-20_20260315_120000_frame_flux.csv</t>
  </si>
  <si>
    <t>bee_count_output/runs/selected/ANU-25-summer-20_20260315_120000_window_3sec.csv</t>
  </si>
  <si>
    <t>ANU-25-summer-20_20260315_130000.mp4</t>
  </si>
  <si>
    <t>videos/ANU-25-summer-20_20260315_130000.mp4</t>
  </si>
  <si>
    <t>bee_count_output/runs/selected/ANU-25-summer-20_20260315_130000_preview.mp4</t>
  </si>
  <si>
    <t>bee_count_output/runs/selected/ANU-25-summer-20_20260315_130000_frame_flux.csv</t>
  </si>
  <si>
    <t>bee_count_output/runs/selected/ANU-25-summer-20_20260315_130000_window_3sec.csv</t>
  </si>
  <si>
    <t>ANU-25-summer-20_20260315_140000.mp4</t>
  </si>
  <si>
    <t>videos/ANU-25-summer-20_20260315_140000.mp4</t>
  </si>
  <si>
    <t>bee_count_output/runs/selected/ANU-25-summer-20_20260315_140000_preview.mp4</t>
  </si>
  <si>
    <t>bee_count_output/runs/selected/ANU-25-summer-20_20260315_140000_frame_flux.csv</t>
  </si>
  <si>
    <t>bee_count_output/runs/selected/ANU-25-summer-20_20260315_140000_window_3sec.csv</t>
  </si>
  <si>
    <t>ANU-25-summer-20_20260315_150000.mp4</t>
  </si>
  <si>
    <t>videos/ANU-25-summer-20_20260315_150000.mp4</t>
  </si>
  <si>
    <t>bee_count_output/runs/selected/ANU-25-summer-20_20260315_150000_preview.mp4</t>
  </si>
  <si>
    <t>bee_count_output/runs/selected/ANU-25-summer-20_20260315_150000_frame_flux.csv</t>
  </si>
  <si>
    <t>bee_count_output/runs/selected/ANU-25-summer-20_20260315_150000_window_3sec.csv</t>
  </si>
  <si>
    <t>ANU-25-summer-20_20260315_160000.mp4</t>
  </si>
  <si>
    <t>videos/ANU-25-summer-20_20260315_160000.mp4</t>
  </si>
  <si>
    <t>bee_count_output/runs/selected/ANU-25-summer-20_20260315_160000_preview.mp4</t>
  </si>
  <si>
    <t>bee_count_output/runs/selected/ANU-25-summer-20_20260315_160000_frame_flux.csv</t>
  </si>
  <si>
    <t>bee_count_output/runs/selected/ANU-25-summer-20_20260315_160000_window_3sec.csv</t>
  </si>
  <si>
    <t>ANU-25-summer-20_20260315_170000.mp4</t>
  </si>
  <si>
    <t>videos/ANU-25-summer-20_20260315_170000.mp4</t>
  </si>
  <si>
    <t>bee_count_output/runs/selected/ANU-25-summer-20_20260315_170000_preview.mp4</t>
  </si>
  <si>
    <t>bee_count_output/runs/selected/ANU-25-summer-20_20260315_170000_frame_flux.csv</t>
  </si>
  <si>
    <t>bee_count_output/runs/selected/ANU-25-summer-20_20260315_170000_window_3sec.csv</t>
  </si>
  <si>
    <t>ANU-25-summer-20_20260315_180000.mp4</t>
  </si>
  <si>
    <t>videos/ANU-25-summer-20_20260315_180000.mp4</t>
  </si>
  <si>
    <t>bee_count_output/runs/selected/ANU-25-summer-20_20260315_180000_preview.mp4</t>
  </si>
  <si>
    <t>bee_count_output/runs/selected/ANU-25-summer-20_20260315_180000_frame_flux.csv</t>
  </si>
  <si>
    <t>bee_count_output/runs/selected/ANU-25-summer-20_20260315_180000_window_3sec.csv</t>
  </si>
  <si>
    <t>ANU-25-summer-20_20260315_190000.mp4</t>
  </si>
  <si>
    <t>videos/ANU-25-summer-20_20260315_190000.mp4</t>
  </si>
  <si>
    <t>bee_count_output/runs/selected/ANU-25-summer-20_20260315_190000_preview.mp4</t>
  </si>
  <si>
    <t>bee_count_output/runs/selected/ANU-25-summer-20_20260315_190000_frame_flux.csv</t>
  </si>
  <si>
    <t>bee_count_output/runs/selected/ANU-25-summer-20_20260315_190000_window_3sec.csv</t>
  </si>
  <si>
    <t>ANU-25-summer-20_20260316_060000.mp4</t>
  </si>
  <si>
    <t>videos/ANU-25-summer-20_20260316_060000.mp4</t>
  </si>
  <si>
    <t>bee_count_output/runs/selected/ANU-25-summer-20_20260316_060000_preview.mp4</t>
  </si>
  <si>
    <t>bee_count_output/runs/selected/ANU-25-summer-20_20260316_060000_frame_flux.csv</t>
  </si>
  <si>
    <t>bee_count_output/runs/selected/ANU-25-summer-20_20260316_060000_window_3sec.csv</t>
  </si>
  <si>
    <t>ANU-25-summer-20_20260316_070000.mp4</t>
  </si>
  <si>
    <t>videos/ANU-25-summer-20_20260316_070000.mp4</t>
  </si>
  <si>
    <t>bee_count_output/runs/selected/ANU-25-summer-20_20260316_070000_preview.mp4</t>
  </si>
  <si>
    <t>bee_count_output/runs/selected/ANU-25-summer-20_20260316_070000_frame_flux.csv</t>
  </si>
  <si>
    <t>bee_count_output/runs/selected/ANU-25-summer-20_20260316_070000_window_3sec.csv</t>
  </si>
  <si>
    <t>ANU-25-summer-20_20260316_080000.mp4</t>
  </si>
  <si>
    <t>videos/ANU-25-summer-20_20260316_080000.mp4</t>
  </si>
  <si>
    <t>bee_count_output/runs/selected/ANU-25-summer-20_20260316_080000_preview.mp4</t>
  </si>
  <si>
    <t>bee_count_output/runs/selected/ANU-25-summer-20_20260316_080000_frame_flux.csv</t>
  </si>
  <si>
    <t>bee_count_output/runs/selected/ANU-25-summer-20_20260316_080000_window_3sec.csv</t>
  </si>
  <si>
    <t>ANU-25-summer-20_20260316_090000.mp4</t>
  </si>
  <si>
    <t>videos/ANU-25-summer-20_20260316_090000.mp4</t>
  </si>
  <si>
    <t>bee_count_output/runs/selected/ANU-25-summer-20_20260316_090000_preview.mp4</t>
  </si>
  <si>
    <t>bee_count_output/runs/selected/ANU-25-summer-20_20260316_090000_frame_flux.csv</t>
  </si>
  <si>
    <t>bee_count_output/runs/selected/ANU-25-summer-20_20260316_090000_window_3sec.csv</t>
  </si>
  <si>
    <t>ANU-25-summer-20_20260316_100000.mp4</t>
  </si>
  <si>
    <t>videos/ANU-25-summer-20_20260316_100000.mp4</t>
  </si>
  <si>
    <t>bee_count_output/runs/selected/ANU-25-summer-20_20260316_100000_preview.mp4</t>
  </si>
  <si>
    <t>bee_count_output/runs/selected/ANU-25-summer-20_20260316_100000_frame_flux.csv</t>
  </si>
  <si>
    <t>bee_count_output/runs/selected/ANU-25-summer-20_20260316_100000_window_3sec.csv</t>
  </si>
  <si>
    <t>ANU-25-summer-20_20260316_110000.mp4</t>
  </si>
  <si>
    <t>videos/ANU-25-summer-20_20260316_110000.mp4</t>
  </si>
  <si>
    <t>bee_count_output/runs/selected/ANU-25-summer-20_20260316_110000_preview.mp4</t>
  </si>
  <si>
    <t>bee_count_output/runs/selected/ANU-25-summer-20_20260316_110000_frame_flux.csv</t>
  </si>
  <si>
    <t>bee_count_output/runs/selected/ANU-25-summer-20_20260316_110000_window_3sec.csv</t>
  </si>
  <si>
    <t>ANU-25-summer-20_20260316_120000.mp4</t>
  </si>
  <si>
    <t>videos/ANU-25-summer-20_20260316_120000.mp4</t>
  </si>
  <si>
    <t>bee_count_output/runs/selected/ANU-25-summer-20_20260316_120000_preview.mp4</t>
  </si>
  <si>
    <t>bee_count_output/runs/selected/ANU-25-summer-20_20260316_120000_frame_flux.csv</t>
  </si>
  <si>
    <t>bee_count_output/runs/selected/ANU-25-summer-20_20260316_120000_window_3sec.csv</t>
  </si>
  <si>
    <t>ANU-25-summer-20_20260316_130000.mp4</t>
  </si>
  <si>
    <t>videos/ANU-25-summer-20_20260316_130000.mp4</t>
  </si>
  <si>
    <t>bee_count_output/runs/selected/ANU-25-summer-20_20260316_130000_preview.mp4</t>
  </si>
  <si>
    <t>bee_count_output/runs/selected/ANU-25-summer-20_20260316_130000_frame_flux.csv</t>
  </si>
  <si>
    <t>bee_count_output/runs/selected/ANU-25-summer-20_20260316_130000_window_3sec.csv</t>
  </si>
  <si>
    <t>ANU-25-summer-20_20260316_140000.mp4</t>
  </si>
  <si>
    <t>videos/ANU-25-summer-20_20260316_140000.mp4</t>
  </si>
  <si>
    <t>bee_count_output/runs/selected/ANU-25-summer-20_20260316_140000_preview.mp4</t>
  </si>
  <si>
    <t>bee_count_output/runs/selected/ANU-25-summer-20_20260316_140000_frame_flux.csv</t>
  </si>
  <si>
    <t>bee_count_output/runs/selected/ANU-25-summer-20_20260316_140000_window_3sec.csv</t>
  </si>
  <si>
    <t>ANU-25-summer-20_20260316_150000.mp4</t>
  </si>
  <si>
    <t>videos/ANU-25-summer-20_20260316_150000.mp4</t>
  </si>
  <si>
    <t>bee_count_output/runs/selected/ANU-25-summer-20_20260316_150000_preview.mp4</t>
  </si>
  <si>
    <t>bee_count_output/runs/selected/ANU-25-summer-20_20260316_150000_frame_flux.csv</t>
  </si>
  <si>
    <t>bee_count_output/runs/selected/ANU-25-summer-20_20260316_150000_window_3sec.csv</t>
  </si>
  <si>
    <t>ANU-25-summer-20_20260316_160000.mp4</t>
  </si>
  <si>
    <t>videos/ANU-25-summer-20_20260316_160000.mp4</t>
  </si>
  <si>
    <t>bee_count_output/runs/selected/ANU-25-summer-20_20260316_160000_preview.mp4</t>
  </si>
  <si>
    <t>bee_count_output/runs/selected/ANU-25-summer-20_20260316_160000_frame_flux.csv</t>
  </si>
  <si>
    <t>bee_count_output/runs/selected/ANU-25-summer-20_20260316_160000_window_3sec.csv</t>
  </si>
  <si>
    <t>ANU-25-summer-20_20260316_170000.mp4</t>
  </si>
  <si>
    <t>videos/ANU-25-summer-20_20260316_170000.mp4</t>
  </si>
  <si>
    <t>bee_count_output/runs/selected/ANU-25-summer-20_20260316_170000_preview.mp4</t>
  </si>
  <si>
    <t>bee_count_output/runs/selected/ANU-25-summer-20_20260316_170000_frame_flux.csv</t>
  </si>
  <si>
    <t>bee_count_output/runs/selected/ANU-25-summer-20_20260316_170000_window_3sec.csv</t>
  </si>
  <si>
    <t>ANU-25-summer-20_20260316_180000.mp4</t>
  </si>
  <si>
    <t>videos/ANU-25-summer-20_20260316_180000.mp4</t>
  </si>
  <si>
    <t>bee_count_output/runs/selected/ANU-25-summer-20_20260316_180000_preview.mp4</t>
  </si>
  <si>
    <t>bee_count_output/runs/selected/ANU-25-summer-20_20260316_180000_frame_flux.csv</t>
  </si>
  <si>
    <t>bee_count_output/runs/selected/ANU-25-summer-20_20260316_180000_window_3sec.csv</t>
  </si>
  <si>
    <t>ANU-25-summer-20_20260316_190000.mp4</t>
  </si>
  <si>
    <t>videos/ANU-25-summer-20_20260316_190000.mp4</t>
  </si>
  <si>
    <t>bee_count_output/runs/selected/ANU-25-summer-20_20260316_190000_preview.mp4</t>
  </si>
  <si>
    <t>bee_count_output/runs/selected/ANU-25-summer-20_20260316_190000_frame_flux.csv</t>
  </si>
  <si>
    <t>bee_count_output/runs/selected/ANU-25-summer-20_20260316_190000_window_3sec.csv</t>
  </si>
  <si>
    <t>ANU-25-summer-20_20260317_060000.mp4</t>
  </si>
  <si>
    <t>videos/ANU-25-summer-20_20260317_060000.mp4</t>
  </si>
  <si>
    <t>bee_count_output/runs/selected/ANU-25-summer-20_20260317_060000_preview.mp4</t>
  </si>
  <si>
    <t>bee_count_output/runs/selected/ANU-25-summer-20_20260317_060000_frame_flux.csv</t>
  </si>
  <si>
    <t>bee_count_output/runs/selected/ANU-25-summer-20_20260317_060000_window_3sec.csv</t>
  </si>
  <si>
    <t>ANU-25-summer-20_20260317_070000.mp4</t>
  </si>
  <si>
    <t>videos/ANU-25-summer-20_20260317_070000.mp4</t>
  </si>
  <si>
    <t>bee_count_output/runs/selected/ANU-25-summer-20_20260317_070000_preview.mp4</t>
  </si>
  <si>
    <t>bee_count_output/runs/selected/ANU-25-summer-20_20260317_070000_frame_flux.csv</t>
  </si>
  <si>
    <t>bee_count_output/runs/selected/ANU-25-summer-20_20260317_070000_window_3sec.csv</t>
  </si>
  <si>
    <t>ANU-25-summer-20_20260317_080000.mp4</t>
  </si>
  <si>
    <t>videos/ANU-25-summer-20_20260317_080000.mp4</t>
  </si>
  <si>
    <t>bee_count_output/runs/selected/ANU-25-summer-20_20260317_080000_preview.mp4</t>
  </si>
  <si>
    <t>bee_count_output/runs/selected/ANU-25-summer-20_20260317_080000_frame_flux.csv</t>
  </si>
  <si>
    <t>bee_count_output/runs/selected/ANU-25-summer-20_20260317_080000_window_3sec.csv</t>
  </si>
  <si>
    <t>ANU-25-summer-20_20260317_090000.mp4</t>
  </si>
  <si>
    <t>videos/ANU-25-summer-20_20260317_090000.mp4</t>
  </si>
  <si>
    <t>bee_count_output/runs/selected/ANU-25-summer-20_20260317_090000_preview.mp4</t>
  </si>
  <si>
    <t>bee_count_output/runs/selected/ANU-25-summer-20_20260317_090000_frame_flux.csv</t>
  </si>
  <si>
    <t>bee_count_output/runs/selected/ANU-25-summer-20_20260317_090000_window_3sec.csv</t>
  </si>
  <si>
    <t>ANU-25-summer-20_20260317_100000.mp4</t>
  </si>
  <si>
    <t>videos/ANU-25-summer-20_20260317_100000.mp4</t>
  </si>
  <si>
    <t>bee_count_output/runs/selected/ANU-25-summer-20_20260317_100000_preview.mp4</t>
  </si>
  <si>
    <t>bee_count_output/runs/selected/ANU-25-summer-20_20260317_100000_frame_flux.csv</t>
  </si>
  <si>
    <t>bee_count_output/runs/selected/ANU-25-summer-20_20260317_100000_window_3sec.csv</t>
  </si>
  <si>
    <t>ANU-25-summer-20_20260317_110000.mp4</t>
  </si>
  <si>
    <t>videos/ANU-25-summer-20_20260317_110000.mp4</t>
  </si>
  <si>
    <t>bee_count_output/runs/selected/ANU-25-summer-20_20260317_110000_preview.mp4</t>
  </si>
  <si>
    <t>bee_count_output/runs/selected/ANU-25-summer-20_20260317_110000_frame_flux.csv</t>
  </si>
  <si>
    <t>bee_count_output/runs/selected/ANU-25-summer-20_20260317_110000_window_3sec.csv</t>
  </si>
  <si>
    <t>ANU-25-summer-20_20260317_120000.mp4</t>
  </si>
  <si>
    <t>videos/ANU-25-summer-20_20260317_120000.mp4</t>
  </si>
  <si>
    <t>bee_count_output/runs/selected/ANU-25-summer-20_20260317_120000_preview.mp4</t>
  </si>
  <si>
    <t>bee_count_output/runs/selected/ANU-25-summer-20_20260317_120000_frame_flux.csv</t>
  </si>
  <si>
    <t>bee_count_output/runs/selected/ANU-25-summer-20_20260317_120000_window_3sec.csv</t>
  </si>
  <si>
    <t>ANU-25-summer-20_20260317_130000.mp4</t>
  </si>
  <si>
    <t>videos/ANU-25-summer-20_20260317_130000.mp4</t>
  </si>
  <si>
    <t>bee_count_output/runs/selected/ANU-25-summer-20_20260317_130000_preview.mp4</t>
  </si>
  <si>
    <t>bee_count_output/runs/selected/ANU-25-summer-20_20260317_130000_frame_flux.csv</t>
  </si>
  <si>
    <t>bee_count_output/runs/selected/ANU-25-summer-20_20260317_130000_window_3sec.csv</t>
  </si>
  <si>
    <t>ANU-25-summer-20_20260317_140000.mp4</t>
  </si>
  <si>
    <t>videos/ANU-25-summer-20_20260317_140000.mp4</t>
  </si>
  <si>
    <t>bee_count_output/runs/selected/ANU-25-summer-20_20260317_140000_preview.mp4</t>
  </si>
  <si>
    <t>bee_count_output/runs/selected/ANU-25-summer-20_20260317_140000_frame_flux.csv</t>
  </si>
  <si>
    <t>bee_count_output/runs/selected/ANU-25-summer-20_20260317_140000_window_3sec.csv</t>
  </si>
  <si>
    <t>ANU-25-summer-20_20260317_150000.mp4</t>
  </si>
  <si>
    <t>videos/ANU-25-summer-20_20260317_150000.mp4</t>
  </si>
  <si>
    <t>bee_count_output/runs/selected/ANU-25-summer-20_20260317_150000_preview.mp4</t>
  </si>
  <si>
    <t>bee_count_output/runs/selected/ANU-25-summer-20_20260317_150000_frame_flux.csv</t>
  </si>
  <si>
    <t>bee_count_output/runs/selected/ANU-25-summer-20_20260317_150000_window_3sec.csv</t>
  </si>
  <si>
    <t>ANU-25-summer-20_20260317_160000.mp4</t>
  </si>
  <si>
    <t>videos/ANU-25-summer-20_20260317_160000.mp4</t>
  </si>
  <si>
    <t>bee_count_output/runs/selected/ANU-25-summer-20_20260317_160000_preview.mp4</t>
  </si>
  <si>
    <t>bee_count_output/runs/selected/ANU-25-summer-20_20260317_160000_frame_flux.csv</t>
  </si>
  <si>
    <t>bee_count_output/runs/selected/ANU-25-summer-20_20260317_160000_window_3sec.csv</t>
  </si>
  <si>
    <t>ANU-25-summer-20_20260317_170000.mp4</t>
  </si>
  <si>
    <t>videos/ANU-25-summer-20_20260317_170000.mp4</t>
  </si>
  <si>
    <t>bee_count_output/runs/selected/ANU-25-summer-20_20260317_170000_preview.mp4</t>
  </si>
  <si>
    <t>bee_count_output/runs/selected/ANU-25-summer-20_20260317_170000_frame_flux.csv</t>
  </si>
  <si>
    <t>bee_count_output/runs/selected/ANU-25-summer-20_20260317_170000_window_3sec.csv</t>
  </si>
  <si>
    <t>ANU-25-summer-20_20260317_180000.mp4</t>
  </si>
  <si>
    <t>videos/ANU-25-summer-20_20260317_180000.mp4</t>
  </si>
  <si>
    <t>bee_count_output/runs/selected/ANU-25-summer-20_20260317_180000_preview.mp4</t>
  </si>
  <si>
    <t>bee_count_output/runs/selected/ANU-25-summer-20_20260317_180000_frame_flux.csv</t>
  </si>
  <si>
    <t>bee_count_output/runs/selected/ANU-25-summer-20_20260317_180000_window_3sec.csv</t>
  </si>
  <si>
    <t>ANU-25-summer-20_20260317_190000.mp4</t>
  </si>
  <si>
    <t>videos/ANU-25-summer-20_20260317_190000.mp4</t>
  </si>
  <si>
    <t>bee_count_output/runs/selected/ANU-25-summer-20_20260317_190000_preview.mp4</t>
  </si>
  <si>
    <t>bee_count_output/runs/selected/ANU-25-summer-20_20260317_190000_frame_flux.csv</t>
  </si>
  <si>
    <t>bee_count_output/runs/selected/ANU-25-summer-20_20260317_190000_window_3sec.csv</t>
  </si>
  <si>
    <t>ANU-25-summer-20_20260318_060000.mp4</t>
  </si>
  <si>
    <t>videos/ANU-25-summer-20_20260318_060000.mp4</t>
  </si>
  <si>
    <t>bee_count_output/runs/selected/ANU-25-summer-20_20260318_060000_preview.mp4</t>
  </si>
  <si>
    <t>bee_count_output/runs/selected/ANU-25-summer-20_20260318_060000_frame_flux.csv</t>
  </si>
  <si>
    <t>bee_count_output/runs/selected/ANU-25-summer-20_20260318_060000_window_3sec.csv</t>
  </si>
  <si>
    <t>ANU-25-summer-20_20260318_070000.mp4</t>
  </si>
  <si>
    <t>videos/ANU-25-summer-20_20260318_070000.mp4</t>
  </si>
  <si>
    <t>bee_count_output/runs/selected/ANU-25-summer-20_20260318_070000_preview.mp4</t>
  </si>
  <si>
    <t>bee_count_output/runs/selected/ANU-25-summer-20_20260318_070000_frame_flux.csv</t>
  </si>
  <si>
    <t>bee_count_output/runs/selected/ANU-25-summer-20_20260318_070000_window_3sec.csv</t>
  </si>
  <si>
    <t>ANU-25-summer-20_20260318_080000.mp4</t>
  </si>
  <si>
    <t>videos/ANU-25-summer-20_20260318_080000.mp4</t>
  </si>
  <si>
    <t>bee_count_output/runs/selected/ANU-25-summer-20_20260318_080000_preview.mp4</t>
  </si>
  <si>
    <t>bee_count_output/runs/selected/ANU-25-summer-20_20260318_080000_frame_flux.csv</t>
  </si>
  <si>
    <t>bee_count_output/runs/selected/ANU-25-summer-20_20260318_080000_window_3sec.csv</t>
  </si>
  <si>
    <t>ANU-25-summer-20_20260318_090000.mp4</t>
  </si>
  <si>
    <t>videos/ANU-25-summer-20_20260318_090000.mp4</t>
  </si>
  <si>
    <t>bee_count_output/runs/selected/ANU-25-summer-20_20260318_090000_preview.mp4</t>
  </si>
  <si>
    <t>bee_count_output/runs/selected/ANU-25-summer-20_20260318_090000_frame_flux.csv</t>
  </si>
  <si>
    <t>bee_count_output/runs/selected/ANU-25-summer-20_20260318_090000_window_3sec.csv</t>
  </si>
  <si>
    <t>ANU-25-summer-20_20260318_100000.mp4</t>
  </si>
  <si>
    <t>videos/ANU-25-summer-20_20260318_100000.mp4</t>
  </si>
  <si>
    <t>bee_count_output/runs/selected/ANU-25-summer-20_20260318_100000_preview.mp4</t>
  </si>
  <si>
    <t>bee_count_output/runs/selected/ANU-25-summer-20_20260318_100000_frame_flux.csv</t>
  </si>
  <si>
    <t>bee_count_output/runs/selected/ANU-25-summer-20_20260318_100000_window_3sec.csv</t>
  </si>
  <si>
    <t>ANU-25-summer-20_20260318_110000.mp4</t>
  </si>
  <si>
    <t>videos/ANU-25-summer-20_20260318_110000.mp4</t>
  </si>
  <si>
    <t>bee_count_output/runs/selected/ANU-25-summer-20_20260318_110000_preview.mp4</t>
  </si>
  <si>
    <t>bee_count_output/runs/selected/ANU-25-summer-20_20260318_110000_frame_flux.csv</t>
  </si>
  <si>
    <t>bee_count_output/runs/selected/ANU-25-summer-20_20260318_110000_window_3sec.csv</t>
  </si>
  <si>
    <t>ANU-25-summer-20_20260318_120000.mp4</t>
  </si>
  <si>
    <t>videos/ANU-25-summer-20_20260318_120000.mp4</t>
  </si>
  <si>
    <t>bee_count_output/runs/selected/ANU-25-summer-20_20260318_120000_preview.mp4</t>
  </si>
  <si>
    <t>bee_count_output/runs/selected/ANU-25-summer-20_20260318_120000_frame_flux.csv</t>
  </si>
  <si>
    <t>bee_count_output/runs/selected/ANU-25-summer-20_20260318_120000_window_3sec.csv</t>
  </si>
  <si>
    <t>ANU-25-summer-20_20260318_130000.mp4</t>
  </si>
  <si>
    <t>videos/ANU-25-summer-20_20260318_130000.mp4</t>
  </si>
  <si>
    <t>bee_count_output/runs/selected/ANU-25-summer-20_20260318_130000_preview.mp4</t>
  </si>
  <si>
    <t>bee_count_output/runs/selected/ANU-25-summer-20_20260318_130000_frame_flux.csv</t>
  </si>
  <si>
    <t>bee_count_output/runs/selected/ANU-25-summer-20_20260318_130000_window_3sec.csv</t>
  </si>
  <si>
    <t>ANU-25-summer-20_20260318_140000.mp4</t>
  </si>
  <si>
    <t>videos/ANU-25-summer-20_20260318_140000.mp4</t>
  </si>
  <si>
    <t>bee_count_output/runs/selected/ANU-25-summer-20_20260318_140000_preview.mp4</t>
  </si>
  <si>
    <t>bee_count_output/runs/selected/ANU-25-summer-20_20260318_140000_frame_flux.csv</t>
  </si>
  <si>
    <t>bee_count_output/runs/selected/ANU-25-summer-20_20260318_140000_window_3sec.csv</t>
  </si>
  <si>
    <t>ANU-25-summer-20_20260318_150000.mp4</t>
  </si>
  <si>
    <t>videos/ANU-25-summer-20_20260318_150000.mp4</t>
  </si>
  <si>
    <t>bee_count_output/runs/selected/ANU-25-summer-20_20260318_150000_preview.mp4</t>
  </si>
  <si>
    <t>bee_count_output/runs/selected/ANU-25-summer-20_20260318_150000_frame_flux.csv</t>
  </si>
  <si>
    <t>bee_count_output/runs/selected/ANU-25-summer-20_20260318_150000_window_3sec.csv</t>
  </si>
  <si>
    <t>ANU-25-summer-20_20260318_160000.mp4</t>
  </si>
  <si>
    <t>videos/ANU-25-summer-20_20260318_160000.mp4</t>
  </si>
  <si>
    <t>bee_count_output/runs/selected/ANU-25-summer-20_20260318_160000_preview.mp4</t>
  </si>
  <si>
    <t>bee_count_output/runs/selected/ANU-25-summer-20_20260318_160000_frame_flux.csv</t>
  </si>
  <si>
    <t>bee_count_output/runs/selected/ANU-25-summer-20_20260318_160000_window_3sec.csv</t>
  </si>
  <si>
    <t>ANU-25-summer-20_20260318_170000.mp4</t>
  </si>
  <si>
    <t>videos/ANU-25-summer-20_20260318_170000.mp4</t>
  </si>
  <si>
    <t>bee_count_output/runs/selected/ANU-25-summer-20_20260318_170000_preview.mp4</t>
  </si>
  <si>
    <t>bee_count_output/runs/selected/ANU-25-summer-20_20260318_170000_frame_flux.csv</t>
  </si>
  <si>
    <t>bee_count_output/runs/selected/ANU-25-summer-20_20260318_170000_window_3sec.csv</t>
  </si>
  <si>
    <t>ANU-25-summer-20_20260318_180000.mp4</t>
  </si>
  <si>
    <t>videos/ANU-25-summer-20_20260318_180000.mp4</t>
  </si>
  <si>
    <t>bee_count_output/runs/selected/ANU-25-summer-20_20260318_180000_preview.mp4</t>
  </si>
  <si>
    <t>bee_count_output/runs/selected/ANU-25-summer-20_20260318_180000_frame_flux.csv</t>
  </si>
  <si>
    <t>bee_count_output/runs/selected/ANU-25-summer-20_20260318_180000_window_3sec.csv</t>
  </si>
  <si>
    <t>ANU-25-summer-20_20260318_190000.mp4</t>
  </si>
  <si>
    <t>videos/ANU-25-summer-20_20260318_190000.mp4</t>
  </si>
  <si>
    <t>bee_count_output/runs/selected/ANU-25-summer-20_20260318_190000_preview.mp4</t>
  </si>
  <si>
    <t>bee_count_output/runs/selected/ANU-25-summer-20_20260318_190000_frame_flux.csv</t>
  </si>
  <si>
    <t>bee_count_output/runs/selected/ANU-25-summer-20_20260318_190000_window_3sec.csv</t>
  </si>
  <si>
    <t>ANU-25-summer-20_20260319_070000.mp4</t>
  </si>
  <si>
    <t>videos/ANU-25-summer-20_20260319_070000.mp4</t>
  </si>
  <si>
    <t>bee_count_output/runs/selected/ANU-25-summer-20_20260319_070000_preview.mp4</t>
  </si>
  <si>
    <t>bee_count_output/runs/selected/ANU-25-summer-20_20260319_070000_frame_flux.csv</t>
  </si>
  <si>
    <t>bee_count_output/runs/selected/ANU-25-summer-20_20260319_070000_window_3sec.csv</t>
  </si>
  <si>
    <t>ANU-25-summer-20_20260319_090000.mp4</t>
  </si>
  <si>
    <t>videos/ANU-25-summer-20_20260319_090000.mp4</t>
  </si>
  <si>
    <t>bee_count_output/runs/selected/ANU-25-summer-20_20260319_090000_preview.mp4</t>
  </si>
  <si>
    <t>bee_count_output/runs/selected/ANU-25-summer-20_20260319_090000_frame_flux.csv</t>
  </si>
  <si>
    <t>bee_count_output/runs/selected/ANU-25-summer-20_20260319_090000_window_3sec.csv</t>
  </si>
  <si>
    <t>ANU-25-summer-20_20260319_100000.mp4</t>
  </si>
  <si>
    <t>videos/ANU-25-summer-20_20260319_100000.mp4</t>
  </si>
  <si>
    <t>bee_count_output/runs/selected/ANU-25-summer-20_20260319_100000_preview.mp4</t>
  </si>
  <si>
    <t>bee_count_output/runs/selected/ANU-25-summer-20_20260319_100000_frame_flux.csv</t>
  </si>
  <si>
    <t>bee_count_output/runs/selected/ANU-25-summer-20_20260319_100000_window_3sec.csv</t>
  </si>
  <si>
    <t>ANU-25-summer-20_20260319_110000.mp4</t>
  </si>
  <si>
    <t>videos/ANU-25-summer-20_20260319_110000.mp4</t>
  </si>
  <si>
    <t>bee_count_output/runs/selected/ANU-25-summer-20_20260319_110000_preview.mp4</t>
  </si>
  <si>
    <t>bee_count_output/runs/selected/ANU-25-summer-20_20260319_110000_frame_flux.csv</t>
  </si>
  <si>
    <t>bee_count_output/runs/selected/ANU-25-summer-20_20260319_110000_window_3sec.csv</t>
  </si>
  <si>
    <t>ANU-25-summer-20_20260319_120000.mp4</t>
  </si>
  <si>
    <t>videos/ANU-25-summer-20_20260319_120000.mp4</t>
  </si>
  <si>
    <t>bee_count_output/runs/selected/ANU-25-summer-20_20260319_120000_preview.mp4</t>
  </si>
  <si>
    <t>bee_count_output/runs/selected/ANU-25-summer-20_20260319_120000_frame_flux.csv</t>
  </si>
  <si>
    <t>bee_count_output/runs/selected/ANU-25-summer-20_20260319_120000_window_3sec.csv</t>
  </si>
  <si>
    <t>ANU-25-summer-20_20260319_130000.mp4</t>
  </si>
  <si>
    <t>videos/ANU-25-summer-20_20260319_130000.mp4</t>
  </si>
  <si>
    <t>bee_count_output/runs/selected/ANU-25-summer-20_20260319_130000_preview.mp4</t>
  </si>
  <si>
    <t>bee_count_output/runs/selected/ANU-25-summer-20_20260319_130000_frame_flux.csv</t>
  </si>
  <si>
    <t>bee_count_output/runs/selected/ANU-25-summer-20_20260319_130000_window_3sec.csv</t>
  </si>
  <si>
    <t>ANU-25-summer-20_20260319_140000.mp4</t>
  </si>
  <si>
    <t>videos/ANU-25-summer-20_20260319_140000.mp4</t>
  </si>
  <si>
    <t>bee_count_output/runs/selected/ANU-25-summer-20_20260319_140000_preview.mp4</t>
  </si>
  <si>
    <t>bee_count_output/runs/selected/ANU-25-summer-20_20260319_140000_frame_flux.csv</t>
  </si>
  <si>
    <t>bee_count_output/runs/selected/ANU-25-summer-20_20260319_140000_window_3sec.csv</t>
  </si>
  <si>
    <t>ANU-25-summer-20_20260319_150000.mp4</t>
  </si>
  <si>
    <t>videos/ANU-25-summer-20_20260319_150000.mp4</t>
  </si>
  <si>
    <t>bee_count_output/runs/selected/ANU-25-summer-20_20260319_150000_preview.mp4</t>
  </si>
  <si>
    <t>bee_count_output/runs/selected/ANU-25-summer-20_20260319_150000_frame_flux.csv</t>
  </si>
  <si>
    <t>bee_count_output/runs/selected/ANU-25-summer-20_20260319_150000_window_3sec.csv</t>
  </si>
  <si>
    <t>ANU-25-summer-20_20260319_160000.mp4</t>
  </si>
  <si>
    <t>videos/ANU-25-summer-20_20260319_160000.mp4</t>
  </si>
  <si>
    <t>bee_count_output/runs/selected/ANU-25-summer-20_20260319_160000_preview.mp4</t>
  </si>
  <si>
    <t>bee_count_output/runs/selected/ANU-25-summer-20_20260319_160000_frame_flux.csv</t>
  </si>
  <si>
    <t>bee_count_output/runs/selected/ANU-25-summer-20_20260319_160000_window_3sec.csv</t>
  </si>
  <si>
    <t>ANU-25-summer-20_20260319_170000.mp4</t>
  </si>
  <si>
    <t>videos/ANU-25-summer-20_20260319_170000.mp4</t>
  </si>
  <si>
    <t>bee_count_output/runs/selected/ANU-25-summer-20_20260319_170000_preview.mp4</t>
  </si>
  <si>
    <t>bee_count_output/runs/selected/ANU-25-summer-20_20260319_170000_frame_flux.csv</t>
  </si>
  <si>
    <t>bee_count_output/runs/selected/ANU-25-summer-20_20260319_170000_window_3sec.csv</t>
  </si>
  <si>
    <t>ANU-25-summer-20_20260319_180000.mp4</t>
  </si>
  <si>
    <t>videos/ANU-25-summer-20_20260319_180000.mp4</t>
  </si>
  <si>
    <t>bee_count_output/runs/selected/ANU-25-summer-20_20260319_180000_preview.mp4</t>
  </si>
  <si>
    <t>bee_count_output/runs/selected/ANU-25-summer-20_20260319_180000_frame_flux.csv</t>
  </si>
  <si>
    <t>bee_count_output/runs/selected/ANU-25-summer-20_20260319_180000_window_3sec.csv</t>
  </si>
  <si>
    <t>ANU-25-summer-20_20260319_190000.mp4</t>
  </si>
  <si>
    <t>videos/ANU-25-summer-20_20260319_190000.mp4</t>
  </si>
  <si>
    <t>bee_count_output/runs/selected/ANU-25-summer-20_20260319_190000_preview.mp4</t>
  </si>
  <si>
    <t>bee_count_output/runs/selected/ANU-25-summer-20_20260319_190000_frame_flux.csv</t>
  </si>
  <si>
    <t>bee_count_output/runs/selected/ANU-25-summer-20_20260319_190000_window_3sec.csv</t>
  </si>
  <si>
    <t>ANU-25-summer-20_20260320_060000.mp4</t>
  </si>
  <si>
    <t>videos/ANU-25-summer-20_20260320_060000.mp4</t>
  </si>
  <si>
    <t>bee_count_output/runs/selected/ANU-25-summer-20_20260320_060000_preview.mp4</t>
  </si>
  <si>
    <t>bee_count_output/runs/selected/ANU-25-summer-20_20260320_060000_frame_flux.csv</t>
  </si>
  <si>
    <t>bee_count_output/runs/selected/ANU-25-summer-20_20260320_060000_window_3sec.csv</t>
  </si>
  <si>
    <t>ANU-25-summer-20_20260320_070000.mp4</t>
  </si>
  <si>
    <t>videos/ANU-25-summer-20_20260320_070000.mp4</t>
  </si>
  <si>
    <t>bee_count_output/runs/selected/ANU-25-summer-20_20260320_070000_preview.mp4</t>
  </si>
  <si>
    <t>bee_count_output/runs/selected/ANU-25-summer-20_20260320_070000_frame_flux.csv</t>
  </si>
  <si>
    <t>bee_count_output/runs/selected/ANU-25-summer-20_20260320_070000_window_3sec.csv</t>
  </si>
  <si>
    <t>ANU-25-summer-20_20260320_080000.mp4</t>
  </si>
  <si>
    <t>videos/ANU-25-summer-20_20260320_080000.mp4</t>
  </si>
  <si>
    <t>bee_count_output/runs/selected/ANU-25-summer-20_20260320_080000_preview.mp4</t>
  </si>
  <si>
    <t>bee_count_output/runs/selected/ANU-25-summer-20_20260320_080000_frame_flux.csv</t>
  </si>
  <si>
    <t>bee_count_output/runs/selected/ANU-25-summer-20_20260320_080000_window_3sec.csv</t>
  </si>
  <si>
    <t>ANU-25-summer-20_20260320_090000.mp4</t>
  </si>
  <si>
    <t>videos/ANU-25-summer-20_20260320_090000.mp4</t>
  </si>
  <si>
    <t>bee_count_output/runs/selected/ANU-25-summer-20_20260320_090000_preview.mp4</t>
  </si>
  <si>
    <t>bee_count_output/runs/selected/ANU-25-summer-20_20260320_090000_frame_flux.csv</t>
  </si>
  <si>
    <t>bee_count_output/runs/selected/ANU-25-summer-20_20260320_090000_window_3sec.csv</t>
  </si>
  <si>
    <t>ANU-25-summer-20_20260320_100000.mp4</t>
  </si>
  <si>
    <t>videos/ANU-25-summer-20_20260320_100000.mp4</t>
  </si>
  <si>
    <t>bee_count_output/runs/selected/ANU-25-summer-20_20260320_100000_preview.mp4</t>
  </si>
  <si>
    <t>bee_count_output/runs/selected/ANU-25-summer-20_20260320_100000_frame_flux.csv</t>
  </si>
  <si>
    <t>bee_count_output/runs/selected/ANU-25-summer-20_20260320_100000_window_3sec.csv</t>
  </si>
  <si>
    <t>ANU-25-summer-20_20260320_110000.mp4</t>
  </si>
  <si>
    <t>videos/ANU-25-summer-20_20260320_110000.mp4</t>
  </si>
  <si>
    <t>bee_count_output/runs/selected/ANU-25-summer-20_20260320_110000_preview.mp4</t>
  </si>
  <si>
    <t>bee_count_output/runs/selected/ANU-25-summer-20_20260320_110000_frame_flux.csv</t>
  </si>
  <si>
    <t>bee_count_output/runs/selected/ANU-25-summer-20_20260320_110000_window_3sec.csv</t>
  </si>
  <si>
    <t>ANU-25-summer-20_20260320_120000.mp4</t>
  </si>
  <si>
    <t>videos/ANU-25-summer-20_20260320_120000.mp4</t>
  </si>
  <si>
    <t>bee_count_output/runs/selected/ANU-25-summer-20_20260320_120000_preview.mp4</t>
  </si>
  <si>
    <t>bee_count_output/runs/selected/ANU-25-summer-20_20260320_120000_frame_flux.csv</t>
  </si>
  <si>
    <t>bee_count_output/runs/selected/ANU-25-summer-20_20260320_120000_window_3sec.csv</t>
  </si>
  <si>
    <t>ANU-25-summer-20_20260320_130000.mp4</t>
  </si>
  <si>
    <t>videos/ANU-25-summer-20_20260320_130000.mp4</t>
  </si>
  <si>
    <t>bee_count_output/runs/selected/ANU-25-summer-20_20260320_130000_preview.mp4</t>
  </si>
  <si>
    <t>bee_count_output/runs/selected/ANU-25-summer-20_20260320_130000_frame_flux.csv</t>
  </si>
  <si>
    <t>bee_count_output/runs/selected/ANU-25-summer-20_20260320_130000_window_3sec.csv</t>
  </si>
  <si>
    <t>ANU-25-summer-20_20260320_140000.mp4</t>
  </si>
  <si>
    <t>videos/ANU-25-summer-20_20260320_140000.mp4</t>
  </si>
  <si>
    <t>bee_count_output/runs/selected/ANU-25-summer-20_20260320_140000_preview.mp4</t>
  </si>
  <si>
    <t>bee_count_output/runs/selected/ANU-25-summer-20_20260320_140000_frame_flux.csv</t>
  </si>
  <si>
    <t>bee_count_output/runs/selected/ANU-25-summer-20_20260320_140000_window_3sec.csv</t>
  </si>
  <si>
    <t>ANU-25-summer-20_20260320_150000.mp4</t>
  </si>
  <si>
    <t>videos/ANU-25-summer-20_20260320_150000.mp4</t>
  </si>
  <si>
    <t>bee_count_output/runs/selected/ANU-25-summer-20_20260320_150000_preview.mp4</t>
  </si>
  <si>
    <t>bee_count_output/runs/selected/ANU-25-summer-20_20260320_150000_frame_flux.csv</t>
  </si>
  <si>
    <t>bee_count_output/runs/selected/ANU-25-summer-20_20260320_150000_window_3sec.csv</t>
  </si>
  <si>
    <t>ANU-25-summer-20_20260320_160000.mp4</t>
  </si>
  <si>
    <t>videos/ANU-25-summer-20_20260320_160000.mp4</t>
  </si>
  <si>
    <t>bee_count_output/runs/selected/ANU-25-summer-20_20260320_160000_preview.mp4</t>
  </si>
  <si>
    <t>bee_count_output/runs/selected/ANU-25-summer-20_20260320_160000_frame_flux.csv</t>
  </si>
  <si>
    <t>bee_count_output/runs/selected/ANU-25-summer-20_20260320_160000_window_3sec.csv</t>
  </si>
  <si>
    <t>ANU-25-summer-20_20260320_170000.mp4</t>
  </si>
  <si>
    <t>videos/ANU-25-summer-20_20260320_170000.mp4</t>
  </si>
  <si>
    <t>bee_count_output/runs/selected/ANU-25-summer-20_20260320_170000_preview.mp4</t>
  </si>
  <si>
    <t>bee_count_output/runs/selected/ANU-25-summer-20_20260320_170000_frame_flux.csv</t>
  </si>
  <si>
    <t>bee_count_output/runs/selected/ANU-25-summer-20_20260320_170000_window_3sec.csv</t>
  </si>
  <si>
    <t>ANU-25-summer-20_20260320_180000.mp4</t>
  </si>
  <si>
    <t>videos/ANU-25-summer-20_20260320_180000.mp4</t>
  </si>
  <si>
    <t>bee_count_output/runs/selected/ANU-25-summer-20_20260320_180000_preview.mp4</t>
  </si>
  <si>
    <t>bee_count_output/runs/selected/ANU-25-summer-20_20260320_180000_frame_flux.csv</t>
  </si>
  <si>
    <t>bee_count_output/runs/selected/ANU-25-summer-20_20260320_180000_window_3sec.csv</t>
  </si>
  <si>
    <t>ANU-25-summer-20_20260320_190000.mp4</t>
  </si>
  <si>
    <t>videos/ANU-25-summer-20_20260320_190000.mp4</t>
  </si>
  <si>
    <t>bee_count_output/runs/selected/ANU-25-summer-20_20260320_190000_preview.mp4</t>
  </si>
  <si>
    <t>bee_count_output/runs/selected/ANU-25-summer-20_20260320_190000_frame_flux.csv</t>
  </si>
  <si>
    <t>bee_count_output/runs/selected/ANU-25-summer-20_20260320_190000_window_3sec.csv</t>
  </si>
  <si>
    <t>ANU-25-summer-20_20260321_060000.mp4</t>
  </si>
  <si>
    <t>videos/ANU-25-summer-20_20260321_060000.mp4</t>
  </si>
  <si>
    <t>bee_count_output/runs/selected/ANU-25-summer-20_20260321_060000_preview.mp4</t>
  </si>
  <si>
    <t>bee_count_output/runs/selected/ANU-25-summer-20_20260321_060000_frame_flux.csv</t>
  </si>
  <si>
    <t>bee_count_output/runs/selected/ANU-25-summer-20_20260321_060000_window_3sec.csv</t>
  </si>
  <si>
    <t>ANU-25-summer-20_20260321_070000.mp4</t>
  </si>
  <si>
    <t>videos/ANU-25-summer-20_20260321_070000.mp4</t>
  </si>
  <si>
    <t>bee_count_output/runs/selected/ANU-25-summer-20_20260321_070000_preview.mp4</t>
  </si>
  <si>
    <t>bee_count_output/runs/selected/ANU-25-summer-20_20260321_070000_frame_flux.csv</t>
  </si>
  <si>
    <t>bee_count_output/runs/selected/ANU-25-summer-20_20260321_070000_window_3sec.csv</t>
  </si>
  <si>
    <t>ANU-25-summer-20_20260321_080000.mp4</t>
  </si>
  <si>
    <t>videos/ANU-25-summer-20_20260321_080000.mp4</t>
  </si>
  <si>
    <t>bee_count_output/runs/selected/ANU-25-summer-20_20260321_080000_preview.mp4</t>
  </si>
  <si>
    <t>bee_count_output/runs/selected/ANU-25-summer-20_20260321_080000_frame_flux.csv</t>
  </si>
  <si>
    <t>bee_count_output/runs/selected/ANU-25-summer-20_20260321_080000_window_3sec.csv</t>
  </si>
  <si>
    <t>ANU-25-summer-20_20260321_090000.mp4</t>
  </si>
  <si>
    <t>videos/ANU-25-summer-20_20260321_090000.mp4</t>
  </si>
  <si>
    <t>bee_count_output/runs/selected/ANU-25-summer-20_20260321_090000_preview.mp4</t>
  </si>
  <si>
    <t>bee_count_output/runs/selected/ANU-25-summer-20_20260321_090000_frame_flux.csv</t>
  </si>
  <si>
    <t>bee_count_output/runs/selected/ANU-25-summer-20_20260321_090000_window_3sec.csv</t>
  </si>
  <si>
    <t>ANU-25-summer-20_20260321_100000.mp4</t>
  </si>
  <si>
    <t>videos/ANU-25-summer-20_20260321_100000.mp4</t>
  </si>
  <si>
    <t>bee_count_output/runs/selected/ANU-25-summer-20_20260321_100000_preview.mp4</t>
  </si>
  <si>
    <t>bee_count_output/runs/selected/ANU-25-summer-20_20260321_100000_frame_flux.csv</t>
  </si>
  <si>
    <t>bee_count_output/runs/selected/ANU-25-summer-20_20260321_100000_window_3sec.csv</t>
  </si>
  <si>
    <t>ANU-25-summer-20_20260321_110000.mp4</t>
  </si>
  <si>
    <t>videos/ANU-25-summer-20_20260321_110000.mp4</t>
  </si>
  <si>
    <t>bee_count_output/runs/selected/ANU-25-summer-20_20260321_110000_preview.mp4</t>
  </si>
  <si>
    <t>bee_count_output/runs/selected/ANU-25-summer-20_20260321_110000_frame_flux.csv</t>
  </si>
  <si>
    <t>bee_count_output/runs/selected/ANU-25-summer-20_20260321_110000_window_3sec.csv</t>
  </si>
  <si>
    <t>ANU-25-summer-20_20260321_120000.mp4</t>
  </si>
  <si>
    <t>videos/ANU-25-summer-20_20260321_120000.mp4</t>
  </si>
  <si>
    <t>bee_count_output/runs/selected/ANU-25-summer-20_20260321_120000_preview.mp4</t>
  </si>
  <si>
    <t>bee_count_output/runs/selected/ANU-25-summer-20_20260321_120000_frame_flux.csv</t>
  </si>
  <si>
    <t>bee_count_output/runs/selected/ANU-25-summer-20_20260321_120000_window_3sec.csv</t>
  </si>
  <si>
    <t>ANU-25-summer-20_20260321_130000.mp4</t>
  </si>
  <si>
    <t>videos/ANU-25-summer-20_20260321_130000.mp4</t>
  </si>
  <si>
    <t>bee_count_output/runs/selected/ANU-25-summer-20_20260321_130000_preview.mp4</t>
  </si>
  <si>
    <t>bee_count_output/runs/selected/ANU-25-summer-20_20260321_130000_frame_flux.csv</t>
  </si>
  <si>
    <t>bee_count_output/runs/selected/ANU-25-summer-20_20260321_130000_window_3sec.csv</t>
  </si>
  <si>
    <t>ANU-25-summer-20_20260321_140000.mp4</t>
  </si>
  <si>
    <t>videos/ANU-25-summer-20_20260321_140000.mp4</t>
  </si>
  <si>
    <t>bee_count_output/runs/selected/ANU-25-summer-20_20260321_140000_preview.mp4</t>
  </si>
  <si>
    <t>bee_count_output/runs/selected/ANU-25-summer-20_20260321_140000_frame_flux.csv</t>
  </si>
  <si>
    <t>bee_count_output/runs/selected/ANU-25-summer-20_20260321_140000_window_3sec.csv</t>
  </si>
  <si>
    <t>ANU-25-summer-20_20260321_150000.mp4</t>
  </si>
  <si>
    <t>videos/ANU-25-summer-20_20260321_150000.mp4</t>
  </si>
  <si>
    <t>bee_count_output/runs/selected/ANU-25-summer-20_20260321_150000_preview.mp4</t>
  </si>
  <si>
    <t>bee_count_output/runs/selected/ANU-25-summer-20_20260321_150000_frame_flux.csv</t>
  </si>
  <si>
    <t>bee_count_output/runs/selected/ANU-25-summer-20_20260321_150000_window_3sec.csv</t>
  </si>
  <si>
    <t>ANU-25-summer-20_20260321_160000.mp4</t>
  </si>
  <si>
    <t>videos/ANU-25-summer-20_20260321_160000.mp4</t>
  </si>
  <si>
    <t>bee_count_output/runs/selected/ANU-25-summer-20_20260321_160000_preview.mp4</t>
  </si>
  <si>
    <t>bee_count_output/runs/selected/ANU-25-summer-20_20260321_160000_frame_flux.csv</t>
  </si>
  <si>
    <t>bee_count_output/runs/selected/ANU-25-summer-20_20260321_160000_window_3sec.csv</t>
  </si>
  <si>
    <t>ANU-25-summer-20_20260321_170000.mp4</t>
  </si>
  <si>
    <t>videos/ANU-25-summer-20_20260321_170000.mp4</t>
  </si>
  <si>
    <t>bee_count_output/runs/selected/ANU-25-summer-20_20260321_170000_preview.mp4</t>
  </si>
  <si>
    <t>bee_count_output/runs/selected/ANU-25-summer-20_20260321_170000_frame_flux.csv</t>
  </si>
  <si>
    <t>bee_count_output/runs/selected/ANU-25-summer-20_20260321_170000_window_3sec.csv</t>
  </si>
  <si>
    <t>ANU-25-summer-20_20260321_180000.mp4</t>
  </si>
  <si>
    <t>videos/ANU-25-summer-20_20260321_180000.mp4</t>
  </si>
  <si>
    <t>bee_count_output/runs/selected/ANU-25-summer-20_20260321_180000_preview.mp4</t>
  </si>
  <si>
    <t>bee_count_output/runs/selected/ANU-25-summer-20_20260321_180000_frame_flux.csv</t>
  </si>
  <si>
    <t>bee_count_output/runs/selected/ANU-25-summer-20_20260321_180000_window_3sec.csv</t>
  </si>
  <si>
    <t>ANU-25-summer-20_20260321_190000.mp4</t>
  </si>
  <si>
    <t>videos/ANU-25-summer-20_20260321_190000.mp4</t>
  </si>
  <si>
    <t>bee_count_output/runs/selected/ANU-25-summer-20_20260321_190000_preview.mp4</t>
  </si>
  <si>
    <t>bee_count_output/runs/selected/ANU-25-summer-20_20260321_190000_frame_flux.csv</t>
  </si>
  <si>
    <t>bee_count_output/runs/selected/ANU-25-summer-20_20260321_190000_window_3sec.csv</t>
  </si>
  <si>
    <t>ANU-25-summer-20_20260322_060000.mp4</t>
  </si>
  <si>
    <t>videos/ANU-25-summer-20_20260322_060000.mp4</t>
  </si>
  <si>
    <t>bee_count_output/runs/selected/ANU-25-summer-20_20260322_060000_preview.mp4</t>
  </si>
  <si>
    <t>bee_count_output/runs/selected/ANU-25-summer-20_20260322_060000_frame_flux.csv</t>
  </si>
  <si>
    <t>bee_count_output/runs/selected/ANU-25-summer-20_20260322_060000_window_3sec.csv</t>
  </si>
  <si>
    <t>ANU-25-summer-20_20260322_070000.mp4</t>
  </si>
  <si>
    <t>videos/ANU-25-summer-20_20260322_070000.mp4</t>
  </si>
  <si>
    <t>bee_count_output/runs/selected/ANU-25-summer-20_20260322_070000_preview.mp4</t>
  </si>
  <si>
    <t>bee_count_output/runs/selected/ANU-25-summer-20_20260322_070000_frame_flux.csv</t>
  </si>
  <si>
    <t>bee_count_output/runs/selected/ANU-25-summer-20_20260322_070000_window_3sec.csv</t>
  </si>
  <si>
    <t>ANU-25-summer-20_20260322_080000.mp4</t>
  </si>
  <si>
    <t>videos/ANU-25-summer-20_20260322_080000.mp4</t>
  </si>
  <si>
    <t>bee_count_output/runs/selected/ANU-25-summer-20_20260322_080000_preview.mp4</t>
  </si>
  <si>
    <t>bee_count_output/runs/selected/ANU-25-summer-20_20260322_080000_frame_flux.csv</t>
  </si>
  <si>
    <t>bee_count_output/runs/selected/ANU-25-summer-20_20260322_080000_window_3sec.csv</t>
  </si>
  <si>
    <t>ANU-25-summer-20_20260322_090000.mp4</t>
  </si>
  <si>
    <t>videos/ANU-25-summer-20_20260322_090000.mp4</t>
  </si>
  <si>
    <t>bee_count_output/runs/selected/ANU-25-summer-20_20260322_090000_preview.mp4</t>
  </si>
  <si>
    <t>bee_count_output/runs/selected/ANU-25-summer-20_20260322_090000_frame_flux.csv</t>
  </si>
  <si>
    <t>bee_count_output/runs/selected/ANU-25-summer-20_20260322_090000_window_3sec.csv</t>
  </si>
  <si>
    <t>ANU-25-summer-20_20260322_100000.mp4</t>
  </si>
  <si>
    <t>videos/ANU-25-summer-20_20260322_100000.mp4</t>
  </si>
  <si>
    <t>bee_count_output/runs/selected/ANU-25-summer-20_20260322_100000_preview.mp4</t>
  </si>
  <si>
    <t>bee_count_output/runs/selected/ANU-25-summer-20_20260322_100000_frame_flux.csv</t>
  </si>
  <si>
    <t>bee_count_output/runs/selected/ANU-25-summer-20_20260322_100000_window_3sec.csv</t>
  </si>
  <si>
    <t>ANU-25-summer-20_20260322_110000.mp4</t>
  </si>
  <si>
    <t>videos/ANU-25-summer-20_20260322_110000.mp4</t>
  </si>
  <si>
    <t>bee_count_output/runs/selected/ANU-25-summer-20_20260322_110000_preview.mp4</t>
  </si>
  <si>
    <t>bee_count_output/runs/selected/ANU-25-summer-20_20260322_110000_frame_flux.csv</t>
  </si>
  <si>
    <t>bee_count_output/runs/selected/ANU-25-summer-20_20260322_110000_window_3sec.csv</t>
  </si>
  <si>
    <t>ANU-25-summer-20_20260322_120000.mp4</t>
  </si>
  <si>
    <t>videos/ANU-25-summer-20_20260322_120000.mp4</t>
  </si>
  <si>
    <t>bee_count_output/runs/selected/ANU-25-summer-20_20260322_120000_preview.mp4</t>
  </si>
  <si>
    <t>bee_count_output/runs/selected/ANU-25-summer-20_20260322_120000_frame_flux.csv</t>
  </si>
  <si>
    <t>bee_count_output/runs/selected/ANU-25-summer-20_20260322_120000_window_3sec.csv</t>
  </si>
  <si>
    <t>ANU-25-summer-20_20260322_130000.mp4</t>
  </si>
  <si>
    <t>videos/ANU-25-summer-20_20260322_130000.mp4</t>
  </si>
  <si>
    <t>bee_count_output/runs/selected/ANU-25-summer-20_20260322_130000_preview.mp4</t>
  </si>
  <si>
    <t>bee_count_output/runs/selected/ANU-25-summer-20_20260322_130000_frame_flux.csv</t>
  </si>
  <si>
    <t>bee_count_output/runs/selected/ANU-25-summer-20_20260322_130000_window_3sec.csv</t>
  </si>
  <si>
    <t>ANU-25-summer-20_20260322_140000.mp4</t>
  </si>
  <si>
    <t>videos/ANU-25-summer-20_20260322_140000.mp4</t>
  </si>
  <si>
    <t>bee_count_output/runs/selected/ANU-25-summer-20_20260322_140000_preview.mp4</t>
  </si>
  <si>
    <t>bee_count_output/runs/selected/ANU-25-summer-20_20260322_140000_frame_flux.csv</t>
  </si>
  <si>
    <t>bee_count_output/runs/selected/ANU-25-summer-20_20260322_140000_window_3sec.csv</t>
  </si>
  <si>
    <t>ANU-25-summer-20_20260322_150000.mp4</t>
  </si>
  <si>
    <t>videos/ANU-25-summer-20_20260322_150000.mp4</t>
  </si>
  <si>
    <t>bee_count_output/runs/selected/ANU-25-summer-20_20260322_150000_preview.mp4</t>
  </si>
  <si>
    <t>bee_count_output/runs/selected/ANU-25-summer-20_20260322_150000_frame_flux.csv</t>
  </si>
  <si>
    <t>bee_count_output/runs/selected/ANU-25-summer-20_20260322_150000_window_3sec.csv</t>
  </si>
  <si>
    <t>ANU-25-summer-20_20260322_160000.mp4</t>
  </si>
  <si>
    <t>videos/ANU-25-summer-20_20260322_160000.mp4</t>
  </si>
  <si>
    <t>bee_count_output/runs/selected/ANU-25-summer-20_20260322_160000_preview.mp4</t>
  </si>
  <si>
    <t>bee_count_output/runs/selected/ANU-25-summer-20_20260322_160000_frame_flux.csv</t>
  </si>
  <si>
    <t>bee_count_output/runs/selected/ANU-25-summer-20_20260322_160000_window_3sec.csv</t>
  </si>
  <si>
    <t>ANU-25-summer-20_20260322_170000.mp4</t>
  </si>
  <si>
    <t>videos/ANU-25-summer-20_20260322_170000.mp4</t>
  </si>
  <si>
    <t>bee_count_output/runs/selected/ANU-25-summer-20_20260322_170000_preview.mp4</t>
  </si>
  <si>
    <t>bee_count_output/runs/selected/ANU-25-summer-20_20260322_170000_frame_flux.csv</t>
  </si>
  <si>
    <t>bee_count_output/runs/selected/ANU-25-summer-20_20260322_170000_window_3sec.csv</t>
  </si>
  <si>
    <t>ANU-25-summer-20_20260322_180000.mp4</t>
  </si>
  <si>
    <t>videos/ANU-25-summer-20_20260322_180000.mp4</t>
  </si>
  <si>
    <t>bee_count_output/runs/selected/ANU-25-summer-20_20260322_180000_preview.mp4</t>
  </si>
  <si>
    <t>bee_count_output/runs/selected/ANU-25-summer-20_20260322_180000_frame_flux.csv</t>
  </si>
  <si>
    <t>bee_count_output/runs/selected/ANU-25-summer-20_20260322_180000_window_3sec.csv</t>
  </si>
  <si>
    <t>ANU-25-summer-20_20260322_190000.mp4</t>
  </si>
  <si>
    <t>videos/ANU-25-summer-20_20260322_190000.mp4</t>
  </si>
  <si>
    <t>bee_count_output/runs/selected/ANU-25-summer-20_20260322_190000_preview.mp4</t>
  </si>
  <si>
    <t>bee_count_output/runs/selected/ANU-25-summer-20_20260322_190000_frame_flux.csv</t>
  </si>
  <si>
    <t>bee_count_output/runs/selected/ANU-25-summer-20_20260322_190000_window_3sec.csv</t>
  </si>
  <si>
    <t>ANU-25-summer-20_20260323_060000.mp4</t>
  </si>
  <si>
    <t>videos/ANU-25-summer-20_20260323_060000.mp4</t>
  </si>
  <si>
    <t>bee_count_output/runs/selected/ANU-25-summer-20_20260323_060000_preview.mp4</t>
  </si>
  <si>
    <t>bee_count_output/runs/selected/ANU-25-summer-20_20260323_060000_frame_flux.csv</t>
  </si>
  <si>
    <t>bee_count_output/runs/selected/ANU-25-summer-20_20260323_060000_window_3sec.csv</t>
  </si>
  <si>
    <t>ANU-25-summer-20_20260323_070000.mp4</t>
  </si>
  <si>
    <t>videos/ANU-25-summer-20_20260323_070000.mp4</t>
  </si>
  <si>
    <t>bee_count_output/runs/selected/ANU-25-summer-20_20260323_070000_preview.mp4</t>
  </si>
  <si>
    <t>bee_count_output/runs/selected/ANU-25-summer-20_20260323_070000_frame_flux.csv</t>
  </si>
  <si>
    <t>bee_count_output/runs/selected/ANU-25-summer-20_20260323_070000_window_3sec.csv</t>
  </si>
  <si>
    <t>ANU-25-summer-20_20260323_080000.mp4</t>
  </si>
  <si>
    <t>videos/ANU-25-summer-20_20260323_080000.mp4</t>
  </si>
  <si>
    <t>bee_count_output/runs/selected/ANU-25-summer-20_20260323_080000_preview.mp4</t>
  </si>
  <si>
    <t>bee_count_output/runs/selected/ANU-25-summer-20_20260323_080000_frame_flux.csv</t>
  </si>
  <si>
    <t>bee_count_output/runs/selected/ANU-25-summer-20_20260323_080000_window_3sec.csv</t>
  </si>
  <si>
    <t>ANU-25-summer-20_20260323_090000.mp4</t>
  </si>
  <si>
    <t>videos/ANU-25-summer-20_20260323_090000.mp4</t>
  </si>
  <si>
    <t>bee_count_output/runs/selected/ANU-25-summer-20_20260323_090000_preview.mp4</t>
  </si>
  <si>
    <t>bee_count_output/runs/selected/ANU-25-summer-20_20260323_090000_frame_flux.csv</t>
  </si>
  <si>
    <t>bee_count_output/runs/selected/ANU-25-summer-20_20260323_090000_window_3sec.csv</t>
  </si>
  <si>
    <t>ANU-25-summer-20_20260323_100000.mp4</t>
  </si>
  <si>
    <t>videos/ANU-25-summer-20_20260323_100000.mp4</t>
  </si>
  <si>
    <t>bee_count_output/runs/selected/ANU-25-summer-20_20260323_100000_preview.mp4</t>
  </si>
  <si>
    <t>bee_count_output/runs/selected/ANU-25-summer-20_20260323_100000_frame_flux.csv</t>
  </si>
  <si>
    <t>bee_count_output/runs/selected/ANU-25-summer-20_20260323_100000_window_3sec.csv</t>
  </si>
  <si>
    <t>ANU-25-summer-20_20260323_110000.mp4</t>
  </si>
  <si>
    <t>videos/ANU-25-summer-20_20260323_110000.mp4</t>
  </si>
  <si>
    <t>bee_count_output/runs/selected/ANU-25-summer-20_20260323_110000_preview.mp4</t>
  </si>
  <si>
    <t>bee_count_output/runs/selected/ANU-25-summer-20_20260323_110000_frame_flux.csv</t>
  </si>
  <si>
    <t>bee_count_output/runs/selected/ANU-25-summer-20_20260323_110000_window_3sec.csv</t>
  </si>
  <si>
    <t>ANU-25-summer-20_20260323_120000.mp4</t>
  </si>
  <si>
    <t>videos/ANU-25-summer-20_20260323_120000.mp4</t>
  </si>
  <si>
    <t>bee_count_output/runs/selected/ANU-25-summer-20_20260323_120000_preview.mp4</t>
  </si>
  <si>
    <t>bee_count_output/runs/selected/ANU-25-summer-20_20260323_120000_frame_flux.csv</t>
  </si>
  <si>
    <t>bee_count_output/runs/selected/ANU-25-summer-20_20260323_120000_window_3sec.csv</t>
  </si>
  <si>
    <t>ANU-25-summer-20_20260323_130000.mp4</t>
  </si>
  <si>
    <t>videos/ANU-25-summer-20_20260323_130000.mp4</t>
  </si>
  <si>
    <t>bee_count_output/runs/selected/ANU-25-summer-20_20260323_130000_preview.mp4</t>
  </si>
  <si>
    <t>bee_count_output/runs/selected/ANU-25-summer-20_20260323_130000_frame_flux.csv</t>
  </si>
  <si>
    <t>bee_count_output/runs/selected/ANU-25-summer-20_20260323_130000_window_3sec.csv</t>
  </si>
  <si>
    <t>ANU-25-summer-20_20260323_140000.mp4</t>
  </si>
  <si>
    <t>videos/ANU-25-summer-20_20260323_140000.mp4</t>
  </si>
  <si>
    <t>bee_count_output/runs/selected/ANU-25-summer-20_20260323_140000_preview.mp4</t>
  </si>
  <si>
    <t>bee_count_output/runs/selected/ANU-25-summer-20_20260323_140000_frame_flux.csv</t>
  </si>
  <si>
    <t>bee_count_output/runs/selected/ANU-25-summer-20_20260323_140000_window_3sec.csv</t>
  </si>
  <si>
    <t>ANU-25-summer-20_20260323_150000.mp4</t>
  </si>
  <si>
    <t>videos/ANU-25-summer-20_20260323_150000.mp4</t>
  </si>
  <si>
    <t>bee_count_output/runs/selected/ANU-25-summer-20_20260323_150000_preview.mp4</t>
  </si>
  <si>
    <t>bee_count_output/runs/selected/ANU-25-summer-20_20260323_150000_frame_flux.csv</t>
  </si>
  <si>
    <t>bee_count_output/runs/selected/ANU-25-summer-20_20260323_150000_window_3sec.csv</t>
  </si>
  <si>
    <t>ANU-25-summer-20_20260323_160000.mp4</t>
  </si>
  <si>
    <t>videos/ANU-25-summer-20_20260323_160000.mp4</t>
  </si>
  <si>
    <t>bee_count_output/runs/selected/ANU-25-summer-20_20260323_160000_preview.mp4</t>
  </si>
  <si>
    <t>bee_count_output/runs/selected/ANU-25-summer-20_20260323_160000_frame_flux.csv</t>
  </si>
  <si>
    <t>bee_count_output/runs/selected/ANU-25-summer-20_20260323_160000_window_3sec.csv</t>
  </si>
  <si>
    <t>ANU-25-summer-20_20260323_170000.mp4</t>
  </si>
  <si>
    <t>videos/ANU-25-summer-20_20260323_170000.mp4</t>
  </si>
  <si>
    <t>bee_count_output/runs/selected/ANU-25-summer-20_20260323_170000_preview.mp4</t>
  </si>
  <si>
    <t>bee_count_output/runs/selected/ANU-25-summer-20_20260323_170000_frame_flux.csv</t>
  </si>
  <si>
    <t>bee_count_output/runs/selected/ANU-25-summer-20_20260323_170000_window_3sec.csv</t>
  </si>
  <si>
    <t>ANU-25-summer-20_20260323_180000.mp4</t>
  </si>
  <si>
    <t>videos/ANU-25-summer-20_20260323_180000.mp4</t>
  </si>
  <si>
    <t>bee_count_output/runs/selected/ANU-25-summer-20_20260323_180000_preview.mp4</t>
  </si>
  <si>
    <t>bee_count_output/runs/selected/ANU-25-summer-20_20260323_180000_frame_flux.csv</t>
  </si>
  <si>
    <t>bee_count_output/runs/selected/ANU-25-summer-20_20260323_180000_window_3sec.csv</t>
  </si>
  <si>
    <t>ANU-25-summer-20_20260323_190000.mp4</t>
  </si>
  <si>
    <t>videos/ANU-25-summer-20_20260323_190000.mp4</t>
  </si>
  <si>
    <t>bee_count_output/runs/selected/ANU-25-summer-20_20260323_190000_preview.mp4</t>
  </si>
  <si>
    <t>bee_count_output/runs/selected/ANU-25-summer-20_20260323_190000_frame_flux.csv</t>
  </si>
  <si>
    <t>bee_count_output/runs/selected/ANU-25-summer-20_20260323_190000_window_3sec.csv</t>
  </si>
  <si>
    <t>ANU-25-summer-20_20260324_060000.mp4</t>
  </si>
  <si>
    <t>videos/ANU-25-summer-20_20260324_060000.mp4</t>
  </si>
  <si>
    <t>bee_count_output/runs/selected/ANU-25-summer-20_20260324_060000_preview.mp4</t>
  </si>
  <si>
    <t>bee_count_output/runs/selected/ANU-25-summer-20_20260324_060000_frame_flux.csv</t>
  </si>
  <si>
    <t>bee_count_output/runs/selected/ANU-25-summer-20_20260324_060000_window_3sec.csv</t>
  </si>
  <si>
    <t>ANU-25-summer-20_20260324_070000.mp4</t>
  </si>
  <si>
    <t>videos/ANU-25-summer-20_20260324_070000.mp4</t>
  </si>
  <si>
    <t>bee_count_output/runs/selected/ANU-25-summer-20_20260324_070000_preview.mp4</t>
  </si>
  <si>
    <t>bee_count_output/runs/selected/ANU-25-summer-20_20260324_070000_frame_flux.csv</t>
  </si>
  <si>
    <t>bee_count_output/runs/selected/ANU-25-summer-20_20260324_070000_window_3sec.csv</t>
  </si>
  <si>
    <t>ANU-25-summer-20_20260324_080000.mp4</t>
  </si>
  <si>
    <t>videos/ANU-25-summer-20_20260324_080000.mp4</t>
  </si>
  <si>
    <t>bee_count_output/runs/selected/ANU-25-summer-20_20260324_080000_preview.mp4</t>
  </si>
  <si>
    <t>bee_count_output/runs/selected/ANU-25-summer-20_20260324_080000_frame_flux.csv</t>
  </si>
  <si>
    <t>bee_count_output/runs/selected/ANU-25-summer-20_20260324_080000_window_3sec.csv</t>
  </si>
  <si>
    <t>ANU-25-summer-20_20260324_090000.mp4</t>
  </si>
  <si>
    <t>videos/ANU-25-summer-20_20260324_090000.mp4</t>
  </si>
  <si>
    <t>bee_count_output/runs/selected/ANU-25-summer-20_20260324_090000_preview.mp4</t>
  </si>
  <si>
    <t>bee_count_output/runs/selected/ANU-25-summer-20_20260324_090000_frame_flux.csv</t>
  </si>
  <si>
    <t>bee_count_output/runs/selected/ANU-25-summer-20_20260324_090000_window_3sec.csv</t>
  </si>
  <si>
    <t>ANU-25-summer-20_20260324_100000.mp4</t>
  </si>
  <si>
    <t>videos/ANU-25-summer-20_20260324_100000.mp4</t>
  </si>
  <si>
    <t>bee_count_output/runs/selected/ANU-25-summer-20_20260324_100000_preview.mp4</t>
  </si>
  <si>
    <t>bee_count_output/runs/selected/ANU-25-summer-20_20260324_100000_frame_flux.csv</t>
  </si>
  <si>
    <t>bee_count_output/runs/selected/ANU-25-summer-20_20260324_100000_window_3sec.csv</t>
  </si>
  <si>
    <t>ANU-25-summer-20_20260324_110000.mp4</t>
  </si>
  <si>
    <t>videos/ANU-25-summer-20_20260324_110000.mp4</t>
  </si>
  <si>
    <t>bee_count_output/runs/selected/ANU-25-summer-20_20260324_110000_preview.mp4</t>
  </si>
  <si>
    <t>bee_count_output/runs/selected/ANU-25-summer-20_20260324_110000_frame_flux.csv</t>
  </si>
  <si>
    <t>bee_count_output/runs/selected/ANU-25-summer-20_20260324_110000_window_3sec.csv</t>
  </si>
  <si>
    <t>ANU-25-summer-20_20260324_120000.mp4</t>
  </si>
  <si>
    <t>videos/ANU-25-summer-20_20260324_120000.mp4</t>
  </si>
  <si>
    <t>bee_count_output/runs/selected/ANU-25-summer-20_20260324_120000_preview.mp4</t>
  </si>
  <si>
    <t>bee_count_output/runs/selected/ANU-25-summer-20_20260324_120000_frame_flux.csv</t>
  </si>
  <si>
    <t>bee_count_output/runs/selected/ANU-25-summer-20_20260324_120000_window_3sec.csv</t>
  </si>
  <si>
    <t>ANU-25-summer-20_20260324_130000.mp4</t>
  </si>
  <si>
    <t>videos/ANU-25-summer-20_20260324_130000.mp4</t>
  </si>
  <si>
    <t>bee_count_output/runs/selected/ANU-25-summer-20_20260324_130000_preview.mp4</t>
  </si>
  <si>
    <t>bee_count_output/runs/selected/ANU-25-summer-20_20260324_130000_frame_flux.csv</t>
  </si>
  <si>
    <t>bee_count_output/runs/selected/ANU-25-summer-20_20260324_130000_window_3sec.csv</t>
  </si>
  <si>
    <t>ANU-25-summer-20_20260324_140000.mp4</t>
  </si>
  <si>
    <t>videos/ANU-25-summer-20_20260324_140000.mp4</t>
  </si>
  <si>
    <t>bee_count_output/runs/selected/ANU-25-summer-20_20260324_140000_preview.mp4</t>
  </si>
  <si>
    <t>bee_count_output/runs/selected/ANU-25-summer-20_20260324_140000_frame_flux.csv</t>
  </si>
  <si>
    <t>bee_count_output/runs/selected/ANU-25-summer-20_20260324_140000_window_3sec.csv</t>
  </si>
  <si>
    <t>ANU-25-summer-20_20260324_150000.mp4</t>
  </si>
  <si>
    <t>videos/ANU-25-summer-20_20260324_150000.mp4</t>
  </si>
  <si>
    <t>bee_count_output/runs/selected/ANU-25-summer-20_20260324_150000_preview.mp4</t>
  </si>
  <si>
    <t>bee_count_output/runs/selected/ANU-25-summer-20_20260324_150000_frame_flux.csv</t>
  </si>
  <si>
    <t>bee_count_output/runs/selected/ANU-25-summer-20_20260324_150000_window_3sec.csv</t>
  </si>
  <si>
    <t>ANU-25-summer-20_20260324_160000.mp4</t>
  </si>
  <si>
    <t>videos/ANU-25-summer-20_20260324_160000.mp4</t>
  </si>
  <si>
    <t>bee_count_output/runs/selected/ANU-25-summer-20_20260324_160000_preview.mp4</t>
  </si>
  <si>
    <t>bee_count_output/runs/selected/ANU-25-summer-20_20260324_160000_frame_flux.csv</t>
  </si>
  <si>
    <t>bee_count_output/runs/selected/ANU-25-summer-20_20260324_160000_window_3sec.csv</t>
  </si>
  <si>
    <t>ANU-25-summer-20_20260324_170000.mp4</t>
  </si>
  <si>
    <t>videos/ANU-25-summer-20_20260324_170000.mp4</t>
  </si>
  <si>
    <t>bee_count_output/runs/selected/ANU-25-summer-20_20260324_170000_preview.mp4</t>
  </si>
  <si>
    <t>bee_count_output/runs/selected/ANU-25-summer-20_20260324_170000_frame_flux.csv</t>
  </si>
  <si>
    <t>bee_count_output/runs/selected/ANU-25-summer-20_20260324_170000_window_3sec.csv</t>
  </si>
  <si>
    <t>ANU-25-summer-20_20260324_180000.mp4</t>
  </si>
  <si>
    <t>videos/ANU-25-summer-20_20260324_180000.mp4</t>
  </si>
  <si>
    <t>bee_count_output/runs/selected/ANU-25-summer-20_20260324_180000_preview.mp4</t>
  </si>
  <si>
    <t>bee_count_output/runs/selected/ANU-25-summer-20_20260324_180000_frame_flux.csv</t>
  </si>
  <si>
    <t>bee_count_output/runs/selected/ANU-25-summer-20_20260324_180000_window_3sec.csv</t>
  </si>
  <si>
    <t>ANU-25-summer-20_20260324_190000.mp4</t>
  </si>
  <si>
    <t>videos/ANU-25-summer-20_20260324_190000.mp4</t>
  </si>
  <si>
    <t>bee_count_output/runs/selected/ANU-25-summer-20_20260324_190000_preview.mp4</t>
  </si>
  <si>
    <t>bee_count_output/runs/selected/ANU-25-summer-20_20260324_190000_frame_flux.csv</t>
  </si>
  <si>
    <t>bee_count_output/runs/selected/ANU-25-summer-20_20260324_190000_window_3sec.csv</t>
  </si>
  <si>
    <t>ANU-25-summer-20_20260325_060000.mp4</t>
  </si>
  <si>
    <t>videos/ANU-25-summer-20_20260325_060000.mp4</t>
  </si>
  <si>
    <t>bee_count_output/runs/selected/ANU-25-summer-20_20260325_060000_preview.mp4</t>
  </si>
  <si>
    <t>bee_count_output/runs/selected/ANU-25-summer-20_20260325_060000_frame_flux.csv</t>
  </si>
  <si>
    <t>bee_count_output/runs/selected/ANU-25-summer-20_20260325_060000_window_3sec.csv</t>
  </si>
  <si>
    <t>ANU-25-summer-20_20260325_070000.mp4</t>
  </si>
  <si>
    <t>videos/ANU-25-summer-20_20260325_070000.mp4</t>
  </si>
  <si>
    <t>bee_count_output/runs/selected/ANU-25-summer-20_20260325_070000_preview.mp4</t>
  </si>
  <si>
    <t>bee_count_output/runs/selected/ANU-25-summer-20_20260325_070000_frame_flux.csv</t>
  </si>
  <si>
    <t>bee_count_output/runs/selected/ANU-25-summer-20_20260325_070000_window_3sec.csv</t>
  </si>
  <si>
    <t>ANU-25-summer-20_20260325_080000.mp4</t>
  </si>
  <si>
    <t>videos/ANU-25-summer-20_20260325_080000.mp4</t>
  </si>
  <si>
    <t>bee_count_output/runs/selected/ANU-25-summer-20_20260325_080000_preview.mp4</t>
  </si>
  <si>
    <t>bee_count_output/runs/selected/ANU-25-summer-20_20260325_080000_frame_flux.csv</t>
  </si>
  <si>
    <t>bee_count_output/runs/selected/ANU-25-summer-20_20260325_080000_window_3sec.csv</t>
  </si>
  <si>
    <t>ANU-25-summer-20_20260325_090000.mp4</t>
  </si>
  <si>
    <t>videos/ANU-25-summer-20_20260325_090000.mp4</t>
  </si>
  <si>
    <t>bee_count_output/runs/selected/ANU-25-summer-20_20260325_090000_preview.mp4</t>
  </si>
  <si>
    <t>bee_count_output/runs/selected/ANU-25-summer-20_20260325_090000_frame_flux.csv</t>
  </si>
  <si>
    <t>bee_count_output/runs/selected/ANU-25-summer-20_20260325_090000_window_3sec.csv</t>
  </si>
  <si>
    <t>ANU-25-summer-20_20260325_100000.mp4</t>
  </si>
  <si>
    <t>videos/ANU-25-summer-20_20260325_100000.mp4</t>
  </si>
  <si>
    <t>bee_count_output/runs/selected/ANU-25-summer-20_20260325_100000_preview.mp4</t>
  </si>
  <si>
    <t>bee_count_output/runs/selected/ANU-25-summer-20_20260325_100000_frame_flux.csv</t>
  </si>
  <si>
    <t>bee_count_output/runs/selected/ANU-25-summer-20_20260325_100000_window_3sec.csv</t>
  </si>
  <si>
    <t>ANU-25-summer-20_20260325_110000.mp4</t>
  </si>
  <si>
    <t>videos/ANU-25-summer-20_20260325_110000.mp4</t>
  </si>
  <si>
    <t>bee_count_output/runs/selected/ANU-25-summer-20_20260325_110000_preview.mp4</t>
  </si>
  <si>
    <t>bee_count_output/runs/selected/ANU-25-summer-20_20260325_110000_frame_flux.csv</t>
  </si>
  <si>
    <t>bee_count_output/runs/selected/ANU-25-summer-20_20260325_110000_window_3sec.csv</t>
  </si>
  <si>
    <t>ANU-25-summer-20_20260325_120000.mp4</t>
  </si>
  <si>
    <t>videos/ANU-25-summer-20_20260325_120000.mp4</t>
  </si>
  <si>
    <t>bee_count_output/runs/selected/ANU-25-summer-20_20260325_120000_preview.mp4</t>
  </si>
  <si>
    <t>bee_count_output/runs/selected/ANU-25-summer-20_20260325_120000_frame_flux.csv</t>
  </si>
  <si>
    <t>bee_count_output/runs/selected/ANU-25-summer-20_20260325_120000_window_3sec.csv</t>
  </si>
  <si>
    <t>ANU-25-summer-20_20260325_130000.mp4</t>
  </si>
  <si>
    <t>videos/ANU-25-summer-20_20260325_130000.mp4</t>
  </si>
  <si>
    <t>bee_count_output/runs/selected/ANU-25-summer-20_20260325_130000_preview.mp4</t>
  </si>
  <si>
    <t>bee_count_output/runs/selected/ANU-25-summer-20_20260325_130000_frame_flux.csv</t>
  </si>
  <si>
    <t>bee_count_output/runs/selected/ANU-25-summer-20_20260325_130000_window_3sec.csv</t>
  </si>
  <si>
    <t>ANU-25-summer-20_20260325_140000.mp4</t>
  </si>
  <si>
    <t>videos/ANU-25-summer-20_20260325_140000.mp4</t>
  </si>
  <si>
    <t>bee_count_output/runs/selected/ANU-25-summer-20_20260325_140000_preview.mp4</t>
  </si>
  <si>
    <t>bee_count_output/runs/selected/ANU-25-summer-20_20260325_140000_frame_flux.csv</t>
  </si>
  <si>
    <t>bee_count_output/runs/selected/ANU-25-summer-20_20260325_140000_window_3sec.csv</t>
  </si>
  <si>
    <t>ANU-25-summer-20_20260325_150000.mp4</t>
  </si>
  <si>
    <t>videos/ANU-25-summer-20_20260325_150000.mp4</t>
  </si>
  <si>
    <t>bee_count_output/runs/selected/ANU-25-summer-20_20260325_150000_preview.mp4</t>
  </si>
  <si>
    <t>bee_count_output/runs/selected/ANU-25-summer-20_20260325_150000_frame_flux.csv</t>
  </si>
  <si>
    <t>bee_count_output/runs/selected/ANU-25-summer-20_20260325_150000_window_3sec.csv</t>
  </si>
  <si>
    <t>ANU-25-summer-20_20260325_160000.mp4</t>
  </si>
  <si>
    <t>videos/ANU-25-summer-20_20260325_160000.mp4</t>
  </si>
  <si>
    <t>bee_count_output/runs/selected/ANU-25-summer-20_20260325_160000_preview.mp4</t>
  </si>
  <si>
    <t>bee_count_output/runs/selected/ANU-25-summer-20_20260325_160000_frame_flux.csv</t>
  </si>
  <si>
    <t>bee_count_output/runs/selected/ANU-25-summer-20_20260325_160000_window_3sec.csv</t>
  </si>
  <si>
    <t>ANU-25-summer-20_20260325_170000.mp4</t>
  </si>
  <si>
    <t>videos/ANU-25-summer-20_20260325_170000.mp4</t>
  </si>
  <si>
    <t>bee_count_output/runs/selected/ANU-25-summer-20_20260325_170000_preview.mp4</t>
  </si>
  <si>
    <t>bee_count_output/runs/selected/ANU-25-summer-20_20260325_170000_frame_flux.csv</t>
  </si>
  <si>
    <t>bee_count_output/runs/selected/ANU-25-summer-20_20260325_170000_window_3sec.csv</t>
  </si>
  <si>
    <t>ANU-25-summer-20_20260325_180000.mp4</t>
  </si>
  <si>
    <t>videos/ANU-25-summer-20_20260325_180000.mp4</t>
  </si>
  <si>
    <t>bee_count_output/runs/selected/ANU-25-summer-20_20260325_180000_preview.mp4</t>
  </si>
  <si>
    <t>bee_count_output/runs/selected/ANU-25-summer-20_20260325_180000_frame_flux.csv</t>
  </si>
  <si>
    <t>bee_count_output/runs/selected/ANU-25-summer-20_20260325_180000_window_3sec.csv</t>
  </si>
  <si>
    <t>ANU-25-summer-20_20260325_190000.mp4</t>
  </si>
  <si>
    <t>videos/ANU-25-summer-20_20260325_190000.mp4</t>
  </si>
  <si>
    <t>bee_count_output/runs/selected/ANU-25-summer-20_20260325_190000_preview.mp4</t>
  </si>
  <si>
    <t>bee_count_output/runs/selected/ANU-25-summer-20_20260325_190000_frame_flux.csv</t>
  </si>
  <si>
    <t>bee_count_output/runs/selected/ANU-25-summer-20_20260325_190000_window_3sec.csv</t>
  </si>
  <si>
    <t>ANU-25-summer-20_20260326_060000.mp4</t>
  </si>
  <si>
    <t>videos/ANU-25-summer-20_20260326_060000.mp4</t>
  </si>
  <si>
    <t>bee_count_output/runs/selected/ANU-25-summer-20_20260326_060000_preview.mp4</t>
  </si>
  <si>
    <t>bee_count_output/runs/selected/ANU-25-summer-20_20260326_060000_frame_flux.csv</t>
  </si>
  <si>
    <t>bee_count_output/runs/selected/ANU-25-summer-20_20260326_060000_window_3sec.csv</t>
  </si>
  <si>
    <t>ANU-25-summer-20_20260326_070000.mp4</t>
  </si>
  <si>
    <t>videos/ANU-25-summer-20_20260326_070000.mp4</t>
  </si>
  <si>
    <t>bee_count_output/runs/selected/ANU-25-summer-20_20260326_070000_preview.mp4</t>
  </si>
  <si>
    <t>bee_count_output/runs/selected/ANU-25-summer-20_20260326_070000_frame_flux.csv</t>
  </si>
  <si>
    <t>bee_count_output/runs/selected/ANU-25-summer-20_20260326_070000_window_3sec.csv</t>
  </si>
  <si>
    <t>ANU-25-summer-20_20260326_080000.mp4</t>
  </si>
  <si>
    <t>videos/ANU-25-summer-20_20260326_080000.mp4</t>
  </si>
  <si>
    <t>bee_count_output/runs/selected/ANU-25-summer-20_20260326_080000_preview.mp4</t>
  </si>
  <si>
    <t>bee_count_output/runs/selected/ANU-25-summer-20_20260326_080000_frame_flux.csv</t>
  </si>
  <si>
    <t>bee_count_output/runs/selected/ANU-25-summer-20_20260326_080000_window_3sec.csv</t>
  </si>
  <si>
    <t>ANU-25-summer-20_20260326_090000.mp4</t>
  </si>
  <si>
    <t>videos/ANU-25-summer-20_20260326_090000.mp4</t>
  </si>
  <si>
    <t>bee_count_output/runs/selected/ANU-25-summer-20_20260326_090000_preview.mp4</t>
  </si>
  <si>
    <t>bee_count_output/runs/selected/ANU-25-summer-20_20260326_090000_frame_flux.csv</t>
  </si>
  <si>
    <t>bee_count_output/runs/selected/ANU-25-summer-20_20260326_090000_window_3sec.csv</t>
  </si>
  <si>
    <t>ANU-25-summer-20_20260326_100000.mp4</t>
  </si>
  <si>
    <t>videos/ANU-25-summer-20_20260326_100000.mp4</t>
  </si>
  <si>
    <t>bee_count_output/runs/selected/ANU-25-summer-20_20260326_100000_preview.mp4</t>
  </si>
  <si>
    <t>bee_count_output/runs/selected/ANU-25-summer-20_20260326_100000_frame_flux.csv</t>
  </si>
  <si>
    <t>bee_count_output/runs/selected/ANU-25-summer-20_20260326_100000_window_3sec.csv</t>
  </si>
  <si>
    <t>ANU-25-summer-20_20260326_110000.mp4</t>
  </si>
  <si>
    <t>videos/ANU-25-summer-20_20260326_110000.mp4</t>
  </si>
  <si>
    <t>bee_count_output/runs/selected/ANU-25-summer-20_20260326_110000_preview.mp4</t>
  </si>
  <si>
    <t>bee_count_output/runs/selected/ANU-25-summer-20_20260326_110000_frame_flux.csv</t>
  </si>
  <si>
    <t>bee_count_output/runs/selected/ANU-25-summer-20_20260326_110000_window_3sec.csv</t>
  </si>
  <si>
    <t>ANU-25-summer-20_20260326_120000.mp4</t>
  </si>
  <si>
    <t>videos/ANU-25-summer-20_20260326_120000.mp4</t>
  </si>
  <si>
    <t>bee_count_output/runs/selected/ANU-25-summer-20_20260326_120000_preview.mp4</t>
  </si>
  <si>
    <t>bee_count_output/runs/selected/ANU-25-summer-20_20260326_120000_frame_flux.csv</t>
  </si>
  <si>
    <t>bee_count_output/runs/selected/ANU-25-summer-20_20260326_120000_window_3sec.csv</t>
  </si>
  <si>
    <t>ANU-25-summer-20_20260326_130000.mp4</t>
  </si>
  <si>
    <t>videos/ANU-25-summer-20_20260326_130000.mp4</t>
  </si>
  <si>
    <t>bee_count_output/runs/selected/ANU-25-summer-20_20260326_130000_preview.mp4</t>
  </si>
  <si>
    <t>bee_count_output/runs/selected/ANU-25-summer-20_20260326_130000_frame_flux.csv</t>
  </si>
  <si>
    <t>bee_count_output/runs/selected/ANU-25-summer-20_20260326_130000_window_3sec.csv</t>
  </si>
  <si>
    <t>ANU-25-summer-20_20260326_140000.mp4</t>
  </si>
  <si>
    <t>videos/ANU-25-summer-20_20260326_140000.mp4</t>
  </si>
  <si>
    <t>bee_count_output/runs/selected/ANU-25-summer-20_20260326_140000_preview.mp4</t>
  </si>
  <si>
    <t>bee_count_output/runs/selected/ANU-25-summer-20_20260326_140000_frame_flux.csv</t>
  </si>
  <si>
    <t>bee_count_output/runs/selected/ANU-25-summer-20_20260326_140000_window_3sec.csv</t>
  </si>
  <si>
    <t>ANU-25-summer-20_20260326_150000.mp4</t>
  </si>
  <si>
    <t>videos/ANU-25-summer-20_20260326_150000.mp4</t>
  </si>
  <si>
    <t>bee_count_output/runs/selected/ANU-25-summer-20_20260326_150000_preview.mp4</t>
  </si>
  <si>
    <t>bee_count_output/runs/selected/ANU-25-summer-20_20260326_150000_frame_flux.csv</t>
  </si>
  <si>
    <t>bee_count_output/runs/selected/ANU-25-summer-20_20260326_150000_window_3sec.csv</t>
  </si>
  <si>
    <t>ANU-25-summer-20_20260326_160000.mp4</t>
  </si>
  <si>
    <t>videos/ANU-25-summer-20_20260326_160000.mp4</t>
  </si>
  <si>
    <t>bee_count_output/runs/selected/ANU-25-summer-20_20260326_160000_preview.mp4</t>
  </si>
  <si>
    <t>bee_count_output/runs/selected/ANU-25-summer-20_20260326_160000_frame_flux.csv</t>
  </si>
  <si>
    <t>bee_count_output/runs/selected/ANU-25-summer-20_20260326_160000_window_3sec.csv</t>
  </si>
  <si>
    <t>ANU-25-summer-20_20260326_170000.mp4</t>
  </si>
  <si>
    <t>videos/ANU-25-summer-20_20260326_170000.mp4</t>
  </si>
  <si>
    <t>bee_count_output/runs/selected/ANU-25-summer-20_20260326_170000_preview.mp4</t>
  </si>
  <si>
    <t>bee_count_output/runs/selected/ANU-25-summer-20_20260326_170000_frame_flux.csv</t>
  </si>
  <si>
    <t>bee_count_output/runs/selected/ANU-25-summer-20_20260326_170000_window_3sec.csv</t>
  </si>
  <si>
    <t>ANU-25-summer-20_20260326_180000.mp4</t>
  </si>
  <si>
    <t>videos/ANU-25-summer-20_20260326_180000.mp4</t>
  </si>
  <si>
    <t>bee_count_output/runs/selected/ANU-25-summer-20_20260326_180000_preview.mp4</t>
  </si>
  <si>
    <t>bee_count_output/runs/selected/ANU-25-summer-20_20260326_180000_frame_flux.csv</t>
  </si>
  <si>
    <t>bee_count_output/runs/selected/ANU-25-summer-20_20260326_180000_window_3sec.csv</t>
  </si>
  <si>
    <t>ANU-25-summer-20_20260326_190000.mp4</t>
  </si>
  <si>
    <t>videos/ANU-25-summer-20_20260326_190000.mp4</t>
  </si>
  <si>
    <t>bee_count_output/runs/selected/ANU-25-summer-20_20260326_190000_preview.mp4</t>
  </si>
  <si>
    <t>bee_count_output/runs/selected/ANU-25-summer-20_20260326_190000_frame_flux.csv</t>
  </si>
  <si>
    <t>bee_count_output/runs/selected/ANU-25-summer-20_20260326_190000_window_3sec.csv</t>
  </si>
  <si>
    <t>ANU-25-summer-20_20260327_060000.mp4</t>
  </si>
  <si>
    <t>videos/ANU-25-summer-20_20260327_060000.mp4</t>
  </si>
  <si>
    <t>bee_count_output/runs/selected/ANU-25-summer-20_20260327_060000_preview.mp4</t>
  </si>
  <si>
    <t>bee_count_output/runs/selected/ANU-25-summer-20_20260327_060000_frame_flux.csv</t>
  </si>
  <si>
    <t>bee_count_output/runs/selected/ANU-25-summer-20_20260327_060000_window_3sec.csv</t>
  </si>
  <si>
    <t>ANU-25-summer-20_20260327_070000.mp4</t>
  </si>
  <si>
    <t>videos/ANU-25-summer-20_20260327_070000.mp4</t>
  </si>
  <si>
    <t>bee_count_output/runs/selected/ANU-25-summer-20_20260327_070000_preview.mp4</t>
  </si>
  <si>
    <t>bee_count_output/runs/selected/ANU-25-summer-20_20260327_070000_frame_flux.csv</t>
  </si>
  <si>
    <t>bee_count_output/runs/selected/ANU-25-summer-20_20260327_070000_window_3sec.csv</t>
  </si>
  <si>
    <t>ANU-25-summer-20_20260327_080000.mp4</t>
  </si>
  <si>
    <t>videos/ANU-25-summer-20_20260327_080000.mp4</t>
  </si>
  <si>
    <t>bee_count_output/runs/selected/ANU-25-summer-20_20260327_080000_preview.mp4</t>
  </si>
  <si>
    <t>bee_count_output/runs/selected/ANU-25-summer-20_20260327_080000_frame_flux.csv</t>
  </si>
  <si>
    <t>bee_count_output/runs/selected/ANU-25-summer-20_20260327_080000_window_3sec.csv</t>
  </si>
  <si>
    <t>ANU-25-summer-20_20260327_090000.mp4</t>
  </si>
  <si>
    <t>videos/ANU-25-summer-20_20260327_090000.mp4</t>
  </si>
  <si>
    <t>bee_count_output/runs/selected/ANU-25-summer-20_20260327_090000_preview.mp4</t>
  </si>
  <si>
    <t>bee_count_output/runs/selected/ANU-25-summer-20_20260327_090000_frame_flux.csv</t>
  </si>
  <si>
    <t>bee_count_output/runs/selected/ANU-25-summer-20_20260327_090000_window_3sec.csv</t>
  </si>
  <si>
    <t>ANU-25-summer-20_20260327_100000.mp4</t>
  </si>
  <si>
    <t>videos/ANU-25-summer-20_20260327_100000.mp4</t>
  </si>
  <si>
    <t>bee_count_output/runs/selected/ANU-25-summer-20_20260327_100000_preview.mp4</t>
  </si>
  <si>
    <t>bee_count_output/runs/selected/ANU-25-summer-20_20260327_100000_frame_flux.csv</t>
  </si>
  <si>
    <t>bee_count_output/runs/selected/ANU-25-summer-20_20260327_100000_window_3sec.csv</t>
  </si>
  <si>
    <t>ANU-25-summer-20_20260327_110000.mp4</t>
  </si>
  <si>
    <t>videos/ANU-25-summer-20_20260327_110000.mp4</t>
  </si>
  <si>
    <t>bee_count_output/runs/selected/ANU-25-summer-20_20260327_110000_preview.mp4</t>
  </si>
  <si>
    <t>bee_count_output/runs/selected/ANU-25-summer-20_20260327_110000_frame_flux.csv</t>
  </si>
  <si>
    <t>bee_count_output/runs/selected/ANU-25-summer-20_20260327_110000_window_3sec.csv</t>
  </si>
  <si>
    <t>ANU-25-summer-20_20260327_120000.mp4</t>
  </si>
  <si>
    <t>videos/ANU-25-summer-20_20260327_120000.mp4</t>
  </si>
  <si>
    <t>bee_count_output/runs/selected/ANU-25-summer-20_20260327_120000_preview.mp4</t>
  </si>
  <si>
    <t>bee_count_output/runs/selected/ANU-25-summer-20_20260327_120000_frame_flux.csv</t>
  </si>
  <si>
    <t>bee_count_output/runs/selected/ANU-25-summer-20_20260327_120000_window_3sec.csv</t>
  </si>
  <si>
    <t>ANU-25-summer-20_20260327_130000.mp4</t>
  </si>
  <si>
    <t>videos/ANU-25-summer-20_20260327_130000.mp4</t>
  </si>
  <si>
    <t>bee_count_output/runs/selected/ANU-25-summer-20_20260327_130000_preview.mp4</t>
  </si>
  <si>
    <t>bee_count_output/runs/selected/ANU-25-summer-20_20260327_130000_frame_flux.csv</t>
  </si>
  <si>
    <t>bee_count_output/runs/selected/ANU-25-summer-20_20260327_130000_window_3sec.csv</t>
  </si>
  <si>
    <t>ANU-25-summer-20_20260327_140000.mp4</t>
  </si>
  <si>
    <t>videos/ANU-25-summer-20_20260327_140000.mp4</t>
  </si>
  <si>
    <t>bee_count_output/runs/selected/ANU-25-summer-20_20260327_140000_preview.mp4</t>
  </si>
  <si>
    <t>bee_count_output/runs/selected/ANU-25-summer-20_20260327_140000_frame_flux.csv</t>
  </si>
  <si>
    <t>bee_count_output/runs/selected/ANU-25-summer-20_20260327_140000_window_3sec.csv</t>
  </si>
  <si>
    <t>ANU-25-summer-20_20260327_150000.mp4</t>
  </si>
  <si>
    <t>videos/ANU-25-summer-20_20260327_150000.mp4</t>
  </si>
  <si>
    <t>bee_count_output/runs/selected/ANU-25-summer-20_20260327_150000_preview.mp4</t>
  </si>
  <si>
    <t>bee_count_output/runs/selected/ANU-25-summer-20_20260327_150000_frame_flux.csv</t>
  </si>
  <si>
    <t>bee_count_output/runs/selected/ANU-25-summer-20_20260327_150000_window_3sec.csv</t>
  </si>
  <si>
    <t>ANU-25-summer-20_20260327_160000.mp4</t>
  </si>
  <si>
    <t>videos/ANU-25-summer-20_20260327_160000.mp4</t>
  </si>
  <si>
    <t>bee_count_output/runs/selected/ANU-25-summer-20_20260327_160000_preview.mp4</t>
  </si>
  <si>
    <t>bee_count_output/runs/selected/ANU-25-summer-20_20260327_160000_frame_flux.csv</t>
  </si>
  <si>
    <t>bee_count_output/runs/selected/ANU-25-summer-20_20260327_160000_window_3sec.csv</t>
  </si>
  <si>
    <t>ANU-25-summer-20_20260327_170000.mp4</t>
  </si>
  <si>
    <t>videos/ANU-25-summer-20_20260327_170000.mp4</t>
  </si>
  <si>
    <t>bee_count_output/runs/selected/ANU-25-summer-20_20260327_170000_preview.mp4</t>
  </si>
  <si>
    <t>bee_count_output/runs/selected/ANU-25-summer-20_20260327_170000_frame_flux.csv</t>
  </si>
  <si>
    <t>bee_count_output/runs/selected/ANU-25-summer-20_20260327_170000_window_3sec.csv</t>
  </si>
  <si>
    <t>ANU-25-summer-20_20260327_180000.mp4</t>
  </si>
  <si>
    <t>videos/ANU-25-summer-20_20260327_180000.mp4</t>
  </si>
  <si>
    <t>bee_count_output/runs/selected/ANU-25-summer-20_20260327_180000_preview.mp4</t>
  </si>
  <si>
    <t>bee_count_output/runs/selected/ANU-25-summer-20_20260327_180000_frame_flux.csv</t>
  </si>
  <si>
    <t>bee_count_output/runs/selected/ANU-25-summer-20_20260327_180000_window_3sec.csv</t>
  </si>
  <si>
    <t>ANU-25-summer-20_20260327_190000.mp4</t>
  </si>
  <si>
    <t>videos/ANU-25-summer-20_20260327_190000.mp4</t>
  </si>
  <si>
    <t>bee_count_output/runs/selected/ANU-25-summer-20_20260327_190000_preview.mp4</t>
  </si>
  <si>
    <t>bee_count_output/runs/selected/ANU-25-summer-20_20260327_190000_frame_flux.csv</t>
  </si>
  <si>
    <t>bee_count_output/runs/selected/ANU-25-summer-20_20260327_190000_window_3sec.csv</t>
  </si>
  <si>
    <t>ANU-25-summer-20_20260328_060000.mp4</t>
  </si>
  <si>
    <t>videos/ANU-25-summer-20_20260328_060000.mp4</t>
  </si>
  <si>
    <t>bee_count_output/runs/selected/ANU-25-summer-20_20260328_060000_preview.mp4</t>
  </si>
  <si>
    <t>bee_count_output/runs/selected/ANU-25-summer-20_20260328_060000_frame_flux.csv</t>
  </si>
  <si>
    <t>bee_count_output/runs/selected/ANU-25-summer-20_20260328_060000_window_3sec.csv</t>
  </si>
  <si>
    <t>ANU-25-summer-20_20260328_070000.mp4</t>
  </si>
  <si>
    <t>videos/ANU-25-summer-20_20260328_070000.mp4</t>
  </si>
  <si>
    <t>bee_count_output/runs/selected/ANU-25-summer-20_20260328_070000_preview.mp4</t>
  </si>
  <si>
    <t>bee_count_output/runs/selected/ANU-25-summer-20_20260328_070000_frame_flux.csv</t>
  </si>
  <si>
    <t>bee_count_output/runs/selected/ANU-25-summer-20_20260328_070000_window_3sec.csv</t>
  </si>
  <si>
    <t>ANU-25-summer-20_20260328_080000.mp4</t>
  </si>
  <si>
    <t>videos/ANU-25-summer-20_20260328_080000.mp4</t>
  </si>
  <si>
    <t>bee_count_output/runs/selected/ANU-25-summer-20_20260328_080000_preview.mp4</t>
  </si>
  <si>
    <t>bee_count_output/runs/selected/ANU-25-summer-20_20260328_080000_frame_flux.csv</t>
  </si>
  <si>
    <t>bee_count_output/runs/selected/ANU-25-summer-20_20260328_080000_window_3sec.csv</t>
  </si>
  <si>
    <t>ANU-25-summer-20_20260328_090000.mp4</t>
  </si>
  <si>
    <t>videos/ANU-25-summer-20_20260328_090000.mp4</t>
  </si>
  <si>
    <t>bee_count_output/runs/selected/ANU-25-summer-20_20260328_090000_preview.mp4</t>
  </si>
  <si>
    <t>bee_count_output/runs/selected/ANU-25-summer-20_20260328_090000_frame_flux.csv</t>
  </si>
  <si>
    <t>bee_count_output/runs/selected/ANU-25-summer-20_20260328_090000_window_3sec.csv</t>
  </si>
  <si>
    <t>ANU-25-summer-20_20260328_100000.mp4</t>
  </si>
  <si>
    <t>videos/ANU-25-summer-20_20260328_100000.mp4</t>
  </si>
  <si>
    <t>bee_count_output/runs/selected/ANU-25-summer-20_20260328_100000_preview.mp4</t>
  </si>
  <si>
    <t>bee_count_output/runs/selected/ANU-25-summer-20_20260328_100000_frame_flux.csv</t>
  </si>
  <si>
    <t>bee_count_output/runs/selected/ANU-25-summer-20_20260328_100000_window_3sec.csv</t>
  </si>
  <si>
    <t>ANU-25-summer-20_20260328_110000.mp4</t>
  </si>
  <si>
    <t>videos/ANU-25-summer-20_20260328_110000.mp4</t>
  </si>
  <si>
    <t>bee_count_output/runs/selected/ANU-25-summer-20_20260328_110000_preview.mp4</t>
  </si>
  <si>
    <t>bee_count_output/runs/selected/ANU-25-summer-20_20260328_110000_frame_flux.csv</t>
  </si>
  <si>
    <t>bee_count_output/runs/selected/ANU-25-summer-20_20260328_110000_window_3sec.csv</t>
  </si>
  <si>
    <t>ANU-25-summer-20_20260328_120000.mp4</t>
  </si>
  <si>
    <t>videos/ANU-25-summer-20_20260328_120000.mp4</t>
  </si>
  <si>
    <t>bee_count_output/runs/selected/ANU-25-summer-20_20260328_120000_preview.mp4</t>
  </si>
  <si>
    <t>bee_count_output/runs/selected/ANU-25-summer-20_20260328_120000_frame_flux.csv</t>
  </si>
  <si>
    <t>bee_count_output/runs/selected/ANU-25-summer-20_20260328_120000_window_3sec.csv</t>
  </si>
  <si>
    <t>ANU-25-summer-20_20260328_130000.mp4</t>
  </si>
  <si>
    <t>videos/ANU-25-summer-20_20260328_130000.mp4</t>
  </si>
  <si>
    <t>bee_count_output/runs/selected/ANU-25-summer-20_20260328_130000_preview.mp4</t>
  </si>
  <si>
    <t>bee_count_output/runs/selected/ANU-25-summer-20_20260328_130000_frame_flux.csv</t>
  </si>
  <si>
    <t>bee_count_output/runs/selected/ANU-25-summer-20_20260328_130000_window_3sec.csv</t>
  </si>
  <si>
    <t>ANU-25-summer-20_20260328_140000.mp4</t>
  </si>
  <si>
    <t>videos/ANU-25-summer-20_20260328_140000.mp4</t>
  </si>
  <si>
    <t>bee_count_output/runs/selected/ANU-25-summer-20_20260328_140000_preview.mp4</t>
  </si>
  <si>
    <t>bee_count_output/runs/selected/ANU-25-summer-20_20260328_140000_frame_flux.csv</t>
  </si>
  <si>
    <t>bee_count_output/runs/selected/ANU-25-summer-20_20260328_140000_window_3sec.csv</t>
  </si>
  <si>
    <t>ANU-25-summer-20_20260328_150000.mp4</t>
  </si>
  <si>
    <t>videos/ANU-25-summer-20_20260328_150000.mp4</t>
  </si>
  <si>
    <t>bee_count_output/runs/selected/ANU-25-summer-20_20260328_150000_preview.mp4</t>
  </si>
  <si>
    <t>bee_count_output/runs/selected/ANU-25-summer-20_20260328_150000_frame_flux.csv</t>
  </si>
  <si>
    <t>bee_count_output/runs/selected/ANU-25-summer-20_20260328_150000_window_3sec.csv</t>
  </si>
  <si>
    <t>ANU-25-summer-20_20260328_160000.mp4</t>
  </si>
  <si>
    <t>videos/ANU-25-summer-20_20260328_160000.mp4</t>
  </si>
  <si>
    <t>bee_count_output/runs/selected/ANU-25-summer-20_20260328_160000_preview.mp4</t>
  </si>
  <si>
    <t>bee_count_output/runs/selected/ANU-25-summer-20_20260328_160000_frame_flux.csv</t>
  </si>
  <si>
    <t>bee_count_output/runs/selected/ANU-25-summer-20_20260328_160000_window_3sec.csv</t>
  </si>
  <si>
    <t>ANU-25-summer-20_20260328_170000.mp4</t>
  </si>
  <si>
    <t>videos/ANU-25-summer-20_20260328_170000.mp4</t>
  </si>
  <si>
    <t>bee_count_output/runs/selected/ANU-25-summer-20_20260328_170000_preview.mp4</t>
  </si>
  <si>
    <t>bee_count_output/runs/selected/ANU-25-summer-20_20260328_170000_frame_flux.csv</t>
  </si>
  <si>
    <t>bee_count_output/runs/selected/ANU-25-summer-20_20260328_170000_window_3sec.csv</t>
  </si>
  <si>
    <t>ANU-25-summer-20_20260328_180000.mp4</t>
  </si>
  <si>
    <t>videos/ANU-25-summer-20_20260328_180000.mp4</t>
  </si>
  <si>
    <t>bee_count_output/runs/selected/ANU-25-summer-20_20260328_180000_preview.mp4</t>
  </si>
  <si>
    <t>bee_count_output/runs/selected/ANU-25-summer-20_20260328_180000_frame_flux.csv</t>
  </si>
  <si>
    <t>bee_count_output/runs/selected/ANU-25-summer-20_20260328_180000_window_3sec.csv</t>
  </si>
  <si>
    <t>ANU-25-summer-20_20260328_190000.mp4</t>
  </si>
  <si>
    <t>videos/ANU-25-summer-20_20260328_190000.mp4</t>
  </si>
  <si>
    <t>bee_count_output/runs/selected/ANU-25-summer-20_20260328_190000_preview.mp4</t>
  </si>
  <si>
    <t>bee_count_output/runs/selected/ANU-25-summer-20_20260328_190000_frame_flux.csv</t>
  </si>
  <si>
    <t>bee_count_output/runs/selected/ANU-25-summer-20_20260328_190000_window_3sec.csv</t>
  </si>
  <si>
    <t>ANU-25-summer-20_20260329_060000.mp4</t>
  </si>
  <si>
    <t>videos/ANU-25-summer-20_20260329_060000.mp4</t>
  </si>
  <si>
    <t>bee_count_output/runs/selected/ANU-25-summer-20_20260329_060000_preview.mp4</t>
  </si>
  <si>
    <t>bee_count_output/runs/selected/ANU-25-summer-20_20260329_060000_frame_flux.csv</t>
  </si>
  <si>
    <t>bee_count_output/runs/selected/ANU-25-summer-20_20260329_060000_window_3sec.csv</t>
  </si>
  <si>
    <t>ANU-25-summer-20_20260329_070000.mp4</t>
  </si>
  <si>
    <t>videos/ANU-25-summer-20_20260329_070000.mp4</t>
  </si>
  <si>
    <t>bee_count_output/runs/selected/ANU-25-summer-20_20260329_070000_preview.mp4</t>
  </si>
  <si>
    <t>bee_count_output/runs/selected/ANU-25-summer-20_20260329_070000_frame_flux.csv</t>
  </si>
  <si>
    <t>bee_count_output/runs/selected/ANU-25-summer-20_20260329_070000_window_3sec.csv</t>
  </si>
  <si>
    <t>ANU-25-summer-20_20260329_080000.mp4</t>
  </si>
  <si>
    <t>videos/ANU-25-summer-20_20260329_080000.mp4</t>
  </si>
  <si>
    <t>bee_count_output/runs/selected/ANU-25-summer-20_20260329_080000_preview.mp4</t>
  </si>
  <si>
    <t>bee_count_output/runs/selected/ANU-25-summer-20_20260329_080000_frame_flux.csv</t>
  </si>
  <si>
    <t>bee_count_output/runs/selected/ANU-25-summer-20_20260329_080000_window_3sec.csv</t>
  </si>
  <si>
    <t>ANU-25-summer-20_20260329_090000.mp4</t>
  </si>
  <si>
    <t>videos/ANU-25-summer-20_20260329_090000.mp4</t>
  </si>
  <si>
    <t>bee_count_output/runs/selected/ANU-25-summer-20_20260329_090000_preview.mp4</t>
  </si>
  <si>
    <t>bee_count_output/runs/selected/ANU-25-summer-20_20260329_090000_frame_flux.csv</t>
  </si>
  <si>
    <t>bee_count_output/runs/selected/ANU-25-summer-20_20260329_090000_window_3sec.csv</t>
  </si>
  <si>
    <t>ANU-25-summer-20_20260329_100000.mp4</t>
  </si>
  <si>
    <t>videos/ANU-25-summer-20_20260329_100000.mp4</t>
  </si>
  <si>
    <t>bee_count_output/runs/selected/ANU-25-summer-20_20260329_100000_preview.mp4</t>
  </si>
  <si>
    <t>bee_count_output/runs/selected/ANU-25-summer-20_20260329_100000_frame_flux.csv</t>
  </si>
  <si>
    <t>bee_count_output/runs/selected/ANU-25-summer-20_20260329_100000_window_3sec.csv</t>
  </si>
  <si>
    <t>ANU-25-summer-20_20260329_110000.mp4</t>
  </si>
  <si>
    <t>videos/ANU-25-summer-20_20260329_110000.mp4</t>
  </si>
  <si>
    <t>bee_count_output/runs/selected/ANU-25-summer-20_20260329_110000_preview.mp4</t>
  </si>
  <si>
    <t>bee_count_output/runs/selected/ANU-25-summer-20_20260329_110000_frame_flux.csv</t>
  </si>
  <si>
    <t>bee_count_output/runs/selected/ANU-25-summer-20_20260329_110000_window_3sec.csv</t>
  </si>
  <si>
    <t>ANU-25-summer-20_20260329_120000.mp4</t>
  </si>
  <si>
    <t>videos/ANU-25-summer-20_20260329_120000.mp4</t>
  </si>
  <si>
    <t>bee_count_output/runs/selected/ANU-25-summer-20_20260329_120000_preview.mp4</t>
  </si>
  <si>
    <t>bee_count_output/runs/selected/ANU-25-summer-20_20260329_120000_frame_flux.csv</t>
  </si>
  <si>
    <t>bee_count_output/runs/selected/ANU-25-summer-20_20260329_120000_window_3sec.csv</t>
  </si>
  <si>
    <t>ANU-25-summer-20_20260329_130000.mp4</t>
  </si>
  <si>
    <t>videos/ANU-25-summer-20_20260329_130000.mp4</t>
  </si>
  <si>
    <t>bee_count_output/runs/selected/ANU-25-summer-20_20260329_130000_preview.mp4</t>
  </si>
  <si>
    <t>bee_count_output/runs/selected/ANU-25-summer-20_20260329_130000_frame_flux.csv</t>
  </si>
  <si>
    <t>bee_count_output/runs/selected/ANU-25-summer-20_20260329_130000_window_3sec.csv</t>
  </si>
  <si>
    <t>ANU-25-summer-20_20260329_140000.mp4</t>
  </si>
  <si>
    <t>videos/ANU-25-summer-20_20260329_140000.mp4</t>
  </si>
  <si>
    <t>bee_count_output/runs/selected/ANU-25-summer-20_20260329_140000_preview.mp4</t>
  </si>
  <si>
    <t>bee_count_output/runs/selected/ANU-25-summer-20_20260329_140000_frame_flux.csv</t>
  </si>
  <si>
    <t>bee_count_output/runs/selected/ANU-25-summer-20_20260329_140000_window_3sec.csv</t>
  </si>
  <si>
    <t>ANU-25-summer-20_20260329_150000.mp4</t>
  </si>
  <si>
    <t>videos/ANU-25-summer-20_20260329_150000.mp4</t>
  </si>
  <si>
    <t>bee_count_output/runs/selected/ANU-25-summer-20_20260329_150000_preview.mp4</t>
  </si>
  <si>
    <t>bee_count_output/runs/selected/ANU-25-summer-20_20260329_150000_frame_flux.csv</t>
  </si>
  <si>
    <t>bee_count_output/runs/selected/ANU-25-summer-20_20260329_150000_window_3sec.csv</t>
  </si>
  <si>
    <t>ANU-25-summer-20_20260329_160000.mp4</t>
  </si>
  <si>
    <t>videos/ANU-25-summer-20_20260329_160000.mp4</t>
  </si>
  <si>
    <t>bee_count_output/runs/selected/ANU-25-summer-20_20260329_160000_preview.mp4</t>
  </si>
  <si>
    <t>bee_count_output/runs/selected/ANU-25-summer-20_20260329_160000_frame_flux.csv</t>
  </si>
  <si>
    <t>bee_count_output/runs/selected/ANU-25-summer-20_20260329_160000_window_3sec.csv</t>
  </si>
  <si>
    <t>ANU-25-summer-20_20260329_170000.mp4</t>
  </si>
  <si>
    <t>videos/ANU-25-summer-20_20260329_170000.mp4</t>
  </si>
  <si>
    <t>bee_count_output/runs/selected/ANU-25-summer-20_20260329_170000_preview.mp4</t>
  </si>
  <si>
    <t>bee_count_output/runs/selected/ANU-25-summer-20_20260329_170000_frame_flux.csv</t>
  </si>
  <si>
    <t>bee_count_output/runs/selected/ANU-25-summer-20_20260329_170000_window_3sec.csv</t>
  </si>
  <si>
    <t>ANU-25-summer-20_20260329_180000.mp4</t>
  </si>
  <si>
    <t>videos/ANU-25-summer-20_20260329_180000.mp4</t>
  </si>
  <si>
    <t>bee_count_output/runs/selected/ANU-25-summer-20_20260329_180000_preview.mp4</t>
  </si>
  <si>
    <t>bee_count_output/runs/selected/ANU-25-summer-20_20260329_180000_frame_flux.csv</t>
  </si>
  <si>
    <t>bee_count_output/runs/selected/ANU-25-summer-20_20260329_180000_window_3sec.csv</t>
  </si>
  <si>
    <t>ANU-25-summer-20_20260329_190000.mp4</t>
  </si>
  <si>
    <t>videos/ANU-25-summer-20_20260329_190000.mp4</t>
  </si>
  <si>
    <t>bee_count_output/runs/selected/ANU-25-summer-20_20260329_190000_preview.mp4</t>
  </si>
  <si>
    <t>bee_count_output/runs/selected/ANU-25-summer-20_20260329_190000_frame_flux.csv</t>
  </si>
  <si>
    <t>bee_count_output/runs/selected/ANU-25-summer-20_20260329_190000_window_3sec.csv</t>
  </si>
  <si>
    <t>ANU-25-summer-20_20260330_060000.mp4</t>
  </si>
  <si>
    <t>videos/ANU-25-summer-20_20260330_060000.mp4</t>
  </si>
  <si>
    <t>bee_count_output/runs/selected/ANU-25-summer-20_20260330_060000_preview.mp4</t>
  </si>
  <si>
    <t>bee_count_output/runs/selected/ANU-25-summer-20_20260330_060000_frame_flux.csv</t>
  </si>
  <si>
    <t>bee_count_output/runs/selected/ANU-25-summer-20_20260330_060000_window_3sec.csv</t>
  </si>
  <si>
    <t>ANU-25-summer-20_20260330_070000.mp4</t>
  </si>
  <si>
    <t>videos/ANU-25-summer-20_20260330_070000.mp4</t>
  </si>
  <si>
    <t>bee_count_output/runs/selected/ANU-25-summer-20_20260330_070000_preview.mp4</t>
  </si>
  <si>
    <t>bee_count_output/runs/selected/ANU-25-summer-20_20260330_070000_frame_flux.csv</t>
  </si>
  <si>
    <t>bee_count_output/runs/selected/ANU-25-summer-20_20260330_070000_window_3sec.csv</t>
  </si>
  <si>
    <t>ANU-25-summer-20_20260330_080000.mp4</t>
  </si>
  <si>
    <t>videos/ANU-25-summer-20_20260330_080000.mp4</t>
  </si>
  <si>
    <t>bee_count_output/runs/selected/ANU-25-summer-20_20260330_080000_preview.mp4</t>
  </si>
  <si>
    <t>bee_count_output/runs/selected/ANU-25-summer-20_20260330_080000_frame_flux.csv</t>
  </si>
  <si>
    <t>bee_count_output/runs/selected/ANU-25-summer-20_20260330_080000_window_3sec.csv</t>
  </si>
  <si>
    <t>ANU-25-summer-20_20260330_090000.mp4</t>
  </si>
  <si>
    <t>videos/ANU-25-summer-20_20260330_090000.mp4</t>
  </si>
  <si>
    <t>bee_count_output/runs/selected/ANU-25-summer-20_20260330_090000_preview.mp4</t>
  </si>
  <si>
    <t>bee_count_output/runs/selected/ANU-25-summer-20_20260330_090000_frame_flux.csv</t>
  </si>
  <si>
    <t>bee_count_output/runs/selected/ANU-25-summer-20_20260330_090000_window_3sec.csv</t>
  </si>
  <si>
    <t>ANU-25-summer-20_20260330_100000.mp4</t>
  </si>
  <si>
    <t>videos/ANU-25-summer-20_20260330_100000.mp4</t>
  </si>
  <si>
    <t>bee_count_output/runs/selected/ANU-25-summer-20_20260330_100000_preview.mp4</t>
  </si>
  <si>
    <t>bee_count_output/runs/selected/ANU-25-summer-20_20260330_100000_frame_flux.csv</t>
  </si>
  <si>
    <t>bee_count_output/runs/selected/ANU-25-summer-20_20260330_100000_window_3sec.csv</t>
  </si>
  <si>
    <t>ANU-25-summer-20_20260330_110000.mp4</t>
  </si>
  <si>
    <t>videos/ANU-25-summer-20_20260330_110000.mp4</t>
  </si>
  <si>
    <t>bee_count_output/runs/selected/ANU-25-summer-20_20260330_110000_preview.mp4</t>
  </si>
  <si>
    <t>bee_count_output/runs/selected/ANU-25-summer-20_20260330_110000_frame_flux.csv</t>
  </si>
  <si>
    <t>bee_count_output/runs/selected/ANU-25-summer-20_20260330_110000_window_3sec.csv</t>
  </si>
  <si>
    <t>ANU-25-summer-20_20260330_120000.mp4</t>
  </si>
  <si>
    <t>videos/ANU-25-summer-20_20260330_120000.mp4</t>
  </si>
  <si>
    <t>bee_count_output/runs/selected/ANU-25-summer-20_20260330_120000_preview.mp4</t>
  </si>
  <si>
    <t>bee_count_output/runs/selected/ANU-25-summer-20_20260330_120000_frame_flux.csv</t>
  </si>
  <si>
    <t>bee_count_output/runs/selected/ANU-25-summer-20_20260330_120000_window_3sec.csv</t>
  </si>
  <si>
    <t>ANU-25-summer-20_20260330_130000.mp4</t>
  </si>
  <si>
    <t>videos/ANU-25-summer-20_20260330_130000.mp4</t>
  </si>
  <si>
    <t>bee_count_output/runs/selected/ANU-25-summer-20_20260330_130000_preview.mp4</t>
  </si>
  <si>
    <t>bee_count_output/runs/selected/ANU-25-summer-20_20260330_130000_frame_flux.csv</t>
  </si>
  <si>
    <t>bee_count_output/runs/selected/ANU-25-summer-20_20260330_130000_window_3sec.csv</t>
  </si>
  <si>
    <t>ANU-25-summer-20_20260330_140000.mp4</t>
  </si>
  <si>
    <t>videos/ANU-25-summer-20_20260330_140000.mp4</t>
  </si>
  <si>
    <t>bee_count_output/runs/selected/ANU-25-summer-20_20260330_140000_preview.mp4</t>
  </si>
  <si>
    <t>bee_count_output/runs/selected/ANU-25-summer-20_20260330_140000_frame_flux.csv</t>
  </si>
  <si>
    <t>bee_count_output/runs/selected/ANU-25-summer-20_20260330_140000_window_3sec.csv</t>
  </si>
  <si>
    <t>ANU-25-summer-20_20260330_150000.mp4</t>
  </si>
  <si>
    <t>videos/ANU-25-summer-20_20260330_150000.mp4</t>
  </si>
  <si>
    <t>bee_count_output/runs/selected/ANU-25-summer-20_20260330_150000_preview.mp4</t>
  </si>
  <si>
    <t>bee_count_output/runs/selected/ANU-25-summer-20_20260330_150000_frame_flux.csv</t>
  </si>
  <si>
    <t>bee_count_output/runs/selected/ANU-25-summer-20_20260330_150000_window_3sec.csv</t>
  </si>
  <si>
    <t>ANU-25-summer-20_20260330_160000.mp4</t>
  </si>
  <si>
    <t>videos/ANU-25-summer-20_20260330_160000.mp4</t>
  </si>
  <si>
    <t>bee_count_output/runs/selected/ANU-25-summer-20_20260330_160000_preview.mp4</t>
  </si>
  <si>
    <t>bee_count_output/runs/selected/ANU-25-summer-20_20260330_160000_frame_flux.csv</t>
  </si>
  <si>
    <t>bee_count_output/runs/selected/ANU-25-summer-20_20260330_160000_window_3sec.csv</t>
  </si>
  <si>
    <t>ANU-25-summer-20_20260330_170000.mp4</t>
  </si>
  <si>
    <t>videos/ANU-25-summer-20_20260330_170000.mp4</t>
  </si>
  <si>
    <t>bee_count_output/runs/selected/ANU-25-summer-20_20260330_170000_preview.mp4</t>
  </si>
  <si>
    <t>bee_count_output/runs/selected/ANU-25-summer-20_20260330_170000_frame_flux.csv</t>
  </si>
  <si>
    <t>bee_count_output/runs/selected/ANU-25-summer-20_20260330_170000_window_3sec.csv</t>
  </si>
  <si>
    <t>ANU-25-summer-20_20260330_180000.mp4</t>
  </si>
  <si>
    <t>videos/ANU-25-summer-20_20260330_180000.mp4</t>
  </si>
  <si>
    <t>bee_count_output/runs/selected/ANU-25-summer-20_20260330_180000_preview.mp4</t>
  </si>
  <si>
    <t>bee_count_output/runs/selected/ANU-25-summer-20_20260330_180000_frame_flux.csv</t>
  </si>
  <si>
    <t>bee_count_output/runs/selected/ANU-25-summer-20_20260330_180000_window_3sec.csv</t>
  </si>
  <si>
    <t>ANU-25-summer-20_20260330_190000.mp4</t>
  </si>
  <si>
    <t>videos/ANU-25-summer-20_20260330_190000.mp4</t>
  </si>
  <si>
    <t>bee_count_output/runs/selected/ANU-25-summer-20_20260330_190000_preview.mp4</t>
  </si>
  <si>
    <t>bee_count_output/runs/selected/ANU-25-summer-20_20260330_190000_frame_flux.csv</t>
  </si>
  <si>
    <t>bee_count_output/runs/selected/ANU-25-summer-20_20260330_190000_window_3sec.csv</t>
  </si>
  <si>
    <t>ANU-25-summer-20_20260331_060000.mp4</t>
  </si>
  <si>
    <t>videos/ANU-25-summer-20_20260331_060000.mp4</t>
  </si>
  <si>
    <t>bee_count_output/runs/selected/ANU-25-summer-20_20260331_060000_preview.mp4</t>
  </si>
  <si>
    <t>bee_count_output/runs/selected/ANU-25-summer-20_20260331_060000_frame_flux.csv</t>
  </si>
  <si>
    <t>bee_count_output/runs/selected/ANU-25-summer-20_20260331_060000_window_3sec.csv</t>
  </si>
  <si>
    <t>ANU-25-summer-20_20260331_070000.mp4</t>
  </si>
  <si>
    <t>videos/ANU-25-summer-20_20260331_070000.mp4</t>
  </si>
  <si>
    <t>bee_count_output/runs/selected/ANU-25-summer-20_20260331_070000_preview.mp4</t>
  </si>
  <si>
    <t>bee_count_output/runs/selected/ANU-25-summer-20_20260331_070000_frame_flux.csv</t>
  </si>
  <si>
    <t>bee_count_output/runs/selected/ANU-25-summer-20_20260331_070000_window_3sec.csv</t>
  </si>
  <si>
    <t>ANU-25-summer-20_20260331_080000.mp4</t>
  </si>
  <si>
    <t>videos/ANU-25-summer-20_20260331_080000.mp4</t>
  </si>
  <si>
    <t>bee_count_output/runs/selected/ANU-25-summer-20_20260331_080000_preview.mp4</t>
  </si>
  <si>
    <t>bee_count_output/runs/selected/ANU-25-summer-20_20260331_080000_frame_flux.csv</t>
  </si>
  <si>
    <t>bee_count_output/runs/selected/ANU-25-summer-20_20260331_080000_window_3sec.csv</t>
  </si>
  <si>
    <t>ANU-25-summer-20_20260331_090000.mp4</t>
  </si>
  <si>
    <t>videos/ANU-25-summer-20_20260331_090000.mp4</t>
  </si>
  <si>
    <t>bee_count_output/runs/selected/ANU-25-summer-20_20260331_090000_preview.mp4</t>
  </si>
  <si>
    <t>bee_count_output/runs/selected/ANU-25-summer-20_20260331_090000_frame_flux.csv</t>
  </si>
  <si>
    <t>bee_count_output/runs/selected/ANU-25-summer-20_20260331_090000_window_3sec.csv</t>
  </si>
  <si>
    <t>ANU-25-summer-20_20260331_100000.mp4</t>
  </si>
  <si>
    <t>videos/ANU-25-summer-20_20260331_100000.mp4</t>
  </si>
  <si>
    <t>bee_count_output/runs/selected/ANU-25-summer-20_20260331_100000_preview.mp4</t>
  </si>
  <si>
    <t>bee_count_output/runs/selected/ANU-25-summer-20_20260331_100000_frame_flux.csv</t>
  </si>
  <si>
    <t>bee_count_output/runs/selected/ANU-25-summer-20_20260331_100000_window_3sec.csv</t>
  </si>
  <si>
    <t>ANU-25-summer-20_20260331_110000.mp4</t>
  </si>
  <si>
    <t>videos/ANU-25-summer-20_20260331_110000.mp4</t>
  </si>
  <si>
    <t>bee_count_output/runs/selected/ANU-25-summer-20_20260331_110000_preview.mp4</t>
  </si>
  <si>
    <t>bee_count_output/runs/selected/ANU-25-summer-20_20260331_110000_frame_flux.csv</t>
  </si>
  <si>
    <t>bee_count_output/runs/selected/ANU-25-summer-20_20260331_110000_window_3sec.csv</t>
  </si>
  <si>
    <t>ANU-25-summer-20_20260331_120000.mp4</t>
  </si>
  <si>
    <t>videos/ANU-25-summer-20_20260331_120000.mp4</t>
  </si>
  <si>
    <t>bee_count_output/runs/selected/ANU-25-summer-20_20260331_120000_preview.mp4</t>
  </si>
  <si>
    <t>bee_count_output/runs/selected/ANU-25-summer-20_20260331_120000_frame_flux.csv</t>
  </si>
  <si>
    <t>bee_count_output/runs/selected/ANU-25-summer-20_20260331_120000_window_3sec.csv</t>
  </si>
  <si>
    <t>ANU-25-summer-20_20260331_130000.mp4</t>
  </si>
  <si>
    <t>videos/ANU-25-summer-20_20260331_130000.mp4</t>
  </si>
  <si>
    <t>bee_count_output/runs/selected/ANU-25-summer-20_20260331_130000_preview.mp4</t>
  </si>
  <si>
    <t>bee_count_output/runs/selected/ANU-25-summer-20_20260331_130000_frame_flux.csv</t>
  </si>
  <si>
    <t>bee_count_output/runs/selected/ANU-25-summer-20_20260331_130000_window_3sec.csv</t>
  </si>
  <si>
    <t>ANU-25-summer-20_20260331_140000.mp4</t>
  </si>
  <si>
    <t>videos/ANU-25-summer-20_20260331_140000.mp4</t>
  </si>
  <si>
    <t>bee_count_output/runs/selected/ANU-25-summer-20_20260331_140000_preview.mp4</t>
  </si>
  <si>
    <t>bee_count_output/runs/selected/ANU-25-summer-20_20260331_140000_frame_flux.csv</t>
  </si>
  <si>
    <t>bee_count_output/runs/selected/ANU-25-summer-20_20260331_140000_window_3sec.csv</t>
  </si>
  <si>
    <t>ANU-25-summer-20_20260331_150000.mp4</t>
  </si>
  <si>
    <t>videos/ANU-25-summer-20_20260331_150000.mp4</t>
  </si>
  <si>
    <t>bee_count_output/runs/selected/ANU-25-summer-20_20260331_150000_preview.mp4</t>
  </si>
  <si>
    <t>bee_count_output/runs/selected/ANU-25-summer-20_20260331_150000_frame_flux.csv</t>
  </si>
  <si>
    <t>bee_count_output/runs/selected/ANU-25-summer-20_20260331_150000_window_3sec.csv</t>
  </si>
  <si>
    <t>ANU-25-summer-20_20260331_160000.mp4</t>
  </si>
  <si>
    <t>videos/ANU-25-summer-20_20260331_160000.mp4</t>
  </si>
  <si>
    <t>bee_count_output/runs/selected/ANU-25-summer-20_20260331_160000_preview.mp4</t>
  </si>
  <si>
    <t>bee_count_output/runs/selected/ANU-25-summer-20_20260331_160000_frame_flux.csv</t>
  </si>
  <si>
    <t>bee_count_output/runs/selected/ANU-25-summer-20_20260331_160000_window_3sec.csv</t>
  </si>
  <si>
    <t>ANU-25-summer-20_20260331_170000.mp4</t>
  </si>
  <si>
    <t>videos/ANU-25-summer-20_20260331_170000.mp4</t>
  </si>
  <si>
    <t>bee_count_output/runs/selected/ANU-25-summer-20_20260331_170000_preview.mp4</t>
  </si>
  <si>
    <t>bee_count_output/runs/selected/ANU-25-summer-20_20260331_170000_frame_flux.csv</t>
  </si>
  <si>
    <t>bee_count_output/runs/selected/ANU-25-summer-20_20260331_170000_window_3sec.csv</t>
  </si>
  <si>
    <t>ANU-25-summer-20_20260331_180000.mp4</t>
  </si>
  <si>
    <t>videos/ANU-25-summer-20_20260331_180000.mp4</t>
  </si>
  <si>
    <t>bee_count_output/runs/selected/ANU-25-summer-20_20260331_180000_preview.mp4</t>
  </si>
  <si>
    <t>bee_count_output/runs/selected/ANU-25-summer-20_20260331_180000_frame_flux.csv</t>
  </si>
  <si>
    <t>bee_count_output/runs/selected/ANU-25-summer-20_20260331_180000_window_3sec.csv</t>
  </si>
  <si>
    <t>ANU-25-summer-20_20260331_190000.mp4</t>
  </si>
  <si>
    <t>videos/ANU-25-summer-20_20260331_190000.mp4</t>
  </si>
  <si>
    <t>bee_count_output/runs/selected/ANU-25-summer-20_20260331_190000_preview.mp4</t>
  </si>
  <si>
    <t>bee_count_output/runs/selected/ANU-25-summer-20_20260331_190000_frame_flux.csv</t>
  </si>
  <si>
    <t>bee_count_output/runs/selected/ANU-25-summer-20_20260331_190000_window_3sec.csv</t>
  </si>
  <si>
    <t>ANU-25-summer-20_20260401_060000.mp4</t>
  </si>
  <si>
    <t>videos/ANU-25-summer-20_20260401_060000.mp4</t>
  </si>
  <si>
    <t>bee_count_output/runs/selected/ANU-25-summer-20_20260401_060000_preview.mp4</t>
  </si>
  <si>
    <t>bee_count_output/runs/selected/ANU-25-summer-20_20260401_060000_frame_flux.csv</t>
  </si>
  <si>
    <t>bee_count_output/runs/selected/ANU-25-summer-20_20260401_060000_window_3sec.csv</t>
  </si>
  <si>
    <t>ANU-25-summer-20_20260401_070000.mp4</t>
  </si>
  <si>
    <t>videos/ANU-25-summer-20_20260401_070000.mp4</t>
  </si>
  <si>
    <t>bee_count_output/runs/selected/ANU-25-summer-20_20260401_070000_preview.mp4</t>
  </si>
  <si>
    <t>bee_count_output/runs/selected/ANU-25-summer-20_20260401_070000_frame_flux.csv</t>
  </si>
  <si>
    <t>bee_count_output/runs/selected/ANU-25-summer-20_20260401_070000_window_3sec.csv</t>
  </si>
  <si>
    <t>ANU-25-summer-20_20260401_080000.mp4</t>
  </si>
  <si>
    <t>videos/ANU-25-summer-20_20260401_080000.mp4</t>
  </si>
  <si>
    <t>bee_count_output/runs/selected/ANU-25-summer-20_20260401_080000_preview.mp4</t>
  </si>
  <si>
    <t>bee_count_output/runs/selected/ANU-25-summer-20_20260401_080000_frame_flux.csv</t>
  </si>
  <si>
    <t>bee_count_output/runs/selected/ANU-25-summer-20_20260401_080000_window_3sec.csv</t>
  </si>
  <si>
    <t>ANU-25-summer-20_20260401_090000.mp4</t>
  </si>
  <si>
    <t>videos/ANU-25-summer-20_20260401_090000.mp4</t>
  </si>
  <si>
    <t>bee_count_output/runs/selected/ANU-25-summer-20_20260401_090000_preview.mp4</t>
  </si>
  <si>
    <t>bee_count_output/runs/selected/ANU-25-summer-20_20260401_090000_frame_flux.csv</t>
  </si>
  <si>
    <t>bee_count_output/runs/selected/ANU-25-summer-20_20260401_090000_window_3sec.csv</t>
  </si>
  <si>
    <t>ANU-25-summer-20_20260401_100000.mp4</t>
  </si>
  <si>
    <t>videos/ANU-25-summer-20_20260401_100000.mp4</t>
  </si>
  <si>
    <t>bee_count_output/runs/selected/ANU-25-summer-20_20260401_100000_preview.mp4</t>
  </si>
  <si>
    <t>bee_count_output/runs/selected/ANU-25-summer-20_20260401_100000_frame_flux.csv</t>
  </si>
  <si>
    <t>bee_count_output/runs/selected/ANU-25-summer-20_20260401_100000_window_3sec.csv</t>
  </si>
  <si>
    <t>ANU-25-summer-20_20260401_110000.mp4</t>
  </si>
  <si>
    <t>videos/ANU-25-summer-20_20260401_110000.mp4</t>
  </si>
  <si>
    <t>bee_count_output/runs/selected/ANU-25-summer-20_20260401_110000_preview.mp4</t>
  </si>
  <si>
    <t>bee_count_output/runs/selected/ANU-25-summer-20_20260401_110000_frame_flux.csv</t>
  </si>
  <si>
    <t>bee_count_output/runs/selected/ANU-25-summer-20_20260401_110000_window_3sec.csv</t>
  </si>
  <si>
    <t>ANU-25-summer-20_20260401_120000.mp4</t>
  </si>
  <si>
    <t>videos/ANU-25-summer-20_20260401_120000.mp4</t>
  </si>
  <si>
    <t>bee_count_output/runs/selected/ANU-25-summer-20_20260401_120000_preview.mp4</t>
  </si>
  <si>
    <t>bee_count_output/runs/selected/ANU-25-summer-20_20260401_120000_frame_flux.csv</t>
  </si>
  <si>
    <t>bee_count_output/runs/selected/ANU-25-summer-20_20260401_120000_window_3sec.csv</t>
  </si>
  <si>
    <t>ANU-25-summer-20_20260401_130000.mp4</t>
  </si>
  <si>
    <t>videos/ANU-25-summer-20_20260401_130000.mp4</t>
  </si>
  <si>
    <t>bee_count_output/runs/selected/ANU-25-summer-20_20260401_130000_preview.mp4</t>
  </si>
  <si>
    <t>bee_count_output/runs/selected/ANU-25-summer-20_20260401_130000_frame_flux.csv</t>
  </si>
  <si>
    <t>bee_count_output/runs/selected/ANU-25-summer-20_20260401_130000_window_3sec.csv</t>
  </si>
  <si>
    <t>ANU-25-summer-20_20260401_140000.mp4</t>
  </si>
  <si>
    <t>videos/ANU-25-summer-20_20260401_140000.mp4</t>
  </si>
  <si>
    <t>bee_count_output/runs/selected/ANU-25-summer-20_20260401_140000_preview.mp4</t>
  </si>
  <si>
    <t>bee_count_output/runs/selected/ANU-25-summer-20_20260401_140000_frame_flux.csv</t>
  </si>
  <si>
    <t>bee_count_output/runs/selected/ANU-25-summer-20_20260401_140000_window_3sec.csv</t>
  </si>
  <si>
    <t>ANU-25-summer-20_20260401_150000.mp4</t>
  </si>
  <si>
    <t>videos/ANU-25-summer-20_20260401_150000.mp4</t>
  </si>
  <si>
    <t>bee_count_output/runs/selected/ANU-25-summer-20_20260401_150000_preview.mp4</t>
  </si>
  <si>
    <t>bee_count_output/runs/selected/ANU-25-summer-20_20260401_150000_frame_flux.csv</t>
  </si>
  <si>
    <t>bee_count_output/runs/selected/ANU-25-summer-20_20260401_150000_window_3sec.csv</t>
  </si>
  <si>
    <t>ANU-25-summer-20_20260401_160000.mp4</t>
  </si>
  <si>
    <t>videos/ANU-25-summer-20_20260401_160000.mp4</t>
  </si>
  <si>
    <t>bee_count_output/runs/selected/ANU-25-summer-20_20260401_160000_preview.mp4</t>
  </si>
  <si>
    <t>bee_count_output/runs/selected/ANU-25-summer-20_20260401_160000_frame_flux.csv</t>
  </si>
  <si>
    <t>bee_count_output/runs/selected/ANU-25-summer-20_20260401_160000_window_3sec.csv</t>
  </si>
  <si>
    <t>ANU-25-summer-20_20260401_170000.mp4</t>
  </si>
  <si>
    <t>videos/ANU-25-summer-20_20260401_170000.mp4</t>
  </si>
  <si>
    <t>bee_count_output/runs/selected/ANU-25-summer-20_20260401_170000_preview.mp4</t>
  </si>
  <si>
    <t>bee_count_output/runs/selected/ANU-25-summer-20_20260401_170000_frame_flux.csv</t>
  </si>
  <si>
    <t>bee_count_output/runs/selected/ANU-25-summer-20_20260401_170000_window_3sec.csv</t>
  </si>
  <si>
    <t>ANU-25-summer-20_20260401_180000.mp4</t>
  </si>
  <si>
    <t>videos/ANU-25-summer-20_20260401_180000.mp4</t>
  </si>
  <si>
    <t>bee_count_output/runs/selected/ANU-25-summer-20_20260401_180000_preview.mp4</t>
  </si>
  <si>
    <t>bee_count_output/runs/selected/ANU-25-summer-20_20260401_180000_frame_flux.csv</t>
  </si>
  <si>
    <t>bee_count_output/runs/selected/ANU-25-summer-20_20260401_180000_window_3sec.csv</t>
  </si>
  <si>
    <t>ANU-25-summer-20_20260401_190000.mp4</t>
  </si>
  <si>
    <t>videos/ANU-25-summer-20_20260401_190000.mp4</t>
  </si>
  <si>
    <t>bee_count_output/runs/selected/ANU-25-summer-20_20260401_190000_preview.mp4</t>
  </si>
  <si>
    <t>bee_count_output/runs/selected/ANU-25-summer-20_20260401_190000_frame_flux.csv</t>
  </si>
  <si>
    <t>bee_count_output/runs/selected/ANU-25-summer-20_20260401_190000_window_3sec.csv</t>
  </si>
  <si>
    <t>ANU-25-summer-20_20260402_060000.mp4</t>
  </si>
  <si>
    <t>videos/ANU-25-summer-20_20260402_060000.mp4</t>
  </si>
  <si>
    <t>bee_count_output/runs/selected/ANU-25-summer-20_20260402_060000_preview.mp4</t>
  </si>
  <si>
    <t>bee_count_output/runs/selected/ANU-25-summer-20_20260402_060000_frame_flux.csv</t>
  </si>
  <si>
    <t>bee_count_output/runs/selected/ANU-25-summer-20_20260402_060000_window_3sec.csv</t>
  </si>
  <si>
    <t>ANU-25-summer-20_20260402_070000.mp4</t>
  </si>
  <si>
    <t>videos/ANU-25-summer-20_20260402_070000.mp4</t>
  </si>
  <si>
    <t>bee_count_output/runs/selected/ANU-25-summer-20_20260402_070000_preview.mp4</t>
  </si>
  <si>
    <t>bee_count_output/runs/selected/ANU-25-summer-20_20260402_070000_frame_flux.csv</t>
  </si>
  <si>
    <t>bee_count_output/runs/selected/ANU-25-summer-20_20260402_070000_window_3sec.csv</t>
  </si>
  <si>
    <t>ANU-25-summer-20_20260402_080000.mp4</t>
  </si>
  <si>
    <t>videos/ANU-25-summer-20_20260402_080000.mp4</t>
  </si>
  <si>
    <t>bee_count_output/runs/selected/ANU-25-summer-20_20260402_080000_preview.mp4</t>
  </si>
  <si>
    <t>bee_count_output/runs/selected/ANU-25-summer-20_20260402_080000_frame_flux.csv</t>
  </si>
  <si>
    <t>bee_count_output/runs/selected/ANU-25-summer-20_20260402_080000_window_3sec.csv</t>
  </si>
  <si>
    <t>ANU-25-summer-20_20260402_090000.mp4</t>
  </si>
  <si>
    <t>videos/ANU-25-summer-20_20260402_090000.mp4</t>
  </si>
  <si>
    <t>bee_count_output/runs/selected/ANU-25-summer-20_20260402_090000_preview.mp4</t>
  </si>
  <si>
    <t>bee_count_output/runs/selected/ANU-25-summer-20_20260402_090000_frame_flux.csv</t>
  </si>
  <si>
    <t>bee_count_output/runs/selected/ANU-25-summer-20_20260402_090000_window_3sec.csv</t>
  </si>
  <si>
    <t>ANU-25-summer-20_20260402_100000.mp4</t>
  </si>
  <si>
    <t>videos/ANU-25-summer-20_20260402_100000.mp4</t>
  </si>
  <si>
    <t>bee_count_output/runs/selected/ANU-25-summer-20_20260402_100000_preview.mp4</t>
  </si>
  <si>
    <t>bee_count_output/runs/selected/ANU-25-summer-20_20260402_100000_frame_flux.csv</t>
  </si>
  <si>
    <t>bee_count_output/runs/selected/ANU-25-summer-20_20260402_100000_window_3sec.csv</t>
  </si>
  <si>
    <t>ANU-25-summer-20_20260402_110000.mp4</t>
  </si>
  <si>
    <t>videos/ANU-25-summer-20_20260402_110000.mp4</t>
  </si>
  <si>
    <t>bee_count_output/runs/selected/ANU-25-summer-20_20260402_110000_preview.mp4</t>
  </si>
  <si>
    <t>bee_count_output/runs/selected/ANU-25-summer-20_20260402_110000_frame_flux.csv</t>
  </si>
  <si>
    <t>bee_count_output/runs/selected/ANU-25-summer-20_20260402_110000_window_3sec.csv</t>
  </si>
  <si>
    <t>ANU-25-summer-20_20260402_120000.mp4</t>
  </si>
  <si>
    <t>videos/ANU-25-summer-20_20260402_120000.mp4</t>
  </si>
  <si>
    <t>bee_count_output/runs/selected/ANU-25-summer-20_20260402_120000_preview.mp4</t>
  </si>
  <si>
    <t>bee_count_output/runs/selected/ANU-25-summer-20_20260402_120000_frame_flux.csv</t>
  </si>
  <si>
    <t>bee_count_output/runs/selected/ANU-25-summer-20_20260402_120000_window_3sec.csv</t>
  </si>
  <si>
    <t>ANU-25-summer-20_20260402_130000.mp4</t>
  </si>
  <si>
    <t>videos/ANU-25-summer-20_20260402_130000.mp4</t>
  </si>
  <si>
    <t>bee_count_output/runs/selected/ANU-25-summer-20_20260402_130000_preview.mp4</t>
  </si>
  <si>
    <t>bee_count_output/runs/selected/ANU-25-summer-20_20260402_130000_frame_flux.csv</t>
  </si>
  <si>
    <t>bee_count_output/runs/selected/ANU-25-summer-20_20260402_130000_window_3sec.csv</t>
  </si>
  <si>
    <t>ANU-25-summer-20_20260402_140000.mp4</t>
  </si>
  <si>
    <t>videos/ANU-25-summer-20_20260402_140000.mp4</t>
  </si>
  <si>
    <t>bee_count_output/runs/selected/ANU-25-summer-20_20260402_140000_preview.mp4</t>
  </si>
  <si>
    <t>bee_count_output/runs/selected/ANU-25-summer-20_20260402_140000_frame_flux.csv</t>
  </si>
  <si>
    <t>bee_count_output/runs/selected/ANU-25-summer-20_20260402_140000_window_3sec.csv</t>
  </si>
  <si>
    <t>ANU-25-summer-20_20260402_150000.mp4</t>
  </si>
  <si>
    <t>videos/ANU-25-summer-20_20260402_150000.mp4</t>
  </si>
  <si>
    <t>bee_count_output/runs/selected/ANU-25-summer-20_20260402_150000_preview.mp4</t>
  </si>
  <si>
    <t>bee_count_output/runs/selected/ANU-25-summer-20_20260402_150000_frame_flux.csv</t>
  </si>
  <si>
    <t>bee_count_output/runs/selected/ANU-25-summer-20_20260402_150000_window_3sec.csv</t>
  </si>
  <si>
    <t>ANU-25-summer-20_20260402_160000.mp4</t>
  </si>
  <si>
    <t>videos/ANU-25-summer-20_20260402_160000.mp4</t>
  </si>
  <si>
    <t>bee_count_output/runs/selected/ANU-25-summer-20_20260402_160000_preview.mp4</t>
  </si>
  <si>
    <t>bee_count_output/runs/selected/ANU-25-summer-20_20260402_160000_frame_flux.csv</t>
  </si>
  <si>
    <t>bee_count_output/runs/selected/ANU-25-summer-20_20260402_160000_window_3sec.csv</t>
  </si>
  <si>
    <t>ANU-25-summer-20_20260402_170000.mp4</t>
  </si>
  <si>
    <t>videos/ANU-25-summer-20_20260402_170000.mp4</t>
  </si>
  <si>
    <t>bee_count_output/runs/selected/ANU-25-summer-20_20260402_170000_preview.mp4</t>
  </si>
  <si>
    <t>bee_count_output/runs/selected/ANU-25-summer-20_20260402_170000_frame_flux.csv</t>
  </si>
  <si>
    <t>bee_count_output/runs/selected/ANU-25-summer-20_20260402_170000_window_3sec.csv</t>
  </si>
  <si>
    <t>ANU-25-summer-20_20260402_180000.mp4</t>
  </si>
  <si>
    <t>videos/ANU-25-summer-20_20260402_180000.mp4</t>
  </si>
  <si>
    <t>bee_count_output/runs/selected/ANU-25-summer-20_20260402_180000_preview.mp4</t>
  </si>
  <si>
    <t>bee_count_output/runs/selected/ANU-25-summer-20_20260402_180000_frame_flux.csv</t>
  </si>
  <si>
    <t>bee_count_output/runs/selected/ANU-25-summer-20_20260402_180000_window_3sec.csv</t>
  </si>
  <si>
    <t>ANU-25-summer-20_20260402_190000.mp4</t>
  </si>
  <si>
    <t>videos/ANU-25-summer-20_20260402_190000.mp4</t>
  </si>
  <si>
    <t>bee_count_output/runs/selected/ANU-25-summer-20_20260402_190000_preview.mp4</t>
  </si>
  <si>
    <t>bee_count_output/runs/selected/ANU-25-summer-20_20260402_190000_frame_flux.csv</t>
  </si>
  <si>
    <t>bee_count_output/runs/selected/ANU-25-summer-20_20260402_190000_window_3sec.csv</t>
  </si>
  <si>
    <t>ANU-25-summer-20_20260403_060000.mp4</t>
  </si>
  <si>
    <t>videos/ANU-25-summer-20_20260403_060000.mp4</t>
  </si>
  <si>
    <t>bee_count_output/runs/selected/ANU-25-summer-20_20260403_060000_preview.mp4</t>
  </si>
  <si>
    <t>bee_count_output/runs/selected/ANU-25-summer-20_20260403_060000_frame_flux.csv</t>
  </si>
  <si>
    <t>bee_count_output/runs/selected/ANU-25-summer-20_20260403_060000_window_3sec.csv</t>
  </si>
  <si>
    <t>ANU-25-summer-20_20260403_070000.mp4</t>
  </si>
  <si>
    <t>videos/ANU-25-summer-20_20260403_070000.mp4</t>
  </si>
  <si>
    <t>bee_count_output/runs/selected/ANU-25-summer-20_20260403_070000_preview.mp4</t>
  </si>
  <si>
    <t>bee_count_output/runs/selected/ANU-25-summer-20_20260403_070000_frame_flux.csv</t>
  </si>
  <si>
    <t>bee_count_output/runs/selected/ANU-25-summer-20_20260403_070000_window_3sec.csv</t>
  </si>
  <si>
    <t>ANU-25-summer-20_20260403_080000.mp4</t>
  </si>
  <si>
    <t>videos/ANU-25-summer-20_20260403_080000.mp4</t>
  </si>
  <si>
    <t>bee_count_output/runs/selected/ANU-25-summer-20_20260403_080000_preview.mp4</t>
  </si>
  <si>
    <t>bee_count_output/runs/selected/ANU-25-summer-20_20260403_080000_frame_flux.csv</t>
  </si>
  <si>
    <t>bee_count_output/runs/selected/ANU-25-summer-20_20260403_080000_window_3sec.csv</t>
  </si>
  <si>
    <t>ANU-25-summer-20_20260403_090000.mp4</t>
  </si>
  <si>
    <t>videos/ANU-25-summer-20_20260403_090000.mp4</t>
  </si>
  <si>
    <t>bee_count_output/runs/selected/ANU-25-summer-20_20260403_090000_preview.mp4</t>
  </si>
  <si>
    <t>bee_count_output/runs/selected/ANU-25-summer-20_20260403_090000_frame_flux.csv</t>
  </si>
  <si>
    <t>bee_count_output/runs/selected/ANU-25-summer-20_20260403_090000_window_3sec.csv</t>
  </si>
  <si>
    <t>ANU-25-summer-20_20260403_100000.mp4</t>
  </si>
  <si>
    <t>videos/ANU-25-summer-20_20260403_100000.mp4</t>
  </si>
  <si>
    <t>bee_count_output/runs/selected/ANU-25-summer-20_20260403_100000_preview.mp4</t>
  </si>
  <si>
    <t>bee_count_output/runs/selected/ANU-25-summer-20_20260403_100000_frame_flux.csv</t>
  </si>
  <si>
    <t>bee_count_output/runs/selected/ANU-25-summer-20_20260403_100000_window_3sec.csv</t>
  </si>
  <si>
    <t>ANU-25-summer-20_20260403_110000.mp4</t>
  </si>
  <si>
    <t>videos/ANU-25-summer-20_20260403_110000.mp4</t>
  </si>
  <si>
    <t>bee_count_output/runs/selected/ANU-25-summer-20_20260403_110000_preview.mp4</t>
  </si>
  <si>
    <t>bee_count_output/runs/selected/ANU-25-summer-20_20260403_110000_frame_flux.csv</t>
  </si>
  <si>
    <t>bee_count_output/runs/selected/ANU-25-summer-20_20260403_110000_window_3sec.csv</t>
  </si>
  <si>
    <t>ANU-25-summer-20_20260403_120000.mp4</t>
  </si>
  <si>
    <t>videos/ANU-25-summer-20_20260403_120000.mp4</t>
  </si>
  <si>
    <t>bee_count_output/runs/selected/ANU-25-summer-20_20260403_120000_preview.mp4</t>
  </si>
  <si>
    <t>bee_count_output/runs/selected/ANU-25-summer-20_20260403_120000_frame_flux.csv</t>
  </si>
  <si>
    <t>bee_count_output/runs/selected/ANU-25-summer-20_20260403_120000_window_3sec.csv</t>
  </si>
  <si>
    <t>ANU-25-summer-20_20260403_130000.mp4</t>
  </si>
  <si>
    <t>videos/ANU-25-summer-20_20260403_130000.mp4</t>
  </si>
  <si>
    <t>bee_count_output/runs/selected/ANU-25-summer-20_20260403_130000_preview.mp4</t>
  </si>
  <si>
    <t>bee_count_output/runs/selected/ANU-25-summer-20_20260403_130000_frame_flux.csv</t>
  </si>
  <si>
    <t>bee_count_output/runs/selected/ANU-25-summer-20_20260403_130000_window_3sec.csv</t>
  </si>
  <si>
    <t>ANU-25-summer-20_20260403_140000.mp4</t>
  </si>
  <si>
    <t>videos/ANU-25-summer-20_20260403_140000.mp4</t>
  </si>
  <si>
    <t>bee_count_output/runs/selected/ANU-25-summer-20_20260403_140000_preview.mp4</t>
  </si>
  <si>
    <t>bee_count_output/runs/selected/ANU-25-summer-20_20260403_140000_frame_flux.csv</t>
  </si>
  <si>
    <t>bee_count_output/runs/selected/ANU-25-summer-20_20260403_140000_window_3sec.csv</t>
  </si>
  <si>
    <t>ANU-25-summer-20_20260403_150000.mp4</t>
  </si>
  <si>
    <t>videos/ANU-25-summer-20_20260403_150000.mp4</t>
  </si>
  <si>
    <t>bee_count_output/runs/selected/ANU-25-summer-20_20260403_150000_preview.mp4</t>
  </si>
  <si>
    <t>bee_count_output/runs/selected/ANU-25-summer-20_20260403_150000_frame_flux.csv</t>
  </si>
  <si>
    <t>bee_count_output/runs/selected/ANU-25-summer-20_20260403_150000_window_3sec.csv</t>
  </si>
  <si>
    <t>ANU-25-summer-20_20260403_160000.mp4</t>
  </si>
  <si>
    <t>videos/ANU-25-summer-20_20260403_160000.mp4</t>
  </si>
  <si>
    <t>bee_count_output/runs/selected/ANU-25-summer-20_20260403_160000_preview.mp4</t>
  </si>
  <si>
    <t>bee_count_output/runs/selected/ANU-25-summer-20_20260403_160000_frame_flux.csv</t>
  </si>
  <si>
    <t>bee_count_output/runs/selected/ANU-25-summer-20_20260403_160000_window_3sec.csv</t>
  </si>
  <si>
    <t>ANU-25-summer-20_20260403_170000.mp4</t>
  </si>
  <si>
    <t>videos/ANU-25-summer-20_20260403_170000.mp4</t>
  </si>
  <si>
    <t>bee_count_output/runs/selected/ANU-25-summer-20_20260403_170000_preview.mp4</t>
  </si>
  <si>
    <t>bee_count_output/runs/selected/ANU-25-summer-20_20260403_170000_frame_flux.csv</t>
  </si>
  <si>
    <t>bee_count_output/runs/selected/ANU-25-summer-20_20260403_170000_window_3sec.csv</t>
  </si>
  <si>
    <t>ANU-25-summer-20_20260403_180000.mp4</t>
  </si>
  <si>
    <t>videos/ANU-25-summer-20_20260403_180000.mp4</t>
  </si>
  <si>
    <t>bee_count_output/runs/selected/ANU-25-summer-20_20260403_180000_preview.mp4</t>
  </si>
  <si>
    <t>bee_count_output/runs/selected/ANU-25-summer-20_20260403_180000_frame_flux.csv</t>
  </si>
  <si>
    <t>bee_count_output/runs/selected/ANU-25-summer-20_20260403_180000_window_3sec.csv</t>
  </si>
  <si>
    <t>ANU-25-summer-20_20260403_190000.mp4</t>
  </si>
  <si>
    <t>videos/ANU-25-summer-20_20260403_190000.mp4</t>
  </si>
  <si>
    <t>bee_count_output/runs/selected/ANU-25-summer-20_20260403_190000_preview.mp4</t>
  </si>
  <si>
    <t>bee_count_output/runs/selected/ANU-25-summer-20_20260403_190000_frame_flux.csv</t>
  </si>
  <si>
    <t>bee_count_output/runs/selected/ANU-25-summer-20_20260403_190000_window_3sec.csv</t>
  </si>
  <si>
    <t>ANU-25-summer-20_20260404_060000.mp4</t>
  </si>
  <si>
    <t>videos/ANU-25-summer-20_20260404_060000.mp4</t>
  </si>
  <si>
    <t>bee_count_output/runs/selected/ANU-25-summer-20_20260404_060000_preview.mp4</t>
  </si>
  <si>
    <t>bee_count_output/runs/selected/ANU-25-summer-20_20260404_060000_frame_flux.csv</t>
  </si>
  <si>
    <t>bee_count_output/runs/selected/ANU-25-summer-20_20260404_060000_window_3sec.csv</t>
  </si>
  <si>
    <t>ANU-25-summer-20_20260404_070000.mp4</t>
  </si>
  <si>
    <t>videos/ANU-25-summer-20_20260404_070000.mp4</t>
  </si>
  <si>
    <t>bee_count_output/runs/selected/ANU-25-summer-20_20260404_070000_preview.mp4</t>
  </si>
  <si>
    <t>bee_count_output/runs/selected/ANU-25-summer-20_20260404_070000_frame_flux.csv</t>
  </si>
  <si>
    <t>bee_count_output/runs/selected/ANU-25-summer-20_20260404_070000_window_3sec.csv</t>
  </si>
  <si>
    <t>ANU-25-summer-20_20260404_080000.mp4</t>
  </si>
  <si>
    <t>videos/ANU-25-summer-20_20260404_080000.mp4</t>
  </si>
  <si>
    <t>bee_count_output/runs/selected/ANU-25-summer-20_20260404_080000_preview.mp4</t>
  </si>
  <si>
    <t>bee_count_output/runs/selected/ANU-25-summer-20_20260404_080000_frame_flux.csv</t>
  </si>
  <si>
    <t>bee_count_output/runs/selected/ANU-25-summer-20_20260404_080000_window_3sec.csv</t>
  </si>
  <si>
    <t>ANU-25-summer-20_20260404_090000.mp4</t>
  </si>
  <si>
    <t>videos/ANU-25-summer-20_20260404_090000.mp4</t>
  </si>
  <si>
    <t>bee_count_output/runs/selected/ANU-25-summer-20_20260404_090000_preview.mp4</t>
  </si>
  <si>
    <t>bee_count_output/runs/selected/ANU-25-summer-20_20260404_090000_frame_flux.csv</t>
  </si>
  <si>
    <t>bee_count_output/runs/selected/ANU-25-summer-20_20260404_090000_window_3sec.csv</t>
  </si>
  <si>
    <t>ANU-25-summer-20_20260404_100000.mp4</t>
  </si>
  <si>
    <t>videos/ANU-25-summer-20_20260404_100000.mp4</t>
  </si>
  <si>
    <t>bee_count_output/runs/selected/ANU-25-summer-20_20260404_100000_preview.mp4</t>
  </si>
  <si>
    <t>bee_count_output/runs/selected/ANU-25-summer-20_20260404_100000_frame_flux.csv</t>
  </si>
  <si>
    <t>bee_count_output/runs/selected/ANU-25-summer-20_20260404_100000_window_3sec.csv</t>
  </si>
  <si>
    <t>ANU-25-summer-20_20260404_110000.mp4</t>
  </si>
  <si>
    <t>videos/ANU-25-summer-20_20260404_110000.mp4</t>
  </si>
  <si>
    <t>bee_count_output/runs/selected/ANU-25-summer-20_20260404_110000_preview.mp4</t>
  </si>
  <si>
    <t>bee_count_output/runs/selected/ANU-25-summer-20_20260404_110000_frame_flux.csv</t>
  </si>
  <si>
    <t>bee_count_output/runs/selected/ANU-25-summer-20_20260404_110000_window_3sec.csv</t>
  </si>
  <si>
    <t>ANU-25-summer-20_20260404_120000.mp4</t>
  </si>
  <si>
    <t>videos/ANU-25-summer-20_20260404_120000.mp4</t>
  </si>
  <si>
    <t>bee_count_output/runs/selected/ANU-25-summer-20_20260404_120000_preview.mp4</t>
  </si>
  <si>
    <t>bee_count_output/runs/selected/ANU-25-summer-20_20260404_120000_frame_flux.csv</t>
  </si>
  <si>
    <t>bee_count_output/runs/selected/ANU-25-summer-20_20260404_120000_window_3sec.csv</t>
  </si>
  <si>
    <t>ANU-25-summer-20_20260404_130000.mp4</t>
  </si>
  <si>
    <t>videos/ANU-25-summer-20_20260404_130000.mp4</t>
  </si>
  <si>
    <t>bee_count_output/runs/selected/ANU-25-summer-20_20260404_130000_preview.mp4</t>
  </si>
  <si>
    <t>bee_count_output/runs/selected/ANU-25-summer-20_20260404_130000_frame_flux.csv</t>
  </si>
  <si>
    <t>bee_count_output/runs/selected/ANU-25-summer-20_20260404_130000_window_3sec.csv</t>
  </si>
  <si>
    <t>ANU-25-summer-20_20260404_140000.mp4</t>
  </si>
  <si>
    <t>videos/ANU-25-summer-20_20260404_140000.mp4</t>
  </si>
  <si>
    <t>bee_count_output/runs/selected/ANU-25-summer-20_20260404_140000_preview.mp4</t>
  </si>
  <si>
    <t>bee_count_output/runs/selected/ANU-25-summer-20_20260404_140000_frame_flux.csv</t>
  </si>
  <si>
    <t>bee_count_output/runs/selected/ANU-25-summer-20_20260404_140000_window_3sec.csv</t>
  </si>
  <si>
    <t>ANU-25-summer-20_20260404_150000.mp4</t>
  </si>
  <si>
    <t>videos/ANU-25-summer-20_20260404_150000.mp4</t>
  </si>
  <si>
    <t>bee_count_output/runs/selected/ANU-25-summer-20_20260404_150000_preview.mp4</t>
  </si>
  <si>
    <t>bee_count_output/runs/selected/ANU-25-summer-20_20260404_150000_frame_flux.csv</t>
  </si>
  <si>
    <t>bee_count_output/runs/selected/ANU-25-summer-20_20260404_150000_window_3sec.csv</t>
  </si>
  <si>
    <t>ANU-25-summer-20_20260404_160000.mp4</t>
  </si>
  <si>
    <t>videos/ANU-25-summer-20_20260404_160000.mp4</t>
  </si>
  <si>
    <t>bee_count_output/runs/selected/ANU-25-summer-20_20260404_160000_preview.mp4</t>
  </si>
  <si>
    <t>bee_count_output/runs/selected/ANU-25-summer-20_20260404_160000_frame_flux.csv</t>
  </si>
  <si>
    <t>bee_count_output/runs/selected/ANU-25-summer-20_20260404_160000_window_3sec.csv</t>
  </si>
  <si>
    <t>ANU-25-summer-20_20260404_170000.mp4</t>
  </si>
  <si>
    <t>videos/ANU-25-summer-20_20260404_170000.mp4</t>
  </si>
  <si>
    <t>bee_count_output/runs/selected/ANU-25-summer-20_20260404_170000_preview.mp4</t>
  </si>
  <si>
    <t>bee_count_output/runs/selected/ANU-25-summer-20_20260404_170000_frame_flux.csv</t>
  </si>
  <si>
    <t>bee_count_output/runs/selected/ANU-25-summer-20_20260404_170000_window_3sec.csv</t>
  </si>
  <si>
    <t>ANU-25-summer-20_20260404_180000.mp4</t>
  </si>
  <si>
    <t>videos/ANU-25-summer-20_20260404_180000.mp4</t>
  </si>
  <si>
    <t>bee_count_output/runs/selected/ANU-25-summer-20_20260404_180000_preview.mp4</t>
  </si>
  <si>
    <t>bee_count_output/runs/selected/ANU-25-summer-20_20260404_180000_frame_flux.csv</t>
  </si>
  <si>
    <t>bee_count_output/runs/selected/ANU-25-summer-20_20260404_180000_window_3sec.csv</t>
  </si>
  <si>
    <t>ANU-25-summer-20_20260404_190000.mp4</t>
  </si>
  <si>
    <t>videos/ANU-25-summer-20_20260404_190000.mp4</t>
  </si>
  <si>
    <t>bee_count_output/runs/selected/ANU-25-summer-20_20260404_190000_preview.mp4</t>
  </si>
  <si>
    <t>bee_count_output/runs/selected/ANU-25-summer-20_20260404_190000_frame_flux.csv</t>
  </si>
  <si>
    <t>bee_count_output/runs/selected/ANU-25-summer-20_20260404_190000_window_3sec.csv</t>
  </si>
  <si>
    <t>ANU-25-summer-20_20260405_060000.mp4</t>
  </si>
  <si>
    <t>videos/ANU-25-summer-20_20260405_060000.mp4</t>
  </si>
  <si>
    <t>bee_count_output/runs/selected/ANU-25-summer-20_20260405_060000_preview.mp4</t>
  </si>
  <si>
    <t>bee_count_output/runs/selected/ANU-25-summer-20_20260405_060000_frame_flux.csv</t>
  </si>
  <si>
    <t>bee_count_output/runs/selected/ANU-25-summer-20_20260405_060000_window_3sec.csv</t>
  </si>
  <si>
    <t>ANU-25-summer-20_20260405_070000.mp4</t>
  </si>
  <si>
    <t>videos/ANU-25-summer-20_20260405_070000.mp4</t>
  </si>
  <si>
    <t>bee_count_output/runs/selected/ANU-25-summer-20_20260405_070000_preview.mp4</t>
  </si>
  <si>
    <t>bee_count_output/runs/selected/ANU-25-summer-20_20260405_070000_frame_flux.csv</t>
  </si>
  <si>
    <t>bee_count_output/runs/selected/ANU-25-summer-20_20260405_070000_window_3sec.csv</t>
  </si>
  <si>
    <t>ANU-25-summer-20_20260405_080000.mp4</t>
  </si>
  <si>
    <t>videos/ANU-25-summer-20_20260405_080000.mp4</t>
  </si>
  <si>
    <t>bee_count_output/runs/selected/ANU-25-summer-20_20260405_080000_preview.mp4</t>
  </si>
  <si>
    <t>bee_count_output/runs/selected/ANU-25-summer-20_20260405_080000_frame_flux.csv</t>
  </si>
  <si>
    <t>bee_count_output/runs/selected/ANU-25-summer-20_20260405_080000_window_3sec.csv</t>
  </si>
  <si>
    <t>ANU-25-summer-20_20260405_090000.mp4</t>
  </si>
  <si>
    <t>videos/ANU-25-summer-20_20260405_090000.mp4</t>
  </si>
  <si>
    <t>bee_count_output/runs/selected/ANU-25-summer-20_20260405_090000_preview.mp4</t>
  </si>
  <si>
    <t>bee_count_output/runs/selected/ANU-25-summer-20_20260405_090000_frame_flux.csv</t>
  </si>
  <si>
    <t>bee_count_output/runs/selected/ANU-25-summer-20_20260405_090000_window_3sec.csv</t>
  </si>
  <si>
    <t>ANU-25-summer-20_20260405_100000.mp4</t>
  </si>
  <si>
    <t>videos/ANU-25-summer-20_20260405_100000.mp4</t>
  </si>
  <si>
    <t>bee_count_output/runs/selected/ANU-25-summer-20_20260405_100000_preview.mp4</t>
  </si>
  <si>
    <t>bee_count_output/runs/selected/ANU-25-summer-20_20260405_100000_frame_flux.csv</t>
  </si>
  <si>
    <t>bee_count_output/runs/selected/ANU-25-summer-20_20260405_100000_window_3sec.csv</t>
  </si>
  <si>
    <t>ANU-25-summer-20_20260405_110000.mp4</t>
  </si>
  <si>
    <t>videos/ANU-25-summer-20_20260405_110000.mp4</t>
  </si>
  <si>
    <t>bee_count_output/runs/selected/ANU-25-summer-20_20260405_110000_preview.mp4</t>
  </si>
  <si>
    <t>bee_count_output/runs/selected/ANU-25-summer-20_20260405_110000_frame_flux.csv</t>
  </si>
  <si>
    <t>bee_count_output/runs/selected/ANU-25-summer-20_20260405_110000_window_3sec.csv</t>
  </si>
  <si>
    <t>ANU-25-summer-20_20260405_120000.mp4</t>
  </si>
  <si>
    <t>videos/ANU-25-summer-20_20260405_120000.mp4</t>
  </si>
  <si>
    <t>bee_count_output/runs/selected/ANU-25-summer-20_20260405_120000_preview.mp4</t>
  </si>
  <si>
    <t>bee_count_output/runs/selected/ANU-25-summer-20_20260405_120000_frame_flux.csv</t>
  </si>
  <si>
    <t>bee_count_output/runs/selected/ANU-25-summer-20_20260405_120000_window_3sec.csv</t>
  </si>
  <si>
    <t>ANU-25-summer-20_20260405_130000.mp4</t>
  </si>
  <si>
    <t>videos/ANU-25-summer-20_20260405_130000.mp4</t>
  </si>
  <si>
    <t>bee_count_output/runs/selected/ANU-25-summer-20_20260405_130000_preview.mp4</t>
  </si>
  <si>
    <t>bee_count_output/runs/selected/ANU-25-summer-20_20260405_130000_frame_flux.csv</t>
  </si>
  <si>
    <t>bee_count_output/runs/selected/ANU-25-summer-20_20260405_130000_window_3sec.csv</t>
  </si>
  <si>
    <t>ANU-25-summer-20_20260405_140000.mp4</t>
  </si>
  <si>
    <t>videos/ANU-25-summer-20_20260405_140000.mp4</t>
  </si>
  <si>
    <t>bee_count_output/runs/selected/ANU-25-summer-20_20260405_140000_preview.mp4</t>
  </si>
  <si>
    <t>bee_count_output/runs/selected/ANU-25-summer-20_20260405_140000_frame_flux.csv</t>
  </si>
  <si>
    <t>bee_count_output/runs/selected/ANU-25-summer-20_20260405_140000_window_3sec.csv</t>
  </si>
  <si>
    <t>ANU-25-summer-20_20260405_150000.mp4</t>
  </si>
  <si>
    <t>videos/ANU-25-summer-20_20260405_150000.mp4</t>
  </si>
  <si>
    <t>bee_count_output/runs/selected/ANU-25-summer-20_20260405_150000_preview.mp4</t>
  </si>
  <si>
    <t>bee_count_output/runs/selected/ANU-25-summer-20_20260405_150000_frame_flux.csv</t>
  </si>
  <si>
    <t>bee_count_output/runs/selected/ANU-25-summer-20_20260405_150000_window_3sec.csv</t>
  </si>
  <si>
    <t>ANU-25-summer-20_20260405_160000.mp4</t>
  </si>
  <si>
    <t>videos/ANU-25-summer-20_20260405_160000.mp4</t>
  </si>
  <si>
    <t>bee_count_output/runs/selected/ANU-25-summer-20_20260405_160000_preview.mp4</t>
  </si>
  <si>
    <t>bee_count_output/runs/selected/ANU-25-summer-20_20260405_160000_frame_flux.csv</t>
  </si>
  <si>
    <t>bee_count_output/runs/selected/ANU-25-summer-20_20260405_160000_window_3sec.csv</t>
  </si>
  <si>
    <t>ANU-25-summer-20_20260405_170000.mp4</t>
  </si>
  <si>
    <t>videos/ANU-25-summer-20_20260405_170000.mp4</t>
  </si>
  <si>
    <t>bee_count_output/runs/selected/ANU-25-summer-20_20260405_170000_preview.mp4</t>
  </si>
  <si>
    <t>bee_count_output/runs/selected/ANU-25-summer-20_20260405_170000_frame_flux.csv</t>
  </si>
  <si>
    <t>bee_count_output/runs/selected/ANU-25-summer-20_20260405_170000_window_3sec.csv</t>
  </si>
  <si>
    <t>ANU-25-summer-20_20260405_180000.mp4</t>
  </si>
  <si>
    <t>videos/ANU-25-summer-20_20260405_180000.mp4</t>
  </si>
  <si>
    <t>bee_count_output/runs/selected/ANU-25-summer-20_20260405_180000_preview.mp4</t>
  </si>
  <si>
    <t>bee_count_output/runs/selected/ANU-25-summer-20_20260405_180000_frame_flux.csv</t>
  </si>
  <si>
    <t>bee_count_output/runs/selected/ANU-25-summer-20_20260405_180000_window_3sec.csv</t>
  </si>
  <si>
    <t>ANU-25-summer-20_20260405_190000.mp4</t>
  </si>
  <si>
    <t>videos/ANU-25-summer-20_20260405_190000.mp4</t>
  </si>
  <si>
    <t>bee_count_output/runs/selected/ANU-25-summer-20_20260405_190000_preview.mp4</t>
  </si>
  <si>
    <t>bee_count_output/runs/selected/ANU-25-summer-20_20260405_190000_frame_flux.csv</t>
  </si>
  <si>
    <t>bee_count_output/runs/selected/ANU-25-summer-20_20260405_190000_window_3sec.csv</t>
  </si>
  <si>
    <t>ANU-25-summer-20_20260406_060000.mp4</t>
  </si>
  <si>
    <t>videos/ANU-25-summer-20_20260406_060000.mp4</t>
  </si>
  <si>
    <t>bee_count_output/runs/selected/ANU-25-summer-20_20260406_060000_preview.mp4</t>
  </si>
  <si>
    <t>bee_count_output/runs/selected/ANU-25-summer-20_20260406_060000_frame_flux.csv</t>
  </si>
  <si>
    <t>bee_count_output/runs/selected/ANU-25-summer-20_20260406_060000_window_3sec.csv</t>
  </si>
  <si>
    <t>ANU-25-summer-20_20260406_070000.mp4</t>
  </si>
  <si>
    <t>videos/ANU-25-summer-20_20260406_070000.mp4</t>
  </si>
  <si>
    <t>bee_count_output/runs/selected/ANU-25-summer-20_20260406_070000_preview.mp4</t>
  </si>
  <si>
    <t>bee_count_output/runs/selected/ANU-25-summer-20_20260406_070000_frame_flux.csv</t>
  </si>
  <si>
    <t>bee_count_output/runs/selected/ANU-25-summer-20_20260406_070000_window_3sec.csv</t>
  </si>
  <si>
    <t>ANU-25-summer-20_20260406_080000.mp4</t>
  </si>
  <si>
    <t>videos/ANU-25-summer-20_20260406_080000.mp4</t>
  </si>
  <si>
    <t>bee_count_output/runs/selected/ANU-25-summer-20_20260406_080000_preview.mp4</t>
  </si>
  <si>
    <t>bee_count_output/runs/selected/ANU-25-summer-20_20260406_080000_frame_flux.csv</t>
  </si>
  <si>
    <t>bee_count_output/runs/selected/ANU-25-summer-20_20260406_080000_window_3sec.csv</t>
  </si>
  <si>
    <t>ANU-25-summer-20_20260406_090000.mp4</t>
  </si>
  <si>
    <t>videos/ANU-25-summer-20_20260406_090000.mp4</t>
  </si>
  <si>
    <t>bee_count_output/runs/selected/ANU-25-summer-20_20260406_090000_preview.mp4</t>
  </si>
  <si>
    <t>bee_count_output/runs/selected/ANU-25-summer-20_20260406_090000_frame_flux.csv</t>
  </si>
  <si>
    <t>bee_count_output/runs/selected/ANU-25-summer-20_20260406_090000_window_3sec.csv</t>
  </si>
  <si>
    <t>ANU-25-summer-20_20260406_100000.mp4</t>
  </si>
  <si>
    <t>videos/ANU-25-summer-20_20260406_100000.mp4</t>
  </si>
  <si>
    <t>bee_count_output/runs/selected/ANU-25-summer-20_20260406_100000_preview.mp4</t>
  </si>
  <si>
    <t>bee_count_output/runs/selected/ANU-25-summer-20_20260406_100000_frame_flux.csv</t>
  </si>
  <si>
    <t>bee_count_output/runs/selected/ANU-25-summer-20_20260406_100000_window_3sec.csv</t>
  </si>
  <si>
    <t>ANU-25-summer-20_20260406_110000.mp4</t>
  </si>
  <si>
    <t>videos/ANU-25-summer-20_20260406_110000.mp4</t>
  </si>
  <si>
    <t>bee_count_output/runs/selected/ANU-25-summer-20_20260406_110000_preview.mp4</t>
  </si>
  <si>
    <t>bee_count_output/runs/selected/ANU-25-summer-20_20260406_110000_frame_flux.csv</t>
  </si>
  <si>
    <t>bee_count_output/runs/selected/ANU-25-summer-20_20260406_110000_window_3sec.csv</t>
  </si>
  <si>
    <t>ANU-25-summer-20_20260406_120000.mp4</t>
  </si>
  <si>
    <t>videos/ANU-25-summer-20_20260406_120000.mp4</t>
  </si>
  <si>
    <t>bee_count_output/runs/selected/ANU-25-summer-20_20260406_120000_preview.mp4</t>
  </si>
  <si>
    <t>bee_count_output/runs/selected/ANU-25-summer-20_20260406_120000_frame_flux.csv</t>
  </si>
  <si>
    <t>bee_count_output/runs/selected/ANU-25-summer-20_20260406_120000_window_3sec.csv</t>
  </si>
  <si>
    <t>ANU-25-summer-20_20260406_130000.mp4</t>
  </si>
  <si>
    <t>videos/ANU-25-summer-20_20260406_130000.mp4</t>
  </si>
  <si>
    <t>bee_count_output/runs/selected/ANU-25-summer-20_20260406_130000_preview.mp4</t>
  </si>
  <si>
    <t>bee_count_output/runs/selected/ANU-25-summer-20_20260406_130000_frame_flux.csv</t>
  </si>
  <si>
    <t>bee_count_output/runs/selected/ANU-25-summer-20_20260406_130000_window_3sec.csv</t>
  </si>
  <si>
    <t>ANU-25-summer-20_20260406_140000.mp4</t>
  </si>
  <si>
    <t>videos/ANU-25-summer-20_20260406_140000.mp4</t>
  </si>
  <si>
    <t>bee_count_output/runs/selected/ANU-25-summer-20_20260406_140000_preview.mp4</t>
  </si>
  <si>
    <t>bee_count_output/runs/selected/ANU-25-summer-20_20260406_140000_frame_flux.csv</t>
  </si>
  <si>
    <t>bee_count_output/runs/selected/ANU-25-summer-20_20260406_140000_window_3sec.csv</t>
  </si>
  <si>
    <t>ANU-25-summer-20_20260406_150000.mp4</t>
  </si>
  <si>
    <t>videos/ANU-25-summer-20_20260406_150000.mp4</t>
  </si>
  <si>
    <t>bee_count_output/runs/selected/ANU-25-summer-20_20260406_150000_preview.mp4</t>
  </si>
  <si>
    <t>bee_count_output/runs/selected/ANU-25-summer-20_20260406_150000_frame_flux.csv</t>
  </si>
  <si>
    <t>bee_count_output/runs/selected/ANU-25-summer-20_20260406_150000_window_3sec.csv</t>
  </si>
  <si>
    <t>ANU-25-summer-20_20260406_160000.mp4</t>
  </si>
  <si>
    <t>videos/ANU-25-summer-20_20260406_160000.mp4</t>
  </si>
  <si>
    <t>bee_count_output/runs/selected/ANU-25-summer-20_20260406_160000_preview.mp4</t>
  </si>
  <si>
    <t>bee_count_output/runs/selected/ANU-25-summer-20_20260406_160000_frame_flux.csv</t>
  </si>
  <si>
    <t>bee_count_output/runs/selected/ANU-25-summer-20_20260406_160000_window_3sec.csv</t>
  </si>
  <si>
    <t>ANU-25-summer-20_20260406_170000.mp4</t>
  </si>
  <si>
    <t>videos/ANU-25-summer-20_20260406_170000.mp4</t>
  </si>
  <si>
    <t>bee_count_output/runs/selected/ANU-25-summer-20_20260406_170000_preview.mp4</t>
  </si>
  <si>
    <t>bee_count_output/runs/selected/ANU-25-summer-20_20260406_170000_frame_flux.csv</t>
  </si>
  <si>
    <t>bee_count_output/runs/selected/ANU-25-summer-20_20260406_170000_window_3sec.csv</t>
  </si>
  <si>
    <t>ANU-25-summer-20_20260406_180000.mp4</t>
  </si>
  <si>
    <t>videos/ANU-25-summer-20_20260406_180000.mp4</t>
  </si>
  <si>
    <t>bee_count_output/runs/selected/ANU-25-summer-20_20260406_180000_preview.mp4</t>
  </si>
  <si>
    <t>bee_count_output/runs/selected/ANU-25-summer-20_20260406_180000_frame_flux.csv</t>
  </si>
  <si>
    <t>bee_count_output/runs/selected/ANU-25-summer-20_20260406_180000_window_3sec.csv</t>
  </si>
  <si>
    <t>ANU-25-summer-20_20260406_190000.mp4</t>
  </si>
  <si>
    <t>videos/ANU-25-summer-20_20260406_190000.mp4</t>
  </si>
  <si>
    <t>bee_count_output/runs/selected/ANU-25-summer-20_20260406_190000_preview.mp4</t>
  </si>
  <si>
    <t>bee_count_output/runs/selected/ANU-25-summer-20_20260406_190000_frame_flux.csv</t>
  </si>
  <si>
    <t>bee_count_output/runs/selected/ANU-25-summer-20_20260406_190000_window_3sec.csv</t>
  </si>
  <si>
    <t>ANU-25-summer-20_20260407_060000.mp4</t>
  </si>
  <si>
    <t>videos/ANU-25-summer-20_20260407_060000.mp4</t>
  </si>
  <si>
    <t>bee_count_output/runs/selected/ANU-25-summer-20_20260407_060000_preview.mp4</t>
  </si>
  <si>
    <t>bee_count_output/runs/selected/ANU-25-summer-20_20260407_060000_frame_flux.csv</t>
  </si>
  <si>
    <t>bee_count_output/runs/selected/ANU-25-summer-20_20260407_060000_window_3sec.csv</t>
  </si>
  <si>
    <t>ANU-25-summer-20_20260407_070000.mp4</t>
  </si>
  <si>
    <t>videos/ANU-25-summer-20_20260407_070000.mp4</t>
  </si>
  <si>
    <t>bee_count_output/runs/selected/ANU-25-summer-20_20260407_070000_preview.mp4</t>
  </si>
  <si>
    <t>bee_count_output/runs/selected/ANU-25-summer-20_20260407_070000_frame_flux.csv</t>
  </si>
  <si>
    <t>bee_count_output/runs/selected/ANU-25-summer-20_20260407_070000_window_3sec.csv</t>
  </si>
  <si>
    <t>ANU-25-summer-20_20260407_080000.mp4</t>
  </si>
  <si>
    <t>videos/ANU-25-summer-20_20260407_080000.mp4</t>
  </si>
  <si>
    <t>bee_count_output/runs/selected/ANU-25-summer-20_20260407_080000_preview.mp4</t>
  </si>
  <si>
    <t>bee_count_output/runs/selected/ANU-25-summer-20_20260407_080000_frame_flux.csv</t>
  </si>
  <si>
    <t>bee_count_output/runs/selected/ANU-25-summer-20_20260407_080000_window_3sec.csv</t>
  </si>
  <si>
    <t>ANU-25-summer-20_20260407_090000.mp4</t>
  </si>
  <si>
    <t>videos/ANU-25-summer-20_20260407_090000.mp4</t>
  </si>
  <si>
    <t>bee_count_output/runs/selected/ANU-25-summer-20_20260407_090000_preview.mp4</t>
  </si>
  <si>
    <t>bee_count_output/runs/selected/ANU-25-summer-20_20260407_090000_frame_flux.csv</t>
  </si>
  <si>
    <t>bee_count_output/runs/selected/ANU-25-summer-20_20260407_090000_window_3sec.csv</t>
  </si>
  <si>
    <t>ANU-25-summer-20_20260407_100000.mp4</t>
  </si>
  <si>
    <t>videos/ANU-25-summer-20_20260407_100000.mp4</t>
  </si>
  <si>
    <t>bee_count_output/runs/selected/ANU-25-summer-20_20260407_100000_preview.mp4</t>
  </si>
  <si>
    <t>bee_count_output/runs/selected/ANU-25-summer-20_20260407_100000_frame_flux.csv</t>
  </si>
  <si>
    <t>bee_count_output/runs/selected/ANU-25-summer-20_20260407_100000_window_3sec.csv</t>
  </si>
  <si>
    <t>ANU-25-summer-20_20260407_110000.mp4</t>
  </si>
  <si>
    <t>videos/ANU-25-summer-20_20260407_110000.mp4</t>
  </si>
  <si>
    <t>bee_count_output/runs/selected/ANU-25-summer-20_20260407_110000_preview.mp4</t>
  </si>
  <si>
    <t>bee_count_output/runs/selected/ANU-25-summer-20_20260407_110000_frame_flux.csv</t>
  </si>
  <si>
    <t>bee_count_output/runs/selected/ANU-25-summer-20_20260407_110000_window_3sec.csv</t>
  </si>
  <si>
    <t>ANU-25-summer-20_20260407_120000.mp4</t>
  </si>
  <si>
    <t>videos/ANU-25-summer-20_20260407_120000.mp4</t>
  </si>
  <si>
    <t>bee_count_output/runs/selected/ANU-25-summer-20_20260407_120000_preview.mp4</t>
  </si>
  <si>
    <t>bee_count_output/runs/selected/ANU-25-summer-20_20260407_120000_frame_flux.csv</t>
  </si>
  <si>
    <t>bee_count_output/runs/selected/ANU-25-summer-20_20260407_120000_window_3sec.csv</t>
  </si>
  <si>
    <t>ANU-25-summer-20_20260407_130000.mp4</t>
  </si>
  <si>
    <t>videos/ANU-25-summer-20_20260407_130000.mp4</t>
  </si>
  <si>
    <t>bee_count_output/runs/selected/ANU-25-summer-20_20260407_130000_preview.mp4</t>
  </si>
  <si>
    <t>bee_count_output/runs/selected/ANU-25-summer-20_20260407_130000_frame_flux.csv</t>
  </si>
  <si>
    <t>bee_count_output/runs/selected/ANU-25-summer-20_20260407_130000_window_3sec.csv</t>
  </si>
  <si>
    <t>ANU-25-summer-20_20260407_140000.mp4</t>
  </si>
  <si>
    <t>videos/ANU-25-summer-20_20260407_140000.mp4</t>
  </si>
  <si>
    <t>bee_count_output/runs/selected/ANU-25-summer-20_20260407_140000_preview.mp4</t>
  </si>
  <si>
    <t>bee_count_output/runs/selected/ANU-25-summer-20_20260407_140000_frame_flux.csv</t>
  </si>
  <si>
    <t>bee_count_output/runs/selected/ANU-25-summer-20_20260407_140000_window_3sec.csv</t>
  </si>
  <si>
    <t>ANU-25-summer-20_20260407_150000.mp4</t>
  </si>
  <si>
    <t>videos/ANU-25-summer-20_20260407_150000.mp4</t>
  </si>
  <si>
    <t>bee_count_output/runs/selected/ANU-25-summer-20_20260407_150000_preview.mp4</t>
  </si>
  <si>
    <t>bee_count_output/runs/selected/ANU-25-summer-20_20260407_150000_frame_flux.csv</t>
  </si>
  <si>
    <t>bee_count_output/runs/selected/ANU-25-summer-20_20260407_150000_window_3sec.csv</t>
  </si>
  <si>
    <t>ANU-25-summer-20_20260407_160000.mp4</t>
  </si>
  <si>
    <t>videos/ANU-25-summer-20_20260407_160000.mp4</t>
  </si>
  <si>
    <t>bee_count_output/runs/selected/ANU-25-summer-20_20260407_160000_preview.mp4</t>
  </si>
  <si>
    <t>bee_count_output/runs/selected/ANU-25-summer-20_20260407_160000_frame_flux.csv</t>
  </si>
  <si>
    <t>bee_count_output/runs/selected/ANU-25-summer-20_20260407_160000_window_3sec.csv</t>
  </si>
  <si>
    <t>ANU-25-summer-20_20260407_170000.mp4</t>
  </si>
  <si>
    <t>videos/ANU-25-summer-20_20260407_170000.mp4</t>
  </si>
  <si>
    <t>bee_count_output/runs/selected/ANU-25-summer-20_20260407_170000_preview.mp4</t>
  </si>
  <si>
    <t>bee_count_output/runs/selected/ANU-25-summer-20_20260407_170000_frame_flux.csv</t>
  </si>
  <si>
    <t>bee_count_output/runs/selected/ANU-25-summer-20_20260407_170000_window_3sec.csv</t>
  </si>
  <si>
    <t>ANU-25-summer-20_20260407_180000.mp4</t>
  </si>
  <si>
    <t>videos/ANU-25-summer-20_20260407_180000.mp4</t>
  </si>
  <si>
    <t>bee_count_output/runs/selected/ANU-25-summer-20_20260407_180000_preview.mp4</t>
  </si>
  <si>
    <t>bee_count_output/runs/selected/ANU-25-summer-20_20260407_180000_frame_flux.csv</t>
  </si>
  <si>
    <t>bee_count_output/runs/selected/ANU-25-summer-20_20260407_180000_window_3sec.csv</t>
  </si>
  <si>
    <t>ANU-25-summer-20_20260407_190000.mp4</t>
  </si>
  <si>
    <t>videos/ANU-25-summer-20_20260407_190000.mp4</t>
  </si>
  <si>
    <t>bee_count_output/runs/selected/ANU-25-summer-20_20260407_190000_preview.mp4</t>
  </si>
  <si>
    <t>bee_count_output/runs/selected/ANU-25-summer-20_20260407_190000_frame_flux.csv</t>
  </si>
  <si>
    <t>bee_count_output/runs/selected/ANU-25-summer-20_20260407_190000_window_3sec.csv</t>
  </si>
  <si>
    <t>ANU-25-summer-20_20260408_060000.mp4</t>
  </si>
  <si>
    <t>videos/ANU-25-summer-20_20260408_060000.mp4</t>
  </si>
  <si>
    <t>bee_count_output/runs/selected/ANU-25-summer-20_20260408_060000_preview.mp4</t>
  </si>
  <si>
    <t>bee_count_output/runs/selected/ANU-25-summer-20_20260408_060000_frame_flux.csv</t>
  </si>
  <si>
    <t>bee_count_output/runs/selected/ANU-25-summer-20_20260408_060000_window_3sec.csv</t>
  </si>
  <si>
    <t>ANU-25-summer-20_20260408_070000.mp4</t>
  </si>
  <si>
    <t>videos/ANU-25-summer-20_20260408_070000.mp4</t>
  </si>
  <si>
    <t>bee_count_output/runs/selected/ANU-25-summer-20_20260408_070000_preview.mp4</t>
  </si>
  <si>
    <t>bee_count_output/runs/selected/ANU-25-summer-20_20260408_070000_frame_flux.csv</t>
  </si>
  <si>
    <t>bee_count_output/runs/selected/ANU-25-summer-20_20260408_070000_window_3sec.csv</t>
  </si>
  <si>
    <t>ANU-25-summer-20_20260408_080000.mp4</t>
  </si>
  <si>
    <t>videos/ANU-25-summer-20_20260408_080000.mp4</t>
  </si>
  <si>
    <t>bee_count_output/runs/selected/ANU-25-summer-20_20260408_080000_preview.mp4</t>
  </si>
  <si>
    <t>bee_count_output/runs/selected/ANU-25-summer-20_20260408_080000_frame_flux.csv</t>
  </si>
  <si>
    <t>bee_count_output/runs/selected/ANU-25-summer-20_20260408_080000_window_3sec.csv</t>
  </si>
  <si>
    <t>ANU-25-summer-20_20260408_090000.mp4</t>
  </si>
  <si>
    <t>videos/ANU-25-summer-20_20260408_090000.mp4</t>
  </si>
  <si>
    <t>bee_count_output/runs/selected/ANU-25-summer-20_20260408_090000_preview.mp4</t>
  </si>
  <si>
    <t>bee_count_output/runs/selected/ANU-25-summer-20_20260408_090000_frame_flux.csv</t>
  </si>
  <si>
    <t>bee_count_output/runs/selected/ANU-25-summer-20_20260408_090000_window_3sec.csv</t>
  </si>
  <si>
    <t>ANU-25-summer-20_20260408_100000.mp4</t>
  </si>
  <si>
    <t>videos/ANU-25-summer-20_20260408_100000.mp4</t>
  </si>
  <si>
    <t>bee_count_output/runs/selected/ANU-25-summer-20_20260408_100000_preview.mp4</t>
  </si>
  <si>
    <t>bee_count_output/runs/selected/ANU-25-summer-20_20260408_100000_frame_flux.csv</t>
  </si>
  <si>
    <t>bee_count_output/runs/selected/ANU-25-summer-20_20260408_100000_window_3sec.csv</t>
  </si>
  <si>
    <t>ANU-25-summer-20_20260408_110000.mp4</t>
  </si>
  <si>
    <t>videos/ANU-25-summer-20_20260408_110000.mp4</t>
  </si>
  <si>
    <t>bee_count_output/runs/selected/ANU-25-summer-20_20260408_110000_preview.mp4</t>
  </si>
  <si>
    <t>bee_count_output/runs/selected/ANU-25-summer-20_20260408_110000_frame_flux.csv</t>
  </si>
  <si>
    <t>bee_count_output/runs/selected/ANU-25-summer-20_20260408_110000_window_3sec.csv</t>
  </si>
  <si>
    <t>ANU-25-summer-20_20260408_120000.mp4</t>
  </si>
  <si>
    <t>videos/ANU-25-summer-20_20260408_120000.mp4</t>
  </si>
  <si>
    <t>bee_count_output/runs/selected/ANU-25-summer-20_20260408_120000_preview.mp4</t>
  </si>
  <si>
    <t>bee_count_output/runs/selected/ANU-25-summer-20_20260408_120000_frame_flux.csv</t>
  </si>
  <si>
    <t>bee_count_output/runs/selected/ANU-25-summer-20_20260408_120000_window_3sec.csv</t>
  </si>
  <si>
    <t>ANU-25-summer-20_20260408_130000.mp4</t>
  </si>
  <si>
    <t>videos/ANU-25-summer-20_20260408_130000.mp4</t>
  </si>
  <si>
    <t>bee_count_output/runs/selected/ANU-25-summer-20_20260408_130000_preview.mp4</t>
  </si>
  <si>
    <t>bee_count_output/runs/selected/ANU-25-summer-20_20260408_130000_frame_flux.csv</t>
  </si>
  <si>
    <t>bee_count_output/runs/selected/ANU-25-summer-20_20260408_130000_window_3sec.csv</t>
  </si>
  <si>
    <t>ANU-25-summer-20_20260408_140000.mp4</t>
  </si>
  <si>
    <t>videos/ANU-25-summer-20_20260408_140000.mp4</t>
  </si>
  <si>
    <t>bee_count_output/runs/selected/ANU-25-summer-20_20260408_140000_preview.mp4</t>
  </si>
  <si>
    <t>bee_count_output/runs/selected/ANU-25-summer-20_20260408_140000_frame_flux.csv</t>
  </si>
  <si>
    <t>bee_count_output/runs/selected/ANU-25-summer-20_20260408_140000_window_3sec.csv</t>
  </si>
  <si>
    <t>ANU-25-summer-20_20260408_150000.mp4</t>
  </si>
  <si>
    <t>videos/ANU-25-summer-20_20260408_150000.mp4</t>
  </si>
  <si>
    <t>bee_count_output/runs/selected/ANU-25-summer-20_20260408_150000_preview.mp4</t>
  </si>
  <si>
    <t>bee_count_output/runs/selected/ANU-25-summer-20_20260408_150000_frame_flux.csv</t>
  </si>
  <si>
    <t>bee_count_output/runs/selected/ANU-25-summer-20_20260408_150000_window_3sec.csv</t>
  </si>
  <si>
    <t>ANU-25-summer-20_20260408_160000.mp4</t>
  </si>
  <si>
    <t>videos/ANU-25-summer-20_20260408_160000.mp4</t>
  </si>
  <si>
    <t>bee_count_output/runs/selected/ANU-25-summer-20_20260408_160000_preview.mp4</t>
  </si>
  <si>
    <t>bee_count_output/runs/selected/ANU-25-summer-20_20260408_160000_frame_flux.csv</t>
  </si>
  <si>
    <t>bee_count_output/runs/selected/ANU-25-summer-20_20260408_160000_window_3sec.csv</t>
  </si>
  <si>
    <t>ANU-25-summer-20_20260408_170000.mp4</t>
  </si>
  <si>
    <t>videos/ANU-25-summer-20_20260408_170000.mp4</t>
  </si>
  <si>
    <t>bee_count_output/runs/selected/ANU-25-summer-20_20260408_170000_preview.mp4</t>
  </si>
  <si>
    <t>bee_count_output/runs/selected/ANU-25-summer-20_20260408_170000_frame_flux.csv</t>
  </si>
  <si>
    <t>bee_count_output/runs/selected/ANU-25-summer-20_20260408_170000_window_3sec.csv</t>
  </si>
  <si>
    <t>ANU-25-summer-20_20260408_180000.mp4</t>
  </si>
  <si>
    <t>videos/ANU-25-summer-20_20260408_180000.mp4</t>
  </si>
  <si>
    <t>bee_count_output/runs/selected/ANU-25-summer-20_20260408_180000_preview.mp4</t>
  </si>
  <si>
    <t>bee_count_output/runs/selected/ANU-25-summer-20_20260408_180000_frame_flux.csv</t>
  </si>
  <si>
    <t>bee_count_output/runs/selected/ANU-25-summer-20_20260408_180000_window_3sec.csv</t>
  </si>
  <si>
    <t>ANU-25-summer-20_20260408_190000.mp4</t>
  </si>
  <si>
    <t>videos/ANU-25-summer-20_20260408_190000.mp4</t>
  </si>
  <si>
    <t>bee_count_output/runs/selected/ANU-25-summer-20_20260408_190000_preview.mp4</t>
  </si>
  <si>
    <t>bee_count_output/runs/selected/ANU-25-summer-20_20260408_190000_frame_flux.csv</t>
  </si>
  <si>
    <t>bee_count_output/runs/selected/ANU-25-summer-20_20260408_190000_window_3sec.csv</t>
  </si>
  <si>
    <t>ANU-25-summer-20_20260409_060000.mp4</t>
  </si>
  <si>
    <t>videos/ANU-25-summer-20_20260409_060000.mp4</t>
  </si>
  <si>
    <t>bee_count_output/runs/selected/ANU-25-summer-20_20260409_060000_preview.mp4</t>
  </si>
  <si>
    <t>bee_count_output/runs/selected/ANU-25-summer-20_20260409_060000_frame_flux.csv</t>
  </si>
  <si>
    <t>bee_count_output/runs/selected/ANU-25-summer-20_20260409_060000_window_3sec.csv</t>
  </si>
  <si>
    <t>ANU-25-summer-20_20260409_070000.mp4</t>
  </si>
  <si>
    <t>videos/ANU-25-summer-20_20260409_070000.mp4</t>
  </si>
  <si>
    <t>bee_count_output/runs/selected/ANU-25-summer-20_20260409_070000_preview.mp4</t>
  </si>
  <si>
    <t>bee_count_output/runs/selected/ANU-25-summer-20_20260409_070000_frame_flux.csv</t>
  </si>
  <si>
    <t>bee_count_output/runs/selected/ANU-25-summer-20_20260409_070000_window_3sec.csv</t>
  </si>
  <si>
    <t>ANU-25-summer-20_20260409_080000.mp4</t>
  </si>
  <si>
    <t>videos/ANU-25-summer-20_20260409_080000.mp4</t>
  </si>
  <si>
    <t>bee_count_output/runs/selected/ANU-25-summer-20_20260409_080000_preview.mp4</t>
  </si>
  <si>
    <t>bee_count_output/runs/selected/ANU-25-summer-20_20260409_080000_frame_flux.csv</t>
  </si>
  <si>
    <t>bee_count_output/runs/selected/ANU-25-summer-20_20260409_080000_window_3sec.csv</t>
  </si>
  <si>
    <t>ANU-25-summer-20_20260409_090000.mp4</t>
  </si>
  <si>
    <t>videos/ANU-25-summer-20_20260409_090000.mp4</t>
  </si>
  <si>
    <t>bee_count_output/runs/selected/ANU-25-summer-20_20260409_090000_preview.mp4</t>
  </si>
  <si>
    <t>bee_count_output/runs/selected/ANU-25-summer-20_20260409_090000_frame_flux.csv</t>
  </si>
  <si>
    <t>bee_count_output/runs/selected/ANU-25-summer-20_20260409_090000_window_3sec.csv</t>
  </si>
  <si>
    <t>ANU-25-summer-20_20260409_100000.mp4</t>
  </si>
  <si>
    <t>videos/ANU-25-summer-20_20260409_100000.mp4</t>
  </si>
  <si>
    <t>bee_count_output/runs/selected/ANU-25-summer-20_20260409_100000_preview.mp4</t>
  </si>
  <si>
    <t>bee_count_output/runs/selected/ANU-25-summer-20_20260409_100000_frame_flux.csv</t>
  </si>
  <si>
    <t>bee_count_output/runs/selected/ANU-25-summer-20_20260409_100000_window_3sec.csv</t>
  </si>
  <si>
    <t>ANU-25-summer-20_20260409_110000.mp4</t>
  </si>
  <si>
    <t>videos/ANU-25-summer-20_20260409_110000.mp4</t>
  </si>
  <si>
    <t>bee_count_output/runs/selected/ANU-25-summer-20_20260409_110000_preview.mp4</t>
  </si>
  <si>
    <t>bee_count_output/runs/selected/ANU-25-summer-20_20260409_110000_frame_flux.csv</t>
  </si>
  <si>
    <t>bee_count_output/runs/selected/ANU-25-summer-20_20260409_110000_window_3sec.csv</t>
  </si>
  <si>
    <t>ANU-25-summer-20_20260409_120000.mp4</t>
  </si>
  <si>
    <t>videos/ANU-25-summer-20_20260409_120000.mp4</t>
  </si>
  <si>
    <t>bee_count_output/runs/selected/ANU-25-summer-20_20260409_120000_preview.mp4</t>
  </si>
  <si>
    <t>bee_count_output/runs/selected/ANU-25-summer-20_20260409_120000_frame_flux.csv</t>
  </si>
  <si>
    <t>bee_count_output/runs/selected/ANU-25-summer-20_20260409_120000_window_3sec.csv</t>
  </si>
  <si>
    <t>ANU-25-summer-20_20260409_130000.mp4</t>
  </si>
  <si>
    <t>videos/ANU-25-summer-20_20260409_130000.mp4</t>
  </si>
  <si>
    <t>bee_count_output/runs/selected/ANU-25-summer-20_20260409_130000_preview.mp4</t>
  </si>
  <si>
    <t>bee_count_output/runs/selected/ANU-25-summer-20_20260409_130000_frame_flux.csv</t>
  </si>
  <si>
    <t>bee_count_output/runs/selected/ANU-25-summer-20_20260409_130000_window_3sec.csv</t>
  </si>
  <si>
    <t>ANU-25-summer-20_20260409_140000.mp4</t>
  </si>
  <si>
    <t>videos/ANU-25-summer-20_20260409_140000.mp4</t>
  </si>
  <si>
    <t>bee_count_output/runs/selected/ANU-25-summer-20_20260409_140000_preview.mp4</t>
  </si>
  <si>
    <t>bee_count_output/runs/selected/ANU-25-summer-20_20260409_140000_frame_flux.csv</t>
  </si>
  <si>
    <t>bee_count_output/runs/selected/ANU-25-summer-20_20260409_140000_window_3sec.csv</t>
  </si>
  <si>
    <t>ANU-25-summer-20_20260409_150000.mp4</t>
  </si>
  <si>
    <t>videos/ANU-25-summer-20_20260409_150000.mp4</t>
  </si>
  <si>
    <t>bee_count_output/runs/selected/ANU-25-summer-20_20260409_150000_preview.mp4</t>
  </si>
  <si>
    <t>bee_count_output/runs/selected/ANU-25-summer-20_20260409_150000_frame_flux.csv</t>
  </si>
  <si>
    <t>bee_count_output/runs/selected/ANU-25-summer-20_20260409_150000_window_3sec.csv</t>
  </si>
  <si>
    <t>ANU-25-summer-20_20260409_160000.mp4</t>
  </si>
  <si>
    <t>videos/ANU-25-summer-20_20260409_160000.mp4</t>
  </si>
  <si>
    <t>bee_count_output/runs/selected/ANU-25-summer-20_20260409_160000_preview.mp4</t>
  </si>
  <si>
    <t>bee_count_output/runs/selected/ANU-25-summer-20_20260409_160000_frame_flux.csv</t>
  </si>
  <si>
    <t>bee_count_output/runs/selected/ANU-25-summer-20_20260409_160000_window_3sec.csv</t>
  </si>
  <si>
    <t>ANU-25-summer-20_20260409_170000.mp4</t>
  </si>
  <si>
    <t>videos/ANU-25-summer-20_20260409_170000.mp4</t>
  </si>
  <si>
    <t>bee_count_output/runs/selected/ANU-25-summer-20_20260409_170000_preview.mp4</t>
  </si>
  <si>
    <t>bee_count_output/runs/selected/ANU-25-summer-20_20260409_170000_frame_flux.csv</t>
  </si>
  <si>
    <t>bee_count_output/runs/selected/ANU-25-summer-20_20260409_170000_window_3sec.csv</t>
  </si>
  <si>
    <t>ANU-25-summer-20_20260409_180000.mp4</t>
  </si>
  <si>
    <t>videos/ANU-25-summer-20_20260409_180000.mp4</t>
  </si>
  <si>
    <t>bee_count_output/runs/selected/ANU-25-summer-20_20260409_180000_preview.mp4</t>
  </si>
  <si>
    <t>bee_count_output/runs/selected/ANU-25-summer-20_20260409_180000_frame_flux.csv</t>
  </si>
  <si>
    <t>bee_count_output/runs/selected/ANU-25-summer-20_20260409_180000_window_3sec.csv</t>
  </si>
  <si>
    <t>ANU-25-summer-20_20260409_190000.mp4</t>
  </si>
  <si>
    <t>videos/ANU-25-summer-20_20260409_190000.mp4</t>
  </si>
  <si>
    <t>bee_count_output/runs/selected/ANU-25-summer-20_20260409_190000_preview.mp4</t>
  </si>
  <si>
    <t>bee_count_output/runs/selected/ANU-25-summer-20_20260409_190000_frame_flux.csv</t>
  </si>
  <si>
    <t>bee_count_output/runs/selected/ANU-25-summer-20_20260409_190000_window_3sec.csv</t>
  </si>
  <si>
    <t>ANU-25-summer-20_20260410_060000.mp4</t>
  </si>
  <si>
    <t>videos/ANU-25-summer-20_20260410_060000.mp4</t>
  </si>
  <si>
    <t>bee_count_output/runs/selected/ANU-25-summer-20_20260410_060000_preview.mp4</t>
  </si>
  <si>
    <t>bee_count_output/runs/selected/ANU-25-summer-20_20260410_060000_frame_flux.csv</t>
  </si>
  <si>
    <t>bee_count_output/runs/selected/ANU-25-summer-20_20260410_060000_window_3sec.csv</t>
  </si>
  <si>
    <t>ANU-25-summer-20_20260410_070000.mp4</t>
  </si>
  <si>
    <t>videos/ANU-25-summer-20_20260410_070000.mp4</t>
  </si>
  <si>
    <t>bee_count_output/runs/selected/ANU-25-summer-20_20260410_070000_preview.mp4</t>
  </si>
  <si>
    <t>bee_count_output/runs/selected/ANU-25-summer-20_20260410_070000_frame_flux.csv</t>
  </si>
  <si>
    <t>bee_count_output/runs/selected/ANU-25-summer-20_20260410_070000_window_3sec.csv</t>
  </si>
  <si>
    <t>ANU-25-summer-20_20260410_080000.mp4</t>
  </si>
  <si>
    <t>videos/ANU-25-summer-20_20260410_080000.mp4</t>
  </si>
  <si>
    <t>bee_count_output/runs/selected/ANU-25-summer-20_20260410_080000_preview.mp4</t>
  </si>
  <si>
    <t>bee_count_output/runs/selected/ANU-25-summer-20_20260410_080000_frame_flux.csv</t>
  </si>
  <si>
    <t>bee_count_output/runs/selected/ANU-25-summer-20_20260410_080000_window_3sec.csv</t>
  </si>
  <si>
    <t>ANU-25-summer-20_20260410_090000.mp4</t>
  </si>
  <si>
    <t>videos/ANU-25-summer-20_20260410_090000.mp4</t>
  </si>
  <si>
    <t>bee_count_output/runs/selected/ANU-25-summer-20_20260410_090000_preview.mp4</t>
  </si>
  <si>
    <t>bee_count_output/runs/selected/ANU-25-summer-20_20260410_090000_frame_flux.csv</t>
  </si>
  <si>
    <t>bee_count_output/runs/selected/ANU-25-summer-20_20260410_090000_window_3sec.csv</t>
  </si>
  <si>
    <t>ANU-25-summer-20_20260410_100000.mp4</t>
  </si>
  <si>
    <t>videos/ANU-25-summer-20_20260410_100000.mp4</t>
  </si>
  <si>
    <t>bee_count_output/runs/selected/ANU-25-summer-20_20260410_100000_preview.mp4</t>
  </si>
  <si>
    <t>bee_count_output/runs/selected/ANU-25-summer-20_20260410_100000_frame_flux.csv</t>
  </si>
  <si>
    <t>bee_count_output/runs/selected/ANU-25-summer-20_20260410_100000_window_3sec.csv</t>
  </si>
  <si>
    <t>ANU-25-summer-20_20260410_110000.mp4</t>
  </si>
  <si>
    <t>videos/ANU-25-summer-20_20260410_110000.mp4</t>
  </si>
  <si>
    <t>bee_count_output/runs/selected/ANU-25-summer-20_20260410_110000_preview.mp4</t>
  </si>
  <si>
    <t>bee_count_output/runs/selected/ANU-25-summer-20_20260410_110000_frame_flux.csv</t>
  </si>
  <si>
    <t>bee_count_output/runs/selected/ANU-25-summer-20_20260410_110000_window_3sec.csv</t>
  </si>
  <si>
    <t>ANU-25-summer-20_20260410_120000.mp4</t>
  </si>
  <si>
    <t>videos/ANU-25-summer-20_20260410_120000.mp4</t>
  </si>
  <si>
    <t>bee_count_output/runs/selected/ANU-25-summer-20_20260410_120000_preview.mp4</t>
  </si>
  <si>
    <t>bee_count_output/runs/selected/ANU-25-summer-20_20260410_120000_frame_flux.csv</t>
  </si>
  <si>
    <t>bee_count_output/runs/selected/ANU-25-summer-20_20260410_120000_window_3sec.csv</t>
  </si>
  <si>
    <t>ANU-25-summer-20_20260410_130000.mp4</t>
  </si>
  <si>
    <t>videos/ANU-25-summer-20_20260410_130000.mp4</t>
  </si>
  <si>
    <t>bee_count_output/runs/selected/ANU-25-summer-20_20260410_130000_preview.mp4</t>
  </si>
  <si>
    <t>bee_count_output/runs/selected/ANU-25-summer-20_20260410_130000_frame_flux.csv</t>
  </si>
  <si>
    <t>bee_count_output/runs/selected/ANU-25-summer-20_20260410_130000_window_3sec.csv</t>
  </si>
  <si>
    <t>ANU-25-summer-20_20260410_140000.mp4</t>
  </si>
  <si>
    <t>videos/ANU-25-summer-20_20260410_140000.mp4</t>
  </si>
  <si>
    <t>bee_count_output/runs/selected/ANU-25-summer-20_20260410_140000_preview.mp4</t>
  </si>
  <si>
    <t>bee_count_output/runs/selected/ANU-25-summer-20_20260410_140000_frame_flux.csv</t>
  </si>
  <si>
    <t>bee_count_output/runs/selected/ANU-25-summer-20_20260410_140000_window_3sec.csv</t>
  </si>
  <si>
    <t>ANU-25-summer-20_20260410_150000.mp4</t>
  </si>
  <si>
    <t>videos/ANU-25-summer-20_20260410_150000.mp4</t>
  </si>
  <si>
    <t>bee_count_output/runs/selected/ANU-25-summer-20_20260410_150000_preview.mp4</t>
  </si>
  <si>
    <t>bee_count_output/runs/selected/ANU-25-summer-20_20260410_150000_frame_flux.csv</t>
  </si>
  <si>
    <t>bee_count_output/runs/selected/ANU-25-summer-20_20260410_150000_window_3sec.csv</t>
  </si>
  <si>
    <t>ANU-25-summer-20_20260410_160000.mp4</t>
  </si>
  <si>
    <t>videos/ANU-25-summer-20_20260410_160000.mp4</t>
  </si>
  <si>
    <t>bee_count_output/runs/selected/ANU-25-summer-20_20260410_160000_preview.mp4</t>
  </si>
  <si>
    <t>bee_count_output/runs/selected/ANU-25-summer-20_20260410_160000_frame_flux.csv</t>
  </si>
  <si>
    <t>bee_count_output/runs/selected/ANU-25-summer-20_20260410_160000_window_3sec.csv</t>
  </si>
  <si>
    <t>ANU-25-summer-20_20260410_170000.mp4</t>
  </si>
  <si>
    <t>videos/ANU-25-summer-20_20260410_170000.mp4</t>
  </si>
  <si>
    <t>bee_count_output/runs/selected/ANU-25-summer-20_20260410_170000_preview.mp4</t>
  </si>
  <si>
    <t>bee_count_output/runs/selected/ANU-25-summer-20_20260410_170000_frame_flux.csv</t>
  </si>
  <si>
    <t>bee_count_output/runs/selected/ANU-25-summer-20_20260410_170000_window_3sec.csv</t>
  </si>
  <si>
    <t>ANU-25-summer-20_20260410_180000.mp4</t>
  </si>
  <si>
    <t>videos/ANU-25-summer-20_20260410_180000.mp4</t>
  </si>
  <si>
    <t>bee_count_output/runs/selected/ANU-25-summer-20_20260410_180000_preview.mp4</t>
  </si>
  <si>
    <t>bee_count_output/runs/selected/ANU-25-summer-20_20260410_180000_frame_flux.csv</t>
  </si>
  <si>
    <t>bee_count_output/runs/selected/ANU-25-summer-20_20260410_180000_window_3sec.csv</t>
  </si>
  <si>
    <t>ANU-25-summer-20_20260410_190000.mp4</t>
  </si>
  <si>
    <t>videos/ANU-25-summer-20_20260410_190000.mp4</t>
  </si>
  <si>
    <t>bee_count_output/runs/selected/ANU-25-summer-20_20260410_190000_preview.mp4</t>
  </si>
  <si>
    <t>bee_count_output/runs/selected/ANU-25-summer-20_20260410_190000_frame_flux.csv</t>
  </si>
  <si>
    <t>bee_count_output/runs/selected/ANU-25-summer-20_20260410_190000_window_3sec.csv</t>
  </si>
  <si>
    <t>ANU-25-summer-16_20260309_060000.mp4</t>
  </si>
  <si>
    <t>videos/ANU-25-summer-16_20260309_060000.mp4</t>
  </si>
  <si>
    <t>bee_count_output/runs/selected/ANU-25-summer-16_20260309_060000_preview.mp4</t>
  </si>
  <si>
    <t>bee_count_output/runs/selected/ANU-25-summer-16_20260309_060000_frame_flux.csv</t>
  </si>
  <si>
    <t>bee_count_output/runs/selected/ANU-25-summer-16_20260309_060000_window_3sec.csv</t>
  </si>
  <si>
    <t>ANU-25-summer-16_20260309_070000.mp4</t>
  </si>
  <si>
    <t>videos/ANU-25-summer-16_20260309_070000.mp4</t>
  </si>
  <si>
    <t>bee_count_output/runs/selected/ANU-25-summer-16_20260309_070000_preview.mp4</t>
  </si>
  <si>
    <t>bee_count_output/runs/selected/ANU-25-summer-16_20260309_070000_frame_flux.csv</t>
  </si>
  <si>
    <t>bee_count_output/runs/selected/ANU-25-summer-16_20260309_070000_window_3sec.csv</t>
  </si>
  <si>
    <t>ANU-25-summer-16_20260309_080000.mp4</t>
  </si>
  <si>
    <t>videos/ANU-25-summer-16_20260309_080000.mp4</t>
  </si>
  <si>
    <t>bee_count_output/runs/selected/ANU-25-summer-16_20260309_080000_preview.mp4</t>
  </si>
  <si>
    <t>bee_count_output/runs/selected/ANU-25-summer-16_20260309_080000_frame_flux.csv</t>
  </si>
  <si>
    <t>bee_count_output/runs/selected/ANU-25-summer-16_20260309_080000_window_3sec.csv</t>
  </si>
  <si>
    <t>ANU-25-summer-16_20260309_090000.mp4</t>
  </si>
  <si>
    <t>videos/ANU-25-summer-16_20260309_090000.mp4</t>
  </si>
  <si>
    <t>bee_count_output/runs/selected/ANU-25-summer-16_20260309_090000_preview.mp4</t>
  </si>
  <si>
    <t>bee_count_output/runs/selected/ANU-25-summer-16_20260309_090000_frame_flux.csv</t>
  </si>
  <si>
    <t>bee_count_output/runs/selected/ANU-25-summer-16_20260309_090000_window_3sec.csv</t>
  </si>
  <si>
    <t>ANU-25-summer-16_20260309_100000.mp4</t>
  </si>
  <si>
    <t>videos/ANU-25-summer-16_20260309_100000.mp4</t>
  </si>
  <si>
    <t>bee_count_output/runs/selected/ANU-25-summer-16_20260309_100000_preview.mp4</t>
  </si>
  <si>
    <t>bee_count_output/runs/selected/ANU-25-summer-16_20260309_100000_frame_flux.csv</t>
  </si>
  <si>
    <t>bee_count_output/runs/selected/ANU-25-summer-16_20260309_100000_window_3sec.csv</t>
  </si>
  <si>
    <t>ANU-25-summer-16_20260309_110000.mp4</t>
  </si>
  <si>
    <t>videos/ANU-25-summer-16_20260309_110000.mp4</t>
  </si>
  <si>
    <t>bee_count_output/runs/selected/ANU-25-summer-16_20260309_110000_preview.mp4</t>
  </si>
  <si>
    <t>bee_count_output/runs/selected/ANU-25-summer-16_20260309_110000_frame_flux.csv</t>
  </si>
  <si>
    <t>bee_count_output/runs/selected/ANU-25-summer-16_20260309_110000_window_3sec.csv</t>
  </si>
  <si>
    <t>ANU-25-summer-16_20260309_120000.mp4</t>
  </si>
  <si>
    <t>videos/ANU-25-summer-16_20260309_120000.mp4</t>
  </si>
  <si>
    <t>bee_count_output/runs/selected/ANU-25-summer-16_20260309_120000_preview.mp4</t>
  </si>
  <si>
    <t>bee_count_output/runs/selected/ANU-25-summer-16_20260309_120000_frame_flux.csv</t>
  </si>
  <si>
    <t>bee_count_output/runs/selected/ANU-25-summer-16_20260309_120000_window_3sec.csv</t>
  </si>
  <si>
    <t>ANU-25-summer-16_20260309_130000.mp4</t>
  </si>
  <si>
    <t>videos/ANU-25-summer-16_20260309_130000.mp4</t>
  </si>
  <si>
    <t>bee_count_output/runs/selected/ANU-25-summer-16_20260309_130000_preview.mp4</t>
  </si>
  <si>
    <t>bee_count_output/runs/selected/ANU-25-summer-16_20260309_130000_frame_flux.csv</t>
  </si>
  <si>
    <t>bee_count_output/runs/selected/ANU-25-summer-16_20260309_130000_window_3sec.csv</t>
  </si>
  <si>
    <t>ANU-25-summer-16_20260309_140000.mp4</t>
  </si>
  <si>
    <t>videos/ANU-25-summer-16_20260309_140000.mp4</t>
  </si>
  <si>
    <t>bee_count_output/runs/selected/ANU-25-summer-16_20260309_140000_preview.mp4</t>
  </si>
  <si>
    <t>bee_count_output/runs/selected/ANU-25-summer-16_20260309_140000_frame_flux.csv</t>
  </si>
  <si>
    <t>bee_count_output/runs/selected/ANU-25-summer-16_20260309_140000_window_3sec.csv</t>
  </si>
  <si>
    <t>ANU-25-summer-16_20260309_150000.mp4</t>
  </si>
  <si>
    <t>videos/ANU-25-summer-16_20260309_150000.mp4</t>
  </si>
  <si>
    <t>bee_count_output/runs/selected/ANU-25-summer-16_20260309_150000_preview.mp4</t>
  </si>
  <si>
    <t>bee_count_output/runs/selected/ANU-25-summer-16_20260309_150000_frame_flux.csv</t>
  </si>
  <si>
    <t>bee_count_output/runs/selected/ANU-25-summer-16_20260309_150000_window_3sec.csv</t>
  </si>
  <si>
    <t>ANU-25-summer-16_20260309_160000.mp4</t>
  </si>
  <si>
    <t>videos/ANU-25-summer-16_20260309_160000.mp4</t>
  </si>
  <si>
    <t>bee_count_output/runs/selected/ANU-25-summer-16_20260309_160000_preview.mp4</t>
  </si>
  <si>
    <t>bee_count_output/runs/selected/ANU-25-summer-16_20260309_160000_frame_flux.csv</t>
  </si>
  <si>
    <t>bee_count_output/runs/selected/ANU-25-summer-16_20260309_160000_window_3sec.csv</t>
  </si>
  <si>
    <t>ANU-25-summer-16_20260309_170000.mp4</t>
  </si>
  <si>
    <t>videos/ANU-25-summer-16_20260309_170000.mp4</t>
  </si>
  <si>
    <t>bee_count_output/runs/selected/ANU-25-summer-16_20260309_170000_preview.mp4</t>
  </si>
  <si>
    <t>bee_count_output/runs/selected/ANU-25-summer-16_20260309_170000_frame_flux.csv</t>
  </si>
  <si>
    <t>bee_count_output/runs/selected/ANU-25-summer-16_20260309_170000_window_3sec.csv</t>
  </si>
  <si>
    <t>ANU-25-summer-16_20260309_180000.mp4</t>
  </si>
  <si>
    <t>videos/ANU-25-summer-16_20260309_180000.mp4</t>
  </si>
  <si>
    <t>bee_count_output/runs/selected/ANU-25-summer-16_20260309_180000_preview.mp4</t>
  </si>
  <si>
    <t>bee_count_output/runs/selected/ANU-25-summer-16_20260309_180000_frame_flux.csv</t>
  </si>
  <si>
    <t>bee_count_output/runs/selected/ANU-25-summer-16_20260309_180000_window_3sec.csv</t>
  </si>
  <si>
    <t>ANU-25-summer-16_20260309_190000.mp4</t>
  </si>
  <si>
    <t>videos/ANU-25-summer-16_20260309_190000.mp4</t>
  </si>
  <si>
    <t>bee_count_output/runs/selected/ANU-25-summer-16_20260309_190000_preview.mp4</t>
  </si>
  <si>
    <t>bee_count_output/runs/selected/ANU-25-summer-16_20260309_190000_frame_flux.csv</t>
  </si>
  <si>
    <t>bee_count_output/runs/selected/ANU-25-summer-16_20260309_190000_window_3sec.csv</t>
  </si>
  <si>
    <t>ANU-25-summer-16_20260310_060000.mp4</t>
  </si>
  <si>
    <t>videos/ANU-25-summer-16_20260310_060000.mp4</t>
  </si>
  <si>
    <t>bee_count_output/runs/selected/ANU-25-summer-16_20260310_060000_preview.mp4</t>
  </si>
  <si>
    <t>bee_count_output/runs/selected/ANU-25-summer-16_20260310_060000_frame_flux.csv</t>
  </si>
  <si>
    <t>bee_count_output/runs/selected/ANU-25-summer-16_20260310_060000_window_3sec.csv</t>
  </si>
  <si>
    <t>ANU-25-summer-16_20260310_070000.mp4</t>
  </si>
  <si>
    <t>videos/ANU-25-summer-16_20260310_070000.mp4</t>
  </si>
  <si>
    <t>bee_count_output/runs/selected/ANU-25-summer-16_20260310_070000_preview.mp4</t>
  </si>
  <si>
    <t>bee_count_output/runs/selected/ANU-25-summer-16_20260310_070000_frame_flux.csv</t>
  </si>
  <si>
    <t>bee_count_output/runs/selected/ANU-25-summer-16_20260310_070000_window_3sec.csv</t>
  </si>
  <si>
    <t>ANU-25-summer-16_20260310_080000.mp4</t>
  </si>
  <si>
    <t>videos/ANU-25-summer-16_20260310_080000.mp4</t>
  </si>
  <si>
    <t>bee_count_output/runs/selected/ANU-25-summer-16_20260310_080000_preview.mp4</t>
  </si>
  <si>
    <t>bee_count_output/runs/selected/ANU-25-summer-16_20260310_080000_frame_flux.csv</t>
  </si>
  <si>
    <t>bee_count_output/runs/selected/ANU-25-summer-16_20260310_080000_window_3sec.csv</t>
  </si>
  <si>
    <t>ANU-25-summer-16_20260310_090000.mp4</t>
  </si>
  <si>
    <t>videos/ANU-25-summer-16_20260310_090000.mp4</t>
  </si>
  <si>
    <t>bee_count_output/runs/selected/ANU-25-summer-16_20260310_090000_preview.mp4</t>
  </si>
  <si>
    <t>bee_count_output/runs/selected/ANU-25-summer-16_20260310_090000_frame_flux.csv</t>
  </si>
  <si>
    <t>bee_count_output/runs/selected/ANU-25-summer-16_20260310_090000_window_3sec.csv</t>
  </si>
  <si>
    <t>ANU-25-summer-16_20260310_100000.mp4</t>
  </si>
  <si>
    <t>videos/ANU-25-summer-16_20260310_100000.mp4</t>
  </si>
  <si>
    <t>bee_count_output/runs/selected/ANU-25-summer-16_20260310_100000_preview.mp4</t>
  </si>
  <si>
    <t>bee_count_output/runs/selected/ANU-25-summer-16_20260310_100000_frame_flux.csv</t>
  </si>
  <si>
    <t>bee_count_output/runs/selected/ANU-25-summer-16_20260310_100000_window_3sec.csv</t>
  </si>
  <si>
    <t>ANU-25-summer-16_20260310_110000.mp4</t>
  </si>
  <si>
    <t>videos/ANU-25-summer-16_20260310_110000.mp4</t>
  </si>
  <si>
    <t>bee_count_output/runs/selected/ANU-25-summer-16_20260310_110000_preview.mp4</t>
  </si>
  <si>
    <t>bee_count_output/runs/selected/ANU-25-summer-16_20260310_110000_frame_flux.csv</t>
  </si>
  <si>
    <t>bee_count_output/runs/selected/ANU-25-summer-16_20260310_110000_window_3sec.csv</t>
  </si>
  <si>
    <t>ANU-25-summer-16_20260310_120000.mp4</t>
  </si>
  <si>
    <t>videos/ANU-25-summer-16_20260310_120000.mp4</t>
  </si>
  <si>
    <t>bee_count_output/runs/selected/ANU-25-summer-16_20260310_120000_preview.mp4</t>
  </si>
  <si>
    <t>bee_count_output/runs/selected/ANU-25-summer-16_20260310_120000_frame_flux.csv</t>
  </si>
  <si>
    <t>bee_count_output/runs/selected/ANU-25-summer-16_20260310_120000_window_3sec.csv</t>
  </si>
  <si>
    <t>ANU-25-summer-16_20260310_130000.mp4</t>
  </si>
  <si>
    <t>videos/ANU-25-summer-16_20260310_130000.mp4</t>
  </si>
  <si>
    <t>bee_count_output/runs/selected/ANU-25-summer-16_20260310_130000_preview.mp4</t>
  </si>
  <si>
    <t>bee_count_output/runs/selected/ANU-25-summer-16_20260310_130000_frame_flux.csv</t>
  </si>
  <si>
    <t>bee_count_output/runs/selected/ANU-25-summer-16_20260310_130000_window_3sec.csv</t>
  </si>
  <si>
    <t>ANU-25-summer-16_20260310_140000.mp4</t>
  </si>
  <si>
    <t>videos/ANU-25-summer-16_20260310_140000.mp4</t>
  </si>
  <si>
    <t>bee_count_output/runs/selected/ANU-25-summer-16_20260310_140000_preview.mp4</t>
  </si>
  <si>
    <t>bee_count_output/runs/selected/ANU-25-summer-16_20260310_140000_frame_flux.csv</t>
  </si>
  <si>
    <t>bee_count_output/runs/selected/ANU-25-summer-16_20260310_140000_window_3sec.csv</t>
  </si>
  <si>
    <t>ANU-25-summer-16_20260310_150000.mp4</t>
  </si>
  <si>
    <t>videos/ANU-25-summer-16_20260310_150000.mp4</t>
  </si>
  <si>
    <t>bee_count_output/runs/selected/ANU-25-summer-16_20260310_150000_preview.mp4</t>
  </si>
  <si>
    <t>bee_count_output/runs/selected/ANU-25-summer-16_20260310_150000_frame_flux.csv</t>
  </si>
  <si>
    <t>bee_count_output/runs/selected/ANU-25-summer-16_20260310_150000_window_3sec.csv</t>
  </si>
  <si>
    <t>ANU-25-summer-16_20260310_160000.mp4</t>
  </si>
  <si>
    <t>videos/ANU-25-summer-16_20260310_160000.mp4</t>
  </si>
  <si>
    <t>bee_count_output/runs/selected/ANU-25-summer-16_20260310_160000_preview.mp4</t>
  </si>
  <si>
    <t>bee_count_output/runs/selected/ANU-25-summer-16_20260310_160000_frame_flux.csv</t>
  </si>
  <si>
    <t>bee_count_output/runs/selected/ANU-25-summer-16_20260310_160000_window_3sec.csv</t>
  </si>
  <si>
    <t>ANU-25-summer-16_20260310_170000.mp4</t>
  </si>
  <si>
    <t>videos/ANU-25-summer-16_20260310_170000.mp4</t>
  </si>
  <si>
    <t>bee_count_output/runs/selected/ANU-25-summer-16_20260310_170000_preview.mp4</t>
  </si>
  <si>
    <t>bee_count_output/runs/selected/ANU-25-summer-16_20260310_170000_frame_flux.csv</t>
  </si>
  <si>
    <t>bee_count_output/runs/selected/ANU-25-summer-16_20260310_170000_window_3sec.csv</t>
  </si>
  <si>
    <t>ANU-25-summer-16_20260310_180000.mp4</t>
  </si>
  <si>
    <t>videos/ANU-25-summer-16_20260310_180000.mp4</t>
  </si>
  <si>
    <t>bee_count_output/runs/selected/ANU-25-summer-16_20260310_180000_preview.mp4</t>
  </si>
  <si>
    <t>bee_count_output/runs/selected/ANU-25-summer-16_20260310_180000_frame_flux.csv</t>
  </si>
  <si>
    <t>bee_count_output/runs/selected/ANU-25-summer-16_20260310_180000_window_3sec.csv</t>
  </si>
  <si>
    <t>ANU-25-summer-16_20260310_190000.mp4</t>
  </si>
  <si>
    <t>videos/ANU-25-summer-16_20260310_190000.mp4</t>
  </si>
  <si>
    <t>bee_count_output/runs/selected/ANU-25-summer-16_20260310_190000_preview.mp4</t>
  </si>
  <si>
    <t>bee_count_output/runs/selected/ANU-25-summer-16_20260310_190000_frame_flux.csv</t>
  </si>
  <si>
    <t>bee_count_output/runs/selected/ANU-25-summer-16_20260310_190000_window_3sec.csv</t>
  </si>
  <si>
    <t>ANU-25-summer-16_20260311_060000.mp4</t>
  </si>
  <si>
    <t>videos/ANU-25-summer-16_20260311_060000.mp4</t>
  </si>
  <si>
    <t>bee_count_output/runs/selected/ANU-25-summer-16_20260311_060000_preview.mp4</t>
  </si>
  <si>
    <t>bee_count_output/runs/selected/ANU-25-summer-16_20260311_060000_frame_flux.csv</t>
  </si>
  <si>
    <t>bee_count_output/runs/selected/ANU-25-summer-16_20260311_060000_window_3sec.csv</t>
  </si>
  <si>
    <t>ANU-25-summer-16_20260311_070000.mp4</t>
  </si>
  <si>
    <t>videos/ANU-25-summer-16_20260311_070000.mp4</t>
  </si>
  <si>
    <t>bee_count_output/runs/selected/ANU-25-summer-16_20260311_070000_preview.mp4</t>
  </si>
  <si>
    <t>bee_count_output/runs/selected/ANU-25-summer-16_20260311_070000_frame_flux.csv</t>
  </si>
  <si>
    <t>bee_count_output/runs/selected/ANU-25-summer-16_20260311_070000_window_3sec.csv</t>
  </si>
  <si>
    <t>ANU-25-summer-16_20260311_080000.mp4</t>
  </si>
  <si>
    <t>videos/ANU-25-summer-16_20260311_080000.mp4</t>
  </si>
  <si>
    <t>bee_count_output/runs/selected/ANU-25-summer-16_20260311_080000_preview.mp4</t>
  </si>
  <si>
    <t>bee_count_output/runs/selected/ANU-25-summer-16_20260311_080000_frame_flux.csv</t>
  </si>
  <si>
    <t>bee_count_output/runs/selected/ANU-25-summer-16_20260311_080000_window_3sec.csv</t>
  </si>
  <si>
    <t>ANU-25-summer-16_20260311_090000.mp4</t>
  </si>
  <si>
    <t>videos/ANU-25-summer-16_20260311_090000.mp4</t>
  </si>
  <si>
    <t>bee_count_output/runs/selected/ANU-25-summer-16_20260311_090000_preview.mp4</t>
  </si>
  <si>
    <t>bee_count_output/runs/selected/ANU-25-summer-16_20260311_090000_frame_flux.csv</t>
  </si>
  <si>
    <t>bee_count_output/runs/selected/ANU-25-summer-16_20260311_090000_window_3sec.csv</t>
  </si>
  <si>
    <t>ANU-25-summer-16_20260311_100000.mp4</t>
  </si>
  <si>
    <t>videos/ANU-25-summer-16_20260311_100000.mp4</t>
  </si>
  <si>
    <t>bee_count_output/runs/selected/ANU-25-summer-16_20260311_100000_preview.mp4</t>
  </si>
  <si>
    <t>bee_count_output/runs/selected/ANU-25-summer-16_20260311_100000_frame_flux.csv</t>
  </si>
  <si>
    <t>bee_count_output/runs/selected/ANU-25-summer-16_20260311_100000_window_3sec.csv</t>
  </si>
  <si>
    <t>ANU-25-summer-16_20260311_110000.mp4</t>
  </si>
  <si>
    <t>videos/ANU-25-summer-16_20260311_110000.mp4</t>
  </si>
  <si>
    <t>bee_count_output/runs/selected/ANU-25-summer-16_20260311_110000_preview.mp4</t>
  </si>
  <si>
    <t>bee_count_output/runs/selected/ANU-25-summer-16_20260311_110000_frame_flux.csv</t>
  </si>
  <si>
    <t>bee_count_output/runs/selected/ANU-25-summer-16_20260311_110000_window_3sec.csv</t>
  </si>
  <si>
    <t>ANU-25-summer-16_20260311_120000.mp4</t>
  </si>
  <si>
    <t>videos/ANU-25-summer-16_20260311_120000.mp4</t>
  </si>
  <si>
    <t>bee_count_output/runs/selected/ANU-25-summer-16_20260311_120000_preview.mp4</t>
  </si>
  <si>
    <t>bee_count_output/runs/selected/ANU-25-summer-16_20260311_120000_frame_flux.csv</t>
  </si>
  <si>
    <t>bee_count_output/runs/selected/ANU-25-summer-16_20260311_120000_window_3sec.csv</t>
  </si>
  <si>
    <t>ANU-25-summer-16_20260311_130000.mp4</t>
  </si>
  <si>
    <t>videos/ANU-25-summer-16_20260311_130000.mp4</t>
  </si>
  <si>
    <t>bee_count_output/runs/selected/ANU-25-summer-16_20260311_130000_preview.mp4</t>
  </si>
  <si>
    <t>bee_count_output/runs/selected/ANU-25-summer-16_20260311_130000_frame_flux.csv</t>
  </si>
  <si>
    <t>bee_count_output/runs/selected/ANU-25-summer-16_20260311_130000_window_3sec.csv</t>
  </si>
  <si>
    <t>ANU-25-summer-16_20260311_140000.mp4</t>
  </si>
  <si>
    <t>videos/ANU-25-summer-16_20260311_140000.mp4</t>
  </si>
  <si>
    <t>bee_count_output/runs/selected/ANU-25-summer-16_20260311_140000_preview.mp4</t>
  </si>
  <si>
    <t>bee_count_output/runs/selected/ANU-25-summer-16_20260311_140000_frame_flux.csv</t>
  </si>
  <si>
    <t>bee_count_output/runs/selected/ANU-25-summer-16_20260311_140000_window_3sec.csv</t>
  </si>
  <si>
    <t>ANU-25-summer-16_20260311_150000.mp4</t>
  </si>
  <si>
    <t>videos/ANU-25-summer-16_20260311_150000.mp4</t>
  </si>
  <si>
    <t>bee_count_output/runs/selected/ANU-25-summer-16_20260311_150000_preview.mp4</t>
  </si>
  <si>
    <t>bee_count_output/runs/selected/ANU-25-summer-16_20260311_150000_frame_flux.csv</t>
  </si>
  <si>
    <t>bee_count_output/runs/selected/ANU-25-summer-16_20260311_150000_window_3sec.csv</t>
  </si>
  <si>
    <t>ANU-25-summer-16_20260311_160000.mp4</t>
  </si>
  <si>
    <t>videos/ANU-25-summer-16_20260311_160000.mp4</t>
  </si>
  <si>
    <t>bee_count_output/runs/selected/ANU-25-summer-16_20260311_160000_preview.mp4</t>
  </si>
  <si>
    <t>bee_count_output/runs/selected/ANU-25-summer-16_20260311_160000_frame_flux.csv</t>
  </si>
  <si>
    <t>bee_count_output/runs/selected/ANU-25-summer-16_20260311_160000_window_3sec.csv</t>
  </si>
  <si>
    <t>ANU-25-summer-16_20260311_170000.mp4</t>
  </si>
  <si>
    <t>videos/ANU-25-summer-16_20260311_170000.mp4</t>
  </si>
  <si>
    <t>bee_count_output/runs/selected/ANU-25-summer-16_20260311_170000_preview.mp4</t>
  </si>
  <si>
    <t>bee_count_output/runs/selected/ANU-25-summer-16_20260311_170000_frame_flux.csv</t>
  </si>
  <si>
    <t>bee_count_output/runs/selected/ANU-25-summer-16_20260311_170000_window_3sec.csv</t>
  </si>
  <si>
    <t>ANU-25-summer-16_20260311_180000.mp4</t>
  </si>
  <si>
    <t>videos/ANU-25-summer-16_20260311_180000.mp4</t>
  </si>
  <si>
    <t>bee_count_output/runs/selected/ANU-25-summer-16_20260311_180000_preview.mp4</t>
  </si>
  <si>
    <t>bee_count_output/runs/selected/ANU-25-summer-16_20260311_180000_frame_flux.csv</t>
  </si>
  <si>
    <t>bee_count_output/runs/selected/ANU-25-summer-16_20260311_180000_window_3sec.csv</t>
  </si>
  <si>
    <t>ANU-25-summer-16_20260311_190000.mp4</t>
  </si>
  <si>
    <t>videos/ANU-25-summer-16_20260311_190000.mp4</t>
  </si>
  <si>
    <t>bee_count_output/runs/selected/ANU-25-summer-16_20260311_190000_preview.mp4</t>
  </si>
  <si>
    <t>bee_count_output/runs/selected/ANU-25-summer-16_20260311_190000_frame_flux.csv</t>
  </si>
  <si>
    <t>bee_count_output/runs/selected/ANU-25-summer-16_20260311_190000_window_3sec.csv</t>
  </si>
  <si>
    <t>ANU-25-summer-16_20260312_060000.mp4</t>
  </si>
  <si>
    <t>videos/ANU-25-summer-16_20260312_060000.mp4</t>
  </si>
  <si>
    <t>bee_count_output/runs/selected/ANU-25-summer-16_20260312_060000_preview.mp4</t>
  </si>
  <si>
    <t>bee_count_output/runs/selected/ANU-25-summer-16_20260312_060000_frame_flux.csv</t>
  </si>
  <si>
    <t>bee_count_output/runs/selected/ANU-25-summer-16_20260312_060000_window_3sec.csv</t>
  </si>
  <si>
    <t>ANU-25-summer-16_20260312_070000.mp4</t>
  </si>
  <si>
    <t>videos/ANU-25-summer-16_20260312_070000.mp4</t>
  </si>
  <si>
    <t>bee_count_output/runs/selected/ANU-25-summer-16_20260312_070000_preview.mp4</t>
  </si>
  <si>
    <t>bee_count_output/runs/selected/ANU-25-summer-16_20260312_070000_frame_flux.csv</t>
  </si>
  <si>
    <t>bee_count_output/runs/selected/ANU-25-summer-16_20260312_070000_window_3sec.csv</t>
  </si>
  <si>
    <t>ANU-25-summer-16_20260312_080000.mp4</t>
  </si>
  <si>
    <t>videos/ANU-25-summer-16_20260312_080000.mp4</t>
  </si>
  <si>
    <t>bee_count_output/runs/selected/ANU-25-summer-16_20260312_080000_preview.mp4</t>
  </si>
  <si>
    <t>bee_count_output/runs/selected/ANU-25-summer-16_20260312_080000_frame_flux.csv</t>
  </si>
  <si>
    <t>bee_count_output/runs/selected/ANU-25-summer-16_20260312_080000_window_3sec.csv</t>
  </si>
  <si>
    <t>ANU-25-summer-16_20260312_090000.mp4</t>
  </si>
  <si>
    <t>videos/ANU-25-summer-16_20260312_090000.mp4</t>
  </si>
  <si>
    <t>bee_count_output/runs/selected/ANU-25-summer-16_20260312_090000_preview.mp4</t>
  </si>
  <si>
    <t>bee_count_output/runs/selected/ANU-25-summer-16_20260312_090000_frame_flux.csv</t>
  </si>
  <si>
    <t>bee_count_output/runs/selected/ANU-25-summer-16_20260312_090000_window_3sec.csv</t>
  </si>
  <si>
    <t>ANU-25-summer-16_20260312_100000.mp4</t>
  </si>
  <si>
    <t>videos/ANU-25-summer-16_20260312_100000.mp4</t>
  </si>
  <si>
    <t>bee_count_output/runs/selected/ANU-25-summer-16_20260312_100000_preview.mp4</t>
  </si>
  <si>
    <t>bee_count_output/runs/selected/ANU-25-summer-16_20260312_100000_frame_flux.csv</t>
  </si>
  <si>
    <t>bee_count_output/runs/selected/ANU-25-summer-16_20260312_100000_window_3sec.csv</t>
  </si>
  <si>
    <t>ANU-25-summer-16_20260312_110000.mp4</t>
  </si>
  <si>
    <t>videos/ANU-25-summer-16_20260312_110000.mp4</t>
  </si>
  <si>
    <t>bee_count_output/runs/selected/ANU-25-summer-16_20260312_110000_preview.mp4</t>
  </si>
  <si>
    <t>bee_count_output/runs/selected/ANU-25-summer-16_20260312_110000_frame_flux.csv</t>
  </si>
  <si>
    <t>bee_count_output/runs/selected/ANU-25-summer-16_20260312_110000_window_3sec.csv</t>
  </si>
  <si>
    <t>ANU-25-summer-16_20260312_120000.mp4</t>
  </si>
  <si>
    <t>videos/ANU-25-summer-16_20260312_120000.mp4</t>
  </si>
  <si>
    <t>bee_count_output/runs/selected/ANU-25-summer-16_20260312_120000_preview.mp4</t>
  </si>
  <si>
    <t>bee_count_output/runs/selected/ANU-25-summer-16_20260312_120000_frame_flux.csv</t>
  </si>
  <si>
    <t>bee_count_output/runs/selected/ANU-25-summer-16_20260312_120000_window_3sec.csv</t>
  </si>
  <si>
    <t>ANU-25-summer-16_20260312_130000.mp4</t>
  </si>
  <si>
    <t>videos/ANU-25-summer-16_20260312_130000.mp4</t>
  </si>
  <si>
    <t>bee_count_output/runs/selected/ANU-25-summer-16_20260312_130000_preview.mp4</t>
  </si>
  <si>
    <t>bee_count_output/runs/selected/ANU-25-summer-16_20260312_130000_frame_flux.csv</t>
  </si>
  <si>
    <t>bee_count_output/runs/selected/ANU-25-summer-16_20260312_130000_window_3sec.csv</t>
  </si>
  <si>
    <t>ANU-25-summer-16_20260312_140000.mp4</t>
  </si>
  <si>
    <t>videos/ANU-25-summer-16_20260312_140000.mp4</t>
  </si>
  <si>
    <t>bee_count_output/runs/selected/ANU-25-summer-16_20260312_140000_preview.mp4</t>
  </si>
  <si>
    <t>bee_count_output/runs/selected/ANU-25-summer-16_20260312_140000_frame_flux.csv</t>
  </si>
  <si>
    <t>bee_count_output/runs/selected/ANU-25-summer-16_20260312_140000_window_3sec.csv</t>
  </si>
  <si>
    <t>ANU-25-summer-16_20260312_150000.mp4</t>
  </si>
  <si>
    <t>videos/ANU-25-summer-16_20260312_150000.mp4</t>
  </si>
  <si>
    <t>bee_count_output/runs/selected/ANU-25-summer-16_20260312_150000_preview.mp4</t>
  </si>
  <si>
    <t>bee_count_output/runs/selected/ANU-25-summer-16_20260312_150000_frame_flux.csv</t>
  </si>
  <si>
    <t>bee_count_output/runs/selected/ANU-25-summer-16_20260312_150000_window_3sec.csv</t>
  </si>
  <si>
    <t>ANU-25-summer-16_20260312_160000.mp4</t>
  </si>
  <si>
    <t>videos/ANU-25-summer-16_20260312_160000.mp4</t>
  </si>
  <si>
    <t>bee_count_output/runs/selected/ANU-25-summer-16_20260312_160000_preview.mp4</t>
  </si>
  <si>
    <t>bee_count_output/runs/selected/ANU-25-summer-16_20260312_160000_frame_flux.csv</t>
  </si>
  <si>
    <t>bee_count_output/runs/selected/ANU-25-summer-16_20260312_160000_window_3sec.csv</t>
  </si>
  <si>
    <t>ANU-25-summer-16_20260312_170000.mp4</t>
  </si>
  <si>
    <t>videos/ANU-25-summer-16_20260312_170000.mp4</t>
  </si>
  <si>
    <t>bee_count_output/runs/selected/ANU-25-summer-16_20260312_170000_preview.mp4</t>
  </si>
  <si>
    <t>bee_count_output/runs/selected/ANU-25-summer-16_20260312_170000_frame_flux.csv</t>
  </si>
  <si>
    <t>bee_count_output/runs/selected/ANU-25-summer-16_20260312_170000_window_3sec.csv</t>
  </si>
  <si>
    <t>ANU-25-summer-16_20260312_180000.mp4</t>
  </si>
  <si>
    <t>videos/ANU-25-summer-16_20260312_180000.mp4</t>
  </si>
  <si>
    <t>bee_count_output/runs/selected/ANU-25-summer-16_20260312_180000_preview.mp4</t>
  </si>
  <si>
    <t>bee_count_output/runs/selected/ANU-25-summer-16_20260312_180000_frame_flux.csv</t>
  </si>
  <si>
    <t>bee_count_output/runs/selected/ANU-25-summer-16_20260312_180000_window_3sec.csv</t>
  </si>
  <si>
    <t>ANU-25-summer-16_20260312_190000.mp4</t>
  </si>
  <si>
    <t>videos/ANU-25-summer-16_20260312_190000.mp4</t>
  </si>
  <si>
    <t>bee_count_output/runs/selected/ANU-25-summer-16_20260312_190000_preview.mp4</t>
  </si>
  <si>
    <t>bee_count_output/runs/selected/ANU-25-summer-16_20260312_190000_frame_flux.csv</t>
  </si>
  <si>
    <t>bee_count_output/runs/selected/ANU-25-summer-16_20260312_190000_window_3sec.csv</t>
  </si>
  <si>
    <t>ANU-25-summer-16_20260313_060000.mp4</t>
  </si>
  <si>
    <t>videos/ANU-25-summer-16_20260313_060000.mp4</t>
  </si>
  <si>
    <t>bee_count_output/runs/selected/ANU-25-summer-16_20260313_060000_preview.mp4</t>
  </si>
  <si>
    <t>bee_count_output/runs/selected/ANU-25-summer-16_20260313_060000_frame_flux.csv</t>
  </si>
  <si>
    <t>bee_count_output/runs/selected/ANU-25-summer-16_20260313_060000_window_3sec.csv</t>
  </si>
  <si>
    <t>ANU-25-summer-16_20260313_070000.mp4</t>
  </si>
  <si>
    <t>videos/ANU-25-summer-16_20260313_070000.mp4</t>
  </si>
  <si>
    <t>bee_count_output/runs/selected/ANU-25-summer-16_20260313_070000_preview.mp4</t>
  </si>
  <si>
    <t>bee_count_output/runs/selected/ANU-25-summer-16_20260313_070000_frame_flux.csv</t>
  </si>
  <si>
    <t>bee_count_output/runs/selected/ANU-25-summer-16_20260313_070000_window_3sec.csv</t>
  </si>
  <si>
    <t>ANU-25-summer-16_20260313_080000.mp4</t>
  </si>
  <si>
    <t>videos/ANU-25-summer-16_20260313_080000.mp4</t>
  </si>
  <si>
    <t>bee_count_output/runs/selected/ANU-25-summer-16_20260313_080000_preview.mp4</t>
  </si>
  <si>
    <t>bee_count_output/runs/selected/ANU-25-summer-16_20260313_080000_frame_flux.csv</t>
  </si>
  <si>
    <t>bee_count_output/runs/selected/ANU-25-summer-16_20260313_080000_window_3sec.csv</t>
  </si>
  <si>
    <t>ANU-25-summer-16_20260313_090000.mp4</t>
  </si>
  <si>
    <t>videos/ANU-25-summer-16_20260313_090000.mp4</t>
  </si>
  <si>
    <t>bee_count_output/runs/selected/ANU-25-summer-16_20260313_090000_preview.mp4</t>
  </si>
  <si>
    <t>bee_count_output/runs/selected/ANU-25-summer-16_20260313_090000_frame_flux.csv</t>
  </si>
  <si>
    <t>bee_count_output/runs/selected/ANU-25-summer-16_20260313_090000_window_3sec.csv</t>
  </si>
  <si>
    <t>ANU-25-summer-16_20260313_100000.mp4</t>
  </si>
  <si>
    <t>videos/ANU-25-summer-16_20260313_100000.mp4</t>
  </si>
  <si>
    <t>bee_count_output/runs/selected/ANU-25-summer-16_20260313_100000_preview.mp4</t>
  </si>
  <si>
    <t>bee_count_output/runs/selected/ANU-25-summer-16_20260313_100000_frame_flux.csv</t>
  </si>
  <si>
    <t>bee_count_output/runs/selected/ANU-25-summer-16_20260313_100000_window_3sec.csv</t>
  </si>
  <si>
    <t>ANU-25-summer-16_20260313_110000.mp4</t>
  </si>
  <si>
    <t>videos/ANU-25-summer-16_20260313_110000.mp4</t>
  </si>
  <si>
    <t>bee_count_output/runs/selected/ANU-25-summer-16_20260313_110000_preview.mp4</t>
  </si>
  <si>
    <t>bee_count_output/runs/selected/ANU-25-summer-16_20260313_110000_frame_flux.csv</t>
  </si>
  <si>
    <t>bee_count_output/runs/selected/ANU-25-summer-16_20260313_110000_window_3sec.csv</t>
  </si>
  <si>
    <t>ANU-25-summer-16_20260313_120000.mp4</t>
  </si>
  <si>
    <t>videos/ANU-25-summer-16_20260313_120000.mp4</t>
  </si>
  <si>
    <t>bee_count_output/runs/selected/ANU-25-summer-16_20260313_120000_preview.mp4</t>
  </si>
  <si>
    <t>bee_count_output/runs/selected/ANU-25-summer-16_20260313_120000_frame_flux.csv</t>
  </si>
  <si>
    <t>bee_count_output/runs/selected/ANU-25-summer-16_20260313_120000_window_3sec.csv</t>
  </si>
  <si>
    <t>ANU-25-summer-16_20260313_130000.mp4</t>
  </si>
  <si>
    <t>videos/ANU-25-summer-16_20260313_130000.mp4</t>
  </si>
  <si>
    <t>bee_count_output/runs/selected/ANU-25-summer-16_20260313_130000_preview.mp4</t>
  </si>
  <si>
    <t>bee_count_output/runs/selected/ANU-25-summer-16_20260313_130000_frame_flux.csv</t>
  </si>
  <si>
    <t>bee_count_output/runs/selected/ANU-25-summer-16_20260313_130000_window_3sec.csv</t>
  </si>
  <si>
    <t>ANU-25-summer-16_20260313_140000.mp4</t>
  </si>
  <si>
    <t>videos/ANU-25-summer-16_20260313_140000.mp4</t>
  </si>
  <si>
    <t>bee_count_output/runs/selected/ANU-25-summer-16_20260313_140000_preview.mp4</t>
  </si>
  <si>
    <t>bee_count_output/runs/selected/ANU-25-summer-16_20260313_140000_frame_flux.csv</t>
  </si>
  <si>
    <t>bee_count_output/runs/selected/ANU-25-summer-16_20260313_140000_window_3sec.csv</t>
  </si>
  <si>
    <t>ANU-25-summer-16_20260313_150000.mp4</t>
  </si>
  <si>
    <t>videos/ANU-25-summer-16_20260313_150000.mp4</t>
  </si>
  <si>
    <t>bee_count_output/runs/selected/ANU-25-summer-16_20260313_150000_preview.mp4</t>
  </si>
  <si>
    <t>bee_count_output/runs/selected/ANU-25-summer-16_20260313_150000_frame_flux.csv</t>
  </si>
  <si>
    <t>bee_count_output/runs/selected/ANU-25-summer-16_20260313_150000_window_3sec.csv</t>
  </si>
  <si>
    <t>ANU-25-summer-16_20260313_160000.mp4</t>
  </si>
  <si>
    <t>videos/ANU-25-summer-16_20260313_160000.mp4</t>
  </si>
  <si>
    <t>bee_count_output/runs/selected/ANU-25-summer-16_20260313_160000_preview.mp4</t>
  </si>
  <si>
    <t>bee_count_output/runs/selected/ANU-25-summer-16_20260313_160000_frame_flux.csv</t>
  </si>
  <si>
    <t>bee_count_output/runs/selected/ANU-25-summer-16_20260313_160000_window_3sec.csv</t>
  </si>
  <si>
    <t>ANU-25-summer-16_20260313_170000.mp4</t>
  </si>
  <si>
    <t>videos/ANU-25-summer-16_20260313_170000.mp4</t>
  </si>
  <si>
    <t>bee_count_output/runs/selected/ANU-25-summer-16_20260313_170000_preview.mp4</t>
  </si>
  <si>
    <t>bee_count_output/runs/selected/ANU-25-summer-16_20260313_170000_frame_flux.csv</t>
  </si>
  <si>
    <t>bee_count_output/runs/selected/ANU-25-summer-16_20260313_170000_window_3sec.csv</t>
  </si>
  <si>
    <t>ANU-25-summer-16_20260313_180000.mp4</t>
  </si>
  <si>
    <t>videos/ANU-25-summer-16_20260313_180000.mp4</t>
  </si>
  <si>
    <t>bee_count_output/runs/selected/ANU-25-summer-16_20260313_180000_preview.mp4</t>
  </si>
  <si>
    <t>bee_count_output/runs/selected/ANU-25-summer-16_20260313_180000_frame_flux.csv</t>
  </si>
  <si>
    <t>bee_count_output/runs/selected/ANU-25-summer-16_20260313_180000_window_3sec.csv</t>
  </si>
  <si>
    <t>ANU-25-summer-16_20260313_190000.mp4</t>
  </si>
  <si>
    <t>videos/ANU-25-summer-16_20260313_190000.mp4</t>
  </si>
  <si>
    <t>bee_count_output/runs/selected/ANU-25-summer-16_20260313_190000_preview.mp4</t>
  </si>
  <si>
    <t>bee_count_output/runs/selected/ANU-25-summer-16_20260313_190000_frame_flux.csv</t>
  </si>
  <si>
    <t>bee_count_output/runs/selected/ANU-25-summer-16_20260313_190000_window_3sec.csv</t>
  </si>
  <si>
    <t>ANU-25-summer-16_20260314_060000.mp4</t>
  </si>
  <si>
    <t>videos/ANU-25-summer-16_20260314_060000.mp4</t>
  </si>
  <si>
    <t>bee_count_output/runs/selected/ANU-25-summer-16_20260314_060000_preview.mp4</t>
  </si>
  <si>
    <t>bee_count_output/runs/selected/ANU-25-summer-16_20260314_060000_frame_flux.csv</t>
  </si>
  <si>
    <t>bee_count_output/runs/selected/ANU-25-summer-16_20260314_060000_window_3sec.csv</t>
  </si>
  <si>
    <t>ANU-25-summer-16_20260314_070000.mp4</t>
  </si>
  <si>
    <t>videos/ANU-25-summer-16_20260314_070000.mp4</t>
  </si>
  <si>
    <t>bee_count_output/runs/selected/ANU-25-summer-16_20260314_070000_preview.mp4</t>
  </si>
  <si>
    <t>bee_count_output/runs/selected/ANU-25-summer-16_20260314_070000_frame_flux.csv</t>
  </si>
  <si>
    <t>bee_count_output/runs/selected/ANU-25-summer-16_20260314_070000_window_3sec.csv</t>
  </si>
  <si>
    <t>ANU-25-summer-16_20260314_080000.mp4</t>
  </si>
  <si>
    <t>videos/ANU-25-summer-16_20260314_080000.mp4</t>
  </si>
  <si>
    <t>bee_count_output/runs/selected/ANU-25-summer-16_20260314_080000_preview.mp4</t>
  </si>
  <si>
    <t>bee_count_output/runs/selected/ANU-25-summer-16_20260314_080000_frame_flux.csv</t>
  </si>
  <si>
    <t>bee_count_output/runs/selected/ANU-25-summer-16_20260314_080000_window_3sec.csv</t>
  </si>
  <si>
    <t>ANU-25-summer-16_20260314_090000.mp4</t>
  </si>
  <si>
    <t>videos/ANU-25-summer-16_20260314_090000.mp4</t>
  </si>
  <si>
    <t>bee_count_output/runs/selected/ANU-25-summer-16_20260314_090000_preview.mp4</t>
  </si>
  <si>
    <t>bee_count_output/runs/selected/ANU-25-summer-16_20260314_090000_frame_flux.csv</t>
  </si>
  <si>
    <t>bee_count_output/runs/selected/ANU-25-summer-16_20260314_090000_window_3sec.csv</t>
  </si>
  <si>
    <t>ANU-25-summer-16_20260314_100000.mp4</t>
  </si>
  <si>
    <t>videos/ANU-25-summer-16_20260314_100000.mp4</t>
  </si>
  <si>
    <t>bee_count_output/runs/selected/ANU-25-summer-16_20260314_100000_preview.mp4</t>
  </si>
  <si>
    <t>bee_count_output/runs/selected/ANU-25-summer-16_20260314_100000_frame_flux.csv</t>
  </si>
  <si>
    <t>bee_count_output/runs/selected/ANU-25-summer-16_20260314_100000_window_3sec.csv</t>
  </si>
  <si>
    <t>ANU-25-summer-16_20260314_110000.mp4</t>
  </si>
  <si>
    <t>videos/ANU-25-summer-16_20260314_110000.mp4</t>
  </si>
  <si>
    <t>bee_count_output/runs/selected/ANU-25-summer-16_20260314_110000_preview.mp4</t>
  </si>
  <si>
    <t>bee_count_output/runs/selected/ANU-25-summer-16_20260314_110000_frame_flux.csv</t>
  </si>
  <si>
    <t>bee_count_output/runs/selected/ANU-25-summer-16_20260314_110000_window_3sec.csv</t>
  </si>
  <si>
    <t>ANU-25-summer-16_20260314_120000.mp4</t>
  </si>
  <si>
    <t>videos/ANU-25-summer-16_20260314_120000.mp4</t>
  </si>
  <si>
    <t>bee_count_output/runs/selected/ANU-25-summer-16_20260314_120000_preview.mp4</t>
  </si>
  <si>
    <t>bee_count_output/runs/selected/ANU-25-summer-16_20260314_120000_frame_flux.csv</t>
  </si>
  <si>
    <t>bee_count_output/runs/selected/ANU-25-summer-16_20260314_120000_window_3sec.csv</t>
  </si>
  <si>
    <t>ANU-25-summer-16_20260314_130000.mp4</t>
  </si>
  <si>
    <t>videos/ANU-25-summer-16_20260314_130000.mp4</t>
  </si>
  <si>
    <t>bee_count_output/runs/selected/ANU-25-summer-16_20260314_130000_preview.mp4</t>
  </si>
  <si>
    <t>bee_count_output/runs/selected/ANU-25-summer-16_20260314_130000_frame_flux.csv</t>
  </si>
  <si>
    <t>bee_count_output/runs/selected/ANU-25-summer-16_20260314_130000_window_3sec.csv</t>
  </si>
  <si>
    <t>ANU-25-summer-16_20260314_140000.mp4</t>
  </si>
  <si>
    <t>videos/ANU-25-summer-16_20260314_140000.mp4</t>
  </si>
  <si>
    <t>bee_count_output/runs/selected/ANU-25-summer-16_20260314_140000_preview.mp4</t>
  </si>
  <si>
    <t>bee_count_output/runs/selected/ANU-25-summer-16_20260314_140000_frame_flux.csv</t>
  </si>
  <si>
    <t>bee_count_output/runs/selected/ANU-25-summer-16_20260314_140000_window_3sec.csv</t>
  </si>
  <si>
    <t>ANU-25-summer-16_20260314_150000.mp4</t>
  </si>
  <si>
    <t>videos/ANU-25-summer-16_20260314_150000.mp4</t>
  </si>
  <si>
    <t>bee_count_output/runs/selected/ANU-25-summer-16_20260314_150000_preview.mp4</t>
  </si>
  <si>
    <t>bee_count_output/runs/selected/ANU-25-summer-16_20260314_150000_frame_flux.csv</t>
  </si>
  <si>
    <t>bee_count_output/runs/selected/ANU-25-summer-16_20260314_150000_window_3sec.csv</t>
  </si>
  <si>
    <t>ANU-25-summer-16_20260314_160000.mp4</t>
  </si>
  <si>
    <t>videos/ANU-25-summer-16_20260314_160000.mp4</t>
  </si>
  <si>
    <t>bee_count_output/runs/selected/ANU-25-summer-16_20260314_160000_preview.mp4</t>
  </si>
  <si>
    <t>bee_count_output/runs/selected/ANU-25-summer-16_20260314_160000_frame_flux.csv</t>
  </si>
  <si>
    <t>bee_count_output/runs/selected/ANU-25-summer-16_20260314_160000_window_3sec.csv</t>
  </si>
  <si>
    <t>ANU-25-summer-16_20260314_170000.mp4</t>
  </si>
  <si>
    <t>videos/ANU-25-summer-16_20260314_170000.mp4</t>
  </si>
  <si>
    <t>bee_count_output/runs/selected/ANU-25-summer-16_20260314_170000_preview.mp4</t>
  </si>
  <si>
    <t>bee_count_output/runs/selected/ANU-25-summer-16_20260314_170000_frame_flux.csv</t>
  </si>
  <si>
    <t>bee_count_output/runs/selected/ANU-25-summer-16_20260314_170000_window_3sec.csv</t>
  </si>
  <si>
    <t>ANU-25-summer-16_20260314_180000.mp4</t>
  </si>
  <si>
    <t>videos/ANU-25-summer-16_20260314_180000.mp4</t>
  </si>
  <si>
    <t>bee_count_output/runs/selected/ANU-25-summer-16_20260314_180000_preview.mp4</t>
  </si>
  <si>
    <t>bee_count_output/runs/selected/ANU-25-summer-16_20260314_180000_frame_flux.csv</t>
  </si>
  <si>
    <t>bee_count_output/runs/selected/ANU-25-summer-16_20260314_180000_window_3sec.csv</t>
  </si>
  <si>
    <t>ANU-25-summer-16_20260314_190000.mp4</t>
  </si>
  <si>
    <t>videos/ANU-25-summer-16_20260314_190000.mp4</t>
  </si>
  <si>
    <t>bee_count_output/runs/selected/ANU-25-summer-16_20260314_190000_preview.mp4</t>
  </si>
  <si>
    <t>bee_count_output/runs/selected/ANU-25-summer-16_20260314_190000_frame_flux.csv</t>
  </si>
  <si>
    <t>bee_count_output/runs/selected/ANU-25-summer-16_20260314_190000_window_3sec.csv</t>
  </si>
  <si>
    <t>ANU-25-summer-16_20260315_060000.mp4</t>
  </si>
  <si>
    <t>videos/ANU-25-summer-16_20260315_060000.mp4</t>
  </si>
  <si>
    <t>bee_count_output/runs/selected/ANU-25-summer-16_20260315_060000_preview.mp4</t>
  </si>
  <si>
    <t>bee_count_output/runs/selected/ANU-25-summer-16_20260315_060000_frame_flux.csv</t>
  </si>
  <si>
    <t>bee_count_output/runs/selected/ANU-25-summer-16_20260315_060000_window_3sec.csv</t>
  </si>
  <si>
    <t>ANU-25-summer-16_20260315_070000.mp4</t>
  </si>
  <si>
    <t>videos/ANU-25-summer-16_20260315_070000.mp4</t>
  </si>
  <si>
    <t>bee_count_output/runs/selected/ANU-25-summer-16_20260315_070000_preview.mp4</t>
  </si>
  <si>
    <t>bee_count_output/runs/selected/ANU-25-summer-16_20260315_070000_frame_flux.csv</t>
  </si>
  <si>
    <t>bee_count_output/runs/selected/ANU-25-summer-16_20260315_070000_window_3sec.csv</t>
  </si>
  <si>
    <t>ANU-25-summer-16_20260315_080000.mp4</t>
  </si>
  <si>
    <t>videos/ANU-25-summer-16_20260315_080000.mp4</t>
  </si>
  <si>
    <t>bee_count_output/runs/selected/ANU-25-summer-16_20260315_080000_preview.mp4</t>
  </si>
  <si>
    <t>bee_count_output/runs/selected/ANU-25-summer-16_20260315_080000_frame_flux.csv</t>
  </si>
  <si>
    <t>bee_count_output/runs/selected/ANU-25-summer-16_20260315_080000_window_3sec.csv</t>
  </si>
  <si>
    <t>ANU-25-summer-16_20260315_090000.mp4</t>
  </si>
  <si>
    <t>videos/ANU-25-summer-16_20260315_090000.mp4</t>
  </si>
  <si>
    <t>bee_count_output/runs/selected/ANU-25-summer-16_20260315_090000_preview.mp4</t>
  </si>
  <si>
    <t>bee_count_output/runs/selected/ANU-25-summer-16_20260315_090000_frame_flux.csv</t>
  </si>
  <si>
    <t>bee_count_output/runs/selected/ANU-25-summer-16_20260315_090000_window_3sec.csv</t>
  </si>
  <si>
    <t>ANU-25-summer-16_20260315_100000.mp4</t>
  </si>
  <si>
    <t>videos/ANU-25-summer-16_20260315_100000.mp4</t>
  </si>
  <si>
    <t>bee_count_output/runs/selected/ANU-25-summer-16_20260315_100000_preview.mp4</t>
  </si>
  <si>
    <t>bee_count_output/runs/selected/ANU-25-summer-16_20260315_100000_frame_flux.csv</t>
  </si>
  <si>
    <t>bee_count_output/runs/selected/ANU-25-summer-16_20260315_100000_window_3sec.csv</t>
  </si>
  <si>
    <t>ANU-25-summer-16_20260315_110000.mp4</t>
  </si>
  <si>
    <t>videos/ANU-25-summer-16_20260315_110000.mp4</t>
  </si>
  <si>
    <t>bee_count_output/runs/selected/ANU-25-summer-16_20260315_110000_preview.mp4</t>
  </si>
  <si>
    <t>bee_count_output/runs/selected/ANU-25-summer-16_20260315_110000_frame_flux.csv</t>
  </si>
  <si>
    <t>bee_count_output/runs/selected/ANU-25-summer-16_20260315_110000_window_3sec.csv</t>
  </si>
  <si>
    <t>ANU-25-summer-16_20260315_120000.mp4</t>
  </si>
  <si>
    <t>videos/ANU-25-summer-16_20260315_120000.mp4</t>
  </si>
  <si>
    <t>bee_count_output/runs/selected/ANU-25-summer-16_20260315_120000_preview.mp4</t>
  </si>
  <si>
    <t>bee_count_output/runs/selected/ANU-25-summer-16_20260315_120000_frame_flux.csv</t>
  </si>
  <si>
    <t>bee_count_output/runs/selected/ANU-25-summer-16_20260315_120000_window_3sec.csv</t>
  </si>
  <si>
    <t>ANU-25-summer-16_20260315_130000.mp4</t>
  </si>
  <si>
    <t>videos/ANU-25-summer-16_20260315_130000.mp4</t>
  </si>
  <si>
    <t>bee_count_output/runs/selected/ANU-25-summer-16_20260315_130000_preview.mp4</t>
  </si>
  <si>
    <t>bee_count_output/runs/selected/ANU-25-summer-16_20260315_130000_frame_flux.csv</t>
  </si>
  <si>
    <t>bee_count_output/runs/selected/ANU-25-summer-16_20260315_130000_window_3sec.csv</t>
  </si>
  <si>
    <t>ANU-25-summer-16_20260315_140000.mp4</t>
  </si>
  <si>
    <t>videos/ANU-25-summer-16_20260315_140000.mp4</t>
  </si>
  <si>
    <t>bee_count_output/runs/selected/ANU-25-summer-16_20260315_140000_preview.mp4</t>
  </si>
  <si>
    <t>bee_count_output/runs/selected/ANU-25-summer-16_20260315_140000_frame_flux.csv</t>
  </si>
  <si>
    <t>bee_count_output/runs/selected/ANU-25-summer-16_20260315_140000_window_3sec.csv</t>
  </si>
  <si>
    <t>ANU-25-summer-16_20260315_150000.mp4</t>
  </si>
  <si>
    <t>videos/ANU-25-summer-16_20260315_150000.mp4</t>
  </si>
  <si>
    <t>bee_count_output/runs/selected/ANU-25-summer-16_20260315_150000_preview.mp4</t>
  </si>
  <si>
    <t>bee_count_output/runs/selected/ANU-25-summer-16_20260315_150000_frame_flux.csv</t>
  </si>
  <si>
    <t>bee_count_output/runs/selected/ANU-25-summer-16_20260315_150000_window_3sec.csv</t>
  </si>
  <si>
    <t>ANU-25-summer-16_20260315_160000.mp4</t>
  </si>
  <si>
    <t>videos/ANU-25-summer-16_20260315_160000.mp4</t>
  </si>
  <si>
    <t>bee_count_output/runs/selected/ANU-25-summer-16_20260315_160000_preview.mp4</t>
  </si>
  <si>
    <t>bee_count_output/runs/selected/ANU-25-summer-16_20260315_160000_frame_flux.csv</t>
  </si>
  <si>
    <t>bee_count_output/runs/selected/ANU-25-summer-16_20260315_160000_window_3sec.csv</t>
  </si>
  <si>
    <t>ANU-25-summer-16_20260315_170000.mp4</t>
  </si>
  <si>
    <t>videos/ANU-25-summer-16_20260315_170000.mp4</t>
  </si>
  <si>
    <t>bee_count_output/runs/selected/ANU-25-summer-16_20260315_170000_preview.mp4</t>
  </si>
  <si>
    <t>bee_count_output/runs/selected/ANU-25-summer-16_20260315_170000_frame_flux.csv</t>
  </si>
  <si>
    <t>bee_count_output/runs/selected/ANU-25-summer-16_20260315_170000_window_3sec.csv</t>
  </si>
  <si>
    <t>ANU-25-summer-16_20260315_180000.mp4</t>
  </si>
  <si>
    <t>videos/ANU-25-summer-16_20260315_180000.mp4</t>
  </si>
  <si>
    <t>bee_count_output/runs/selected/ANU-25-summer-16_20260315_180000_preview.mp4</t>
  </si>
  <si>
    <t>bee_count_output/runs/selected/ANU-25-summer-16_20260315_180000_frame_flux.csv</t>
  </si>
  <si>
    <t>bee_count_output/runs/selected/ANU-25-summer-16_20260315_180000_window_3sec.csv</t>
  </si>
  <si>
    <t>ANU-25-summer-16_20260315_190000.mp4</t>
  </si>
  <si>
    <t>videos/ANU-25-summer-16_20260315_190000.mp4</t>
  </si>
  <si>
    <t>bee_count_output/runs/selected/ANU-25-summer-16_20260315_190000_preview.mp4</t>
  </si>
  <si>
    <t>bee_count_output/runs/selected/ANU-25-summer-16_20260315_190000_frame_flux.csv</t>
  </si>
  <si>
    <t>bee_count_output/runs/selected/ANU-25-summer-16_20260315_190000_window_3sec.csv</t>
  </si>
  <si>
    <t>ANU-25-summer-16_20260316_060000.mp4</t>
  </si>
  <si>
    <t>videos/ANU-25-summer-16_20260316_060000.mp4</t>
  </si>
  <si>
    <t>bee_count_output/runs/selected/ANU-25-summer-16_20260316_060000_preview.mp4</t>
  </si>
  <si>
    <t>bee_count_output/runs/selected/ANU-25-summer-16_20260316_060000_frame_flux.csv</t>
  </si>
  <si>
    <t>bee_count_output/runs/selected/ANU-25-summer-16_20260316_060000_window_3sec.csv</t>
  </si>
  <si>
    <t>ANU-25-summer-16_20260316_070000.mp4</t>
  </si>
  <si>
    <t>videos/ANU-25-summer-16_20260316_070000.mp4</t>
  </si>
  <si>
    <t>bee_count_output/runs/selected/ANU-25-summer-16_20260316_070000_preview.mp4</t>
  </si>
  <si>
    <t>bee_count_output/runs/selected/ANU-25-summer-16_20260316_070000_frame_flux.csv</t>
  </si>
  <si>
    <t>bee_count_output/runs/selected/ANU-25-summer-16_20260316_070000_window_3sec.csv</t>
  </si>
  <si>
    <t>ANU-25-summer-16_20260316_080000.mp4</t>
  </si>
  <si>
    <t>videos/ANU-25-summer-16_20260316_080000.mp4</t>
  </si>
  <si>
    <t>bee_count_output/runs/selected/ANU-25-summer-16_20260316_080000_preview.mp4</t>
  </si>
  <si>
    <t>bee_count_output/runs/selected/ANU-25-summer-16_20260316_080000_frame_flux.csv</t>
  </si>
  <si>
    <t>bee_count_output/runs/selected/ANU-25-summer-16_20260316_080000_window_3sec.csv</t>
  </si>
  <si>
    <t>ANU-25-summer-16_20260316_090000.mp4</t>
  </si>
  <si>
    <t>videos/ANU-25-summer-16_20260316_090000.mp4</t>
  </si>
  <si>
    <t>bee_count_output/runs/selected/ANU-25-summer-16_20260316_090000_preview.mp4</t>
  </si>
  <si>
    <t>bee_count_output/runs/selected/ANU-25-summer-16_20260316_090000_frame_flux.csv</t>
  </si>
  <si>
    <t>bee_count_output/runs/selected/ANU-25-summer-16_20260316_090000_window_3sec.csv</t>
  </si>
  <si>
    <t>ANU-25-summer-16_20260316_100000.mp4</t>
  </si>
  <si>
    <t>videos/ANU-25-summer-16_20260316_100000.mp4</t>
  </si>
  <si>
    <t>bee_count_output/runs/selected/ANU-25-summer-16_20260316_100000_preview.mp4</t>
  </si>
  <si>
    <t>bee_count_output/runs/selected/ANU-25-summer-16_20260316_100000_frame_flux.csv</t>
  </si>
  <si>
    <t>bee_count_output/runs/selected/ANU-25-summer-16_20260316_100000_window_3sec.csv</t>
  </si>
  <si>
    <t>ANU-25-summer-16_20260316_110000.mp4</t>
  </si>
  <si>
    <t>videos/ANU-25-summer-16_20260316_110000.mp4</t>
  </si>
  <si>
    <t>bee_count_output/runs/selected/ANU-25-summer-16_20260316_110000_preview.mp4</t>
  </si>
  <si>
    <t>bee_count_output/runs/selected/ANU-25-summer-16_20260316_110000_frame_flux.csv</t>
  </si>
  <si>
    <t>bee_count_output/runs/selected/ANU-25-summer-16_20260316_110000_window_3sec.csv</t>
  </si>
  <si>
    <t>ANU-25-summer-16_20260316_120000.mp4</t>
  </si>
  <si>
    <t>videos/ANU-25-summer-16_20260316_120000.mp4</t>
  </si>
  <si>
    <t>bee_count_output/runs/selected/ANU-25-summer-16_20260316_120000_preview.mp4</t>
  </si>
  <si>
    <t>bee_count_output/runs/selected/ANU-25-summer-16_20260316_120000_frame_flux.csv</t>
  </si>
  <si>
    <t>bee_count_output/runs/selected/ANU-25-summer-16_20260316_120000_window_3sec.csv</t>
  </si>
  <si>
    <t>ANU-25-summer-16_20260316_130000.mp4</t>
  </si>
  <si>
    <t>videos/ANU-25-summer-16_20260316_130000.mp4</t>
  </si>
  <si>
    <t>bee_count_output/runs/selected/ANU-25-summer-16_20260316_130000_preview.mp4</t>
  </si>
  <si>
    <t>bee_count_output/runs/selected/ANU-25-summer-16_20260316_130000_frame_flux.csv</t>
  </si>
  <si>
    <t>bee_count_output/runs/selected/ANU-25-summer-16_20260316_130000_window_3sec.csv</t>
  </si>
  <si>
    <t>ANU-25-summer-16_20260316_140000.mp4</t>
  </si>
  <si>
    <t>videos/ANU-25-summer-16_20260316_140000.mp4</t>
  </si>
  <si>
    <t>bee_count_output/runs/selected/ANU-25-summer-16_20260316_140000_preview.mp4</t>
  </si>
  <si>
    <t>bee_count_output/runs/selected/ANU-25-summer-16_20260316_140000_frame_flux.csv</t>
  </si>
  <si>
    <t>bee_count_output/runs/selected/ANU-25-summer-16_20260316_140000_window_3sec.csv</t>
  </si>
  <si>
    <t>ANU-25-summer-16_20260316_150000.mp4</t>
  </si>
  <si>
    <t>videos/ANU-25-summer-16_20260316_150000.mp4</t>
  </si>
  <si>
    <t>bee_count_output/runs/selected/ANU-25-summer-16_20260316_150000_preview.mp4</t>
  </si>
  <si>
    <t>bee_count_output/runs/selected/ANU-25-summer-16_20260316_150000_frame_flux.csv</t>
  </si>
  <si>
    <t>bee_count_output/runs/selected/ANU-25-summer-16_20260316_150000_window_3sec.csv</t>
  </si>
  <si>
    <t>ANU-25-summer-16_20260316_160000.mp4</t>
  </si>
  <si>
    <t>videos/ANU-25-summer-16_20260316_160000.mp4</t>
  </si>
  <si>
    <t>bee_count_output/runs/selected/ANU-25-summer-16_20260316_160000_preview.mp4</t>
  </si>
  <si>
    <t>bee_count_output/runs/selected/ANU-25-summer-16_20260316_160000_frame_flux.csv</t>
  </si>
  <si>
    <t>bee_count_output/runs/selected/ANU-25-summer-16_20260316_160000_window_3sec.csv</t>
  </si>
  <si>
    <t>ANU-25-summer-16_20260316_170000.mp4</t>
  </si>
  <si>
    <t>videos/ANU-25-summer-16_20260316_170000.mp4</t>
  </si>
  <si>
    <t>bee_count_output/runs/selected/ANU-25-summer-16_20260316_170000_preview.mp4</t>
  </si>
  <si>
    <t>bee_count_output/runs/selected/ANU-25-summer-16_20260316_170000_frame_flux.csv</t>
  </si>
  <si>
    <t>bee_count_output/runs/selected/ANU-25-summer-16_20260316_170000_window_3sec.csv</t>
  </si>
  <si>
    <t>ANU-25-summer-16_20260316_180000.mp4</t>
  </si>
  <si>
    <t>videos/ANU-25-summer-16_20260316_180000.mp4</t>
  </si>
  <si>
    <t>bee_count_output/runs/selected/ANU-25-summer-16_20260316_180000_preview.mp4</t>
  </si>
  <si>
    <t>bee_count_output/runs/selected/ANU-25-summer-16_20260316_180000_frame_flux.csv</t>
  </si>
  <si>
    <t>bee_count_output/runs/selected/ANU-25-summer-16_20260316_180000_window_3sec.csv</t>
  </si>
  <si>
    <t>ANU-25-summer-16_20260316_190000.mp4</t>
  </si>
  <si>
    <t>videos/ANU-25-summer-16_20260316_190000.mp4</t>
  </si>
  <si>
    <t>bee_count_output/runs/selected/ANU-25-summer-16_20260316_190000_preview.mp4</t>
  </si>
  <si>
    <t>bee_count_output/runs/selected/ANU-25-summer-16_20260316_190000_frame_flux.csv</t>
  </si>
  <si>
    <t>bee_count_output/runs/selected/ANU-25-summer-16_20260316_190000_window_3sec.csv</t>
  </si>
  <si>
    <t>ANU-25-summer-16_20260317_060000.mp4</t>
  </si>
  <si>
    <t>videos/ANU-25-summer-16_20260317_060000.mp4</t>
  </si>
  <si>
    <t>bee_count_output/runs/selected/ANU-25-summer-16_20260317_060000_preview.mp4</t>
  </si>
  <si>
    <t>bee_count_output/runs/selected/ANU-25-summer-16_20260317_060000_frame_flux.csv</t>
  </si>
  <si>
    <t>bee_count_output/runs/selected/ANU-25-summer-16_20260317_060000_window_3sec.csv</t>
  </si>
  <si>
    <t>ANU-25-summer-16_20260317_070000.mp4</t>
  </si>
  <si>
    <t>videos/ANU-25-summer-16_20260317_070000.mp4</t>
  </si>
  <si>
    <t>bee_count_output/runs/selected/ANU-25-summer-16_20260317_070000_preview.mp4</t>
  </si>
  <si>
    <t>bee_count_output/runs/selected/ANU-25-summer-16_20260317_070000_frame_flux.csv</t>
  </si>
  <si>
    <t>bee_count_output/runs/selected/ANU-25-summer-16_20260317_070000_window_3sec.csv</t>
  </si>
  <si>
    <t>ANU-25-summer-16_20260317_080000.mp4</t>
  </si>
  <si>
    <t>videos/ANU-25-summer-16_20260317_080000.mp4</t>
  </si>
  <si>
    <t>bee_count_output/runs/selected/ANU-25-summer-16_20260317_080000_preview.mp4</t>
  </si>
  <si>
    <t>bee_count_output/runs/selected/ANU-25-summer-16_20260317_080000_frame_flux.csv</t>
  </si>
  <si>
    <t>bee_count_output/runs/selected/ANU-25-summer-16_20260317_080000_window_3sec.csv</t>
  </si>
  <si>
    <t>ANU-25-summer-16_20260317_090000.mp4</t>
  </si>
  <si>
    <t>videos/ANU-25-summer-16_20260317_090000.mp4</t>
  </si>
  <si>
    <t>bee_count_output/runs/selected/ANU-25-summer-16_20260317_090000_preview.mp4</t>
  </si>
  <si>
    <t>bee_count_output/runs/selected/ANU-25-summer-16_20260317_090000_frame_flux.csv</t>
  </si>
  <si>
    <t>bee_count_output/runs/selected/ANU-25-summer-16_20260317_090000_window_3sec.csv</t>
  </si>
  <si>
    <t>ANU-25-summer-16_20260317_100000.mp4</t>
  </si>
  <si>
    <t>videos/ANU-25-summer-16_20260317_100000.mp4</t>
  </si>
  <si>
    <t>bee_count_output/runs/selected/ANU-25-summer-16_20260317_100000_preview.mp4</t>
  </si>
  <si>
    <t>bee_count_output/runs/selected/ANU-25-summer-16_20260317_100000_frame_flux.csv</t>
  </si>
  <si>
    <t>bee_count_output/runs/selected/ANU-25-summer-16_20260317_100000_window_3sec.csv</t>
  </si>
  <si>
    <t>ANU-25-summer-16_20260317_110000.mp4</t>
  </si>
  <si>
    <t>videos/ANU-25-summer-16_20260317_110000.mp4</t>
  </si>
  <si>
    <t>bee_count_output/runs/selected/ANU-25-summer-16_20260317_110000_preview.mp4</t>
  </si>
  <si>
    <t>bee_count_output/runs/selected/ANU-25-summer-16_20260317_110000_frame_flux.csv</t>
  </si>
  <si>
    <t>bee_count_output/runs/selected/ANU-25-summer-16_20260317_110000_window_3sec.csv</t>
  </si>
  <si>
    <t>ANU-25-summer-16_20260317_120000.mp4</t>
  </si>
  <si>
    <t>videos/ANU-25-summer-16_20260317_120000.mp4</t>
  </si>
  <si>
    <t>bee_count_output/runs/selected/ANU-25-summer-16_20260317_120000_preview.mp4</t>
  </si>
  <si>
    <t>bee_count_output/runs/selected/ANU-25-summer-16_20260317_120000_frame_flux.csv</t>
  </si>
  <si>
    <t>bee_count_output/runs/selected/ANU-25-summer-16_20260317_120000_window_3sec.csv</t>
  </si>
  <si>
    <t>ANU-25-summer-16_20260317_130000.mp4</t>
  </si>
  <si>
    <t>videos/ANU-25-summer-16_20260317_130000.mp4</t>
  </si>
  <si>
    <t>bee_count_output/runs/selected/ANU-25-summer-16_20260317_130000_preview.mp4</t>
  </si>
  <si>
    <t>bee_count_output/runs/selected/ANU-25-summer-16_20260317_130000_frame_flux.csv</t>
  </si>
  <si>
    <t>bee_count_output/runs/selected/ANU-25-summer-16_20260317_130000_window_3sec.csv</t>
  </si>
  <si>
    <t>ANU-25-summer-16_20260317_140000.mp4</t>
  </si>
  <si>
    <t>videos/ANU-25-summer-16_20260317_140000.mp4</t>
  </si>
  <si>
    <t>bee_count_output/runs/selected/ANU-25-summer-16_20260317_140000_preview.mp4</t>
  </si>
  <si>
    <t>bee_count_output/runs/selected/ANU-25-summer-16_20260317_140000_frame_flux.csv</t>
  </si>
  <si>
    <t>bee_count_output/runs/selected/ANU-25-summer-16_20260317_140000_window_3sec.csv</t>
  </si>
  <si>
    <t>ANU-25-summer-16_20260317_150000.mp4</t>
  </si>
  <si>
    <t>videos/ANU-25-summer-16_20260317_150000.mp4</t>
  </si>
  <si>
    <t>bee_count_output/runs/selected/ANU-25-summer-16_20260317_150000_preview.mp4</t>
  </si>
  <si>
    <t>bee_count_output/runs/selected/ANU-25-summer-16_20260317_150000_frame_flux.csv</t>
  </si>
  <si>
    <t>bee_count_output/runs/selected/ANU-25-summer-16_20260317_150000_window_3sec.csv</t>
  </si>
  <si>
    <t>ANU-25-summer-16_20260317_160000.mp4</t>
  </si>
  <si>
    <t>videos/ANU-25-summer-16_20260317_160000.mp4</t>
  </si>
  <si>
    <t>bee_count_output/runs/selected/ANU-25-summer-16_20260317_160000_preview.mp4</t>
  </si>
  <si>
    <t>bee_count_output/runs/selected/ANU-25-summer-16_20260317_160000_frame_flux.csv</t>
  </si>
  <si>
    <t>bee_count_output/runs/selected/ANU-25-summer-16_20260317_160000_window_3sec.csv</t>
  </si>
  <si>
    <t>ANU-25-summer-16_20260317_170000.mp4</t>
  </si>
  <si>
    <t>videos/ANU-25-summer-16_20260317_170000.mp4</t>
  </si>
  <si>
    <t>bee_count_output/runs/selected/ANU-25-summer-16_20260317_170000_preview.mp4</t>
  </si>
  <si>
    <t>bee_count_output/runs/selected/ANU-25-summer-16_20260317_170000_frame_flux.csv</t>
  </si>
  <si>
    <t>bee_count_output/runs/selected/ANU-25-summer-16_20260317_170000_window_3sec.csv</t>
  </si>
  <si>
    <t>ANU-25-summer-16_20260317_180000.mp4</t>
  </si>
  <si>
    <t>videos/ANU-25-summer-16_20260317_180000.mp4</t>
  </si>
  <si>
    <t>bee_count_output/runs/selected/ANU-25-summer-16_20260317_180000_preview.mp4</t>
  </si>
  <si>
    <t>bee_count_output/runs/selected/ANU-25-summer-16_20260317_180000_frame_flux.csv</t>
  </si>
  <si>
    <t>bee_count_output/runs/selected/ANU-25-summer-16_20260317_180000_window_3sec.csv</t>
  </si>
  <si>
    <t>ANU-25-summer-16_20260317_190000.mp4</t>
  </si>
  <si>
    <t>videos/ANU-25-summer-16_20260317_190000.mp4</t>
  </si>
  <si>
    <t>bee_count_output/runs/selected/ANU-25-summer-16_20260317_190000_preview.mp4</t>
  </si>
  <si>
    <t>bee_count_output/runs/selected/ANU-25-summer-16_20260317_190000_frame_flux.csv</t>
  </si>
  <si>
    <t>bee_count_output/runs/selected/ANU-25-summer-16_20260317_190000_window_3sec.csv</t>
  </si>
  <si>
    <t>ANU-25-summer-16_20260318_060000.mp4</t>
  </si>
  <si>
    <t>videos/ANU-25-summer-16_20260318_060000.mp4</t>
  </si>
  <si>
    <t>bee_count_output/runs/selected/ANU-25-summer-16_20260318_060000_preview.mp4</t>
  </si>
  <si>
    <t>bee_count_output/runs/selected/ANU-25-summer-16_20260318_060000_frame_flux.csv</t>
  </si>
  <si>
    <t>bee_count_output/runs/selected/ANU-25-summer-16_20260318_060000_window_3sec.csv</t>
  </si>
  <si>
    <t>ANU-25-summer-16_20260318_070000.mp4</t>
  </si>
  <si>
    <t>videos/ANU-25-summer-16_20260318_070000.mp4</t>
  </si>
  <si>
    <t>bee_count_output/runs/selected/ANU-25-summer-16_20260318_070000_preview.mp4</t>
  </si>
  <si>
    <t>bee_count_output/runs/selected/ANU-25-summer-16_20260318_070000_frame_flux.csv</t>
  </si>
  <si>
    <t>bee_count_output/runs/selected/ANU-25-summer-16_20260318_070000_window_3sec.csv</t>
  </si>
  <si>
    <t>ANU-25-summer-16_20260318_080000.mp4</t>
  </si>
  <si>
    <t>videos/ANU-25-summer-16_20260318_080000.mp4</t>
  </si>
  <si>
    <t>bee_count_output/runs/selected/ANU-25-summer-16_20260318_080000_preview.mp4</t>
  </si>
  <si>
    <t>bee_count_output/runs/selected/ANU-25-summer-16_20260318_080000_frame_flux.csv</t>
  </si>
  <si>
    <t>bee_count_output/runs/selected/ANU-25-summer-16_20260318_080000_window_3sec.csv</t>
  </si>
  <si>
    <t>ANU-25-summer-16_20260318_090000.mp4</t>
  </si>
  <si>
    <t>videos/ANU-25-summer-16_20260318_090000.mp4</t>
  </si>
  <si>
    <t>bee_count_output/runs/selected/ANU-25-summer-16_20260318_090000_preview.mp4</t>
  </si>
  <si>
    <t>bee_count_output/runs/selected/ANU-25-summer-16_20260318_090000_frame_flux.csv</t>
  </si>
  <si>
    <t>bee_count_output/runs/selected/ANU-25-summer-16_20260318_090000_window_3sec.csv</t>
  </si>
  <si>
    <t>ANU-25-summer-16_20260318_100000.mp4</t>
  </si>
  <si>
    <t>videos/ANU-25-summer-16_20260318_100000.mp4</t>
  </si>
  <si>
    <t>bee_count_output/runs/selected/ANU-25-summer-16_20260318_100000_preview.mp4</t>
  </si>
  <si>
    <t>bee_count_output/runs/selected/ANU-25-summer-16_20260318_100000_frame_flux.csv</t>
  </si>
  <si>
    <t>bee_count_output/runs/selected/ANU-25-summer-16_20260318_100000_window_3sec.csv</t>
  </si>
  <si>
    <t>ANU-25-summer-16_20260318_110000.mp4</t>
  </si>
  <si>
    <t>videos/ANU-25-summer-16_20260318_110000.mp4</t>
  </si>
  <si>
    <t>bee_count_output/runs/selected/ANU-25-summer-16_20260318_110000_preview.mp4</t>
  </si>
  <si>
    <t>bee_count_output/runs/selected/ANU-25-summer-16_20260318_110000_frame_flux.csv</t>
  </si>
  <si>
    <t>bee_count_output/runs/selected/ANU-25-summer-16_20260318_110000_window_3sec.csv</t>
  </si>
  <si>
    <t>ANU-25-summer-16_20260318_120000.mp4</t>
  </si>
  <si>
    <t>videos/ANU-25-summer-16_20260318_120000.mp4</t>
  </si>
  <si>
    <t>bee_count_output/runs/selected/ANU-25-summer-16_20260318_120000_preview.mp4</t>
  </si>
  <si>
    <t>bee_count_output/runs/selected/ANU-25-summer-16_20260318_120000_frame_flux.csv</t>
  </si>
  <si>
    <t>bee_count_output/runs/selected/ANU-25-summer-16_20260318_120000_window_3sec.csv</t>
  </si>
  <si>
    <t>ANU-25-summer-16_20260318_130000.mp4</t>
  </si>
  <si>
    <t>videos/ANU-25-summer-16_20260318_130000.mp4</t>
  </si>
  <si>
    <t>bee_count_output/runs/selected/ANU-25-summer-16_20260318_130000_preview.mp4</t>
  </si>
  <si>
    <t>bee_count_output/runs/selected/ANU-25-summer-16_20260318_130000_frame_flux.csv</t>
  </si>
  <si>
    <t>bee_count_output/runs/selected/ANU-25-summer-16_20260318_130000_window_3sec.csv</t>
  </si>
  <si>
    <t>ANU-25-summer-16_20260318_140000.mp4</t>
  </si>
  <si>
    <t>videos/ANU-25-summer-16_20260318_140000.mp4</t>
  </si>
  <si>
    <t>bee_count_output/runs/selected/ANU-25-summer-16_20260318_140000_preview.mp4</t>
  </si>
  <si>
    <t>bee_count_output/runs/selected/ANU-25-summer-16_20260318_140000_frame_flux.csv</t>
  </si>
  <si>
    <t>bee_count_output/runs/selected/ANU-25-summer-16_20260318_140000_window_3sec.csv</t>
  </si>
  <si>
    <t>ANU-25-summer-16_20260318_150000.mp4</t>
  </si>
  <si>
    <t>videos/ANU-25-summer-16_20260318_150000.mp4</t>
  </si>
  <si>
    <t>bee_count_output/runs/selected/ANU-25-summer-16_20260318_150000_preview.mp4</t>
  </si>
  <si>
    <t>bee_count_output/runs/selected/ANU-25-summer-16_20260318_150000_frame_flux.csv</t>
  </si>
  <si>
    <t>bee_count_output/runs/selected/ANU-25-summer-16_20260318_150000_window_3sec.csv</t>
  </si>
  <si>
    <t>ANU-25-summer-16_20260318_160000.mp4</t>
  </si>
  <si>
    <t>videos/ANU-25-summer-16_20260318_160000.mp4</t>
  </si>
  <si>
    <t>bee_count_output/runs/selected/ANU-25-summer-16_20260318_160000_preview.mp4</t>
  </si>
  <si>
    <t>bee_count_output/runs/selected/ANU-25-summer-16_20260318_160000_frame_flux.csv</t>
  </si>
  <si>
    <t>bee_count_output/runs/selected/ANU-25-summer-16_20260318_160000_window_3sec.csv</t>
  </si>
  <si>
    <t>ANU-25-summer-16_20260318_170000.mp4</t>
  </si>
  <si>
    <t>videos/ANU-25-summer-16_20260318_170000.mp4</t>
  </si>
  <si>
    <t>bee_count_output/runs/selected/ANU-25-summer-16_20260318_170000_preview.mp4</t>
  </si>
  <si>
    <t>bee_count_output/runs/selected/ANU-25-summer-16_20260318_170000_frame_flux.csv</t>
  </si>
  <si>
    <t>bee_count_output/runs/selected/ANU-25-summer-16_20260318_170000_window_3sec.csv</t>
  </si>
  <si>
    <t>ANU-25-summer-16_20260318_180000.mp4</t>
  </si>
  <si>
    <t>videos/ANU-25-summer-16_20260318_180000.mp4</t>
  </si>
  <si>
    <t>bee_count_output/runs/selected/ANU-25-summer-16_20260318_180000_preview.mp4</t>
  </si>
  <si>
    <t>bee_count_output/runs/selected/ANU-25-summer-16_20260318_180000_frame_flux.csv</t>
  </si>
  <si>
    <t>bee_count_output/runs/selected/ANU-25-summer-16_20260318_180000_window_3sec.csv</t>
  </si>
  <si>
    <t>ANU-25-summer-16_20260318_190000.mp4</t>
  </si>
  <si>
    <t>videos/ANU-25-summer-16_20260318_190000.mp4</t>
  </si>
  <si>
    <t>bee_count_output/runs/selected/ANU-25-summer-16_20260318_190000_preview.mp4</t>
  </si>
  <si>
    <t>bee_count_output/runs/selected/ANU-25-summer-16_20260318_190000_frame_flux.csv</t>
  </si>
  <si>
    <t>bee_count_output/runs/selected/ANU-25-summer-16_20260318_190000_window_3sec.csv</t>
  </si>
  <si>
    <t>ANU-25-summer-16_20260319_060000.mp4</t>
  </si>
  <si>
    <t>videos/ANU-25-summer-16_20260319_060000.mp4</t>
  </si>
  <si>
    <t>bee_count_output/runs/selected/ANU-25-summer-16_20260319_060000_preview.mp4</t>
  </si>
  <si>
    <t>bee_count_output/runs/selected/ANU-25-summer-16_20260319_060000_frame_flux.csv</t>
  </si>
  <si>
    <t>bee_count_output/runs/selected/ANU-25-summer-16_20260319_060000_window_3sec.csv</t>
  </si>
  <si>
    <t>ANU-25-summer-16_20260319_070000.mp4</t>
  </si>
  <si>
    <t>videos/ANU-25-summer-16_20260319_070000.mp4</t>
  </si>
  <si>
    <t>bee_count_output/runs/selected/ANU-25-summer-16_20260319_070000_preview.mp4</t>
  </si>
  <si>
    <t>bee_count_output/runs/selected/ANU-25-summer-16_20260319_070000_frame_flux.csv</t>
  </si>
  <si>
    <t>bee_count_output/runs/selected/ANU-25-summer-16_20260319_070000_window_3sec.csv</t>
  </si>
  <si>
    <t>ANU-25-summer-16_20260319_080000.mp4</t>
  </si>
  <si>
    <t>videos/ANU-25-summer-16_20260319_080000.mp4</t>
  </si>
  <si>
    <t>bee_count_output/runs/selected/ANU-25-summer-16_20260319_080000_preview.mp4</t>
  </si>
  <si>
    <t>bee_count_output/runs/selected/ANU-25-summer-16_20260319_080000_frame_flux.csv</t>
  </si>
  <si>
    <t>bee_count_output/runs/selected/ANU-25-summer-16_20260319_080000_window_3sec.csv</t>
  </si>
  <si>
    <t>ANU-25-summer-16_20260319_090000.mp4</t>
  </si>
  <si>
    <t>videos/ANU-25-summer-16_20260319_090000.mp4</t>
  </si>
  <si>
    <t>bee_count_output/runs/selected/ANU-25-summer-16_20260319_090000_preview.mp4</t>
  </si>
  <si>
    <t>bee_count_output/runs/selected/ANU-25-summer-16_20260319_090000_frame_flux.csv</t>
  </si>
  <si>
    <t>bee_count_output/runs/selected/ANU-25-summer-16_20260319_090000_window_3sec.csv</t>
  </si>
  <si>
    <t>ANU-25-summer-16_20260319_100000.mp4</t>
  </si>
  <si>
    <t>videos/ANU-25-summer-16_20260319_100000.mp4</t>
  </si>
  <si>
    <t>bee_count_output/runs/selected/ANU-25-summer-16_20260319_100000_preview.mp4</t>
  </si>
  <si>
    <t>bee_count_output/runs/selected/ANU-25-summer-16_20260319_100000_frame_flux.csv</t>
  </si>
  <si>
    <t>bee_count_output/runs/selected/ANU-25-summer-16_20260319_100000_window_3sec.csv</t>
  </si>
  <si>
    <t>ANU-25-summer-16_20260319_110000.mp4</t>
  </si>
  <si>
    <t>videos/ANU-25-summer-16_20260319_110000.mp4</t>
  </si>
  <si>
    <t>bee_count_output/runs/selected/ANU-25-summer-16_20260319_110000_preview.mp4</t>
  </si>
  <si>
    <t>bee_count_output/runs/selected/ANU-25-summer-16_20260319_110000_frame_flux.csv</t>
  </si>
  <si>
    <t>bee_count_output/runs/selected/ANU-25-summer-16_20260319_110000_window_3sec.csv</t>
  </si>
  <si>
    <t>ANU-25-summer-16_20260319_120000.mp4</t>
  </si>
  <si>
    <t>videos/ANU-25-summer-16_20260319_120000.mp4</t>
  </si>
  <si>
    <t>bee_count_output/runs/selected/ANU-25-summer-16_20260319_120000_preview.mp4</t>
  </si>
  <si>
    <t>bee_count_output/runs/selected/ANU-25-summer-16_20260319_120000_frame_flux.csv</t>
  </si>
  <si>
    <t>bee_count_output/runs/selected/ANU-25-summer-16_20260319_120000_window_3sec.csv</t>
  </si>
  <si>
    <t>ANU-25-summer-16_20260319_130000.mp4</t>
  </si>
  <si>
    <t>videos/ANU-25-summer-16_20260319_130000.mp4</t>
  </si>
  <si>
    <t>bee_count_output/runs/selected/ANU-25-summer-16_20260319_130000_preview.mp4</t>
  </si>
  <si>
    <t>bee_count_output/runs/selected/ANU-25-summer-16_20260319_130000_frame_flux.csv</t>
  </si>
  <si>
    <t>bee_count_output/runs/selected/ANU-25-summer-16_20260319_130000_window_3sec.csv</t>
  </si>
  <si>
    <t>ANU-25-summer-16_20260319_140000.mp4</t>
  </si>
  <si>
    <t>videos/ANU-25-summer-16_20260319_140000.mp4</t>
  </si>
  <si>
    <t>bee_count_output/runs/selected/ANU-25-summer-16_20260319_140000_preview.mp4</t>
  </si>
  <si>
    <t>bee_count_output/runs/selected/ANU-25-summer-16_20260319_140000_frame_flux.csv</t>
  </si>
  <si>
    <t>bee_count_output/runs/selected/ANU-25-summer-16_20260319_140000_window_3sec.csv</t>
  </si>
  <si>
    <t>ANU-25-summer-16_20260319_150000.mp4</t>
  </si>
  <si>
    <t>videos/ANU-25-summer-16_20260319_150000.mp4</t>
  </si>
  <si>
    <t>bee_count_output/runs/selected/ANU-25-summer-16_20260319_150000_preview.mp4</t>
  </si>
  <si>
    <t>bee_count_output/runs/selected/ANU-25-summer-16_20260319_150000_frame_flux.csv</t>
  </si>
  <si>
    <t>bee_count_output/runs/selected/ANU-25-summer-16_20260319_150000_window_3sec.csv</t>
  </si>
  <si>
    <t>ANU-25-summer-16_20260319_160000.mp4</t>
  </si>
  <si>
    <t>videos/ANU-25-summer-16_20260319_160000.mp4</t>
  </si>
  <si>
    <t>bee_count_output/runs/selected/ANU-25-summer-16_20260319_160000_preview.mp4</t>
  </si>
  <si>
    <t>bee_count_output/runs/selected/ANU-25-summer-16_20260319_160000_frame_flux.csv</t>
  </si>
  <si>
    <t>bee_count_output/runs/selected/ANU-25-summer-16_20260319_160000_window_3sec.csv</t>
  </si>
  <si>
    <t>ANU-25-summer-16_20260319_170000.mp4</t>
  </si>
  <si>
    <t>videos/ANU-25-summer-16_20260319_170000.mp4</t>
  </si>
  <si>
    <t>bee_count_output/runs/selected/ANU-25-summer-16_20260319_170000_preview.mp4</t>
  </si>
  <si>
    <t>bee_count_output/runs/selected/ANU-25-summer-16_20260319_170000_frame_flux.csv</t>
  </si>
  <si>
    <t>bee_count_output/runs/selected/ANU-25-summer-16_20260319_170000_window_3sec.csv</t>
  </si>
  <si>
    <t>ANU-25-summer-16_20260319_180000.mp4</t>
  </si>
  <si>
    <t>videos/ANU-25-summer-16_20260319_180000.mp4</t>
  </si>
  <si>
    <t>bee_count_output/runs/selected/ANU-25-summer-16_20260319_180000_preview.mp4</t>
  </si>
  <si>
    <t>bee_count_output/runs/selected/ANU-25-summer-16_20260319_180000_frame_flux.csv</t>
  </si>
  <si>
    <t>bee_count_output/runs/selected/ANU-25-summer-16_20260319_180000_window_3sec.csv</t>
  </si>
  <si>
    <t>ANU-25-summer-16_20260319_190000.mp4</t>
  </si>
  <si>
    <t>videos/ANU-25-summer-16_20260319_190000.mp4</t>
  </si>
  <si>
    <t>bee_count_output/runs/selected/ANU-25-summer-16_20260319_190000_preview.mp4</t>
  </si>
  <si>
    <t>bee_count_output/runs/selected/ANU-25-summer-16_20260319_190000_frame_flux.csv</t>
  </si>
  <si>
    <t>bee_count_output/runs/selected/ANU-25-summer-16_20260319_190000_window_3sec.csv</t>
  </si>
  <si>
    <t>ANU-25-summer-16_20260320_060000.mp4</t>
  </si>
  <si>
    <t>videos/ANU-25-summer-16_20260320_060000.mp4</t>
  </si>
  <si>
    <t>bee_count_output/runs/selected/ANU-25-summer-16_20260320_060000_preview.mp4</t>
  </si>
  <si>
    <t>bee_count_output/runs/selected/ANU-25-summer-16_20260320_060000_frame_flux.csv</t>
  </si>
  <si>
    <t>bee_count_output/runs/selected/ANU-25-summer-16_20260320_060000_window_3sec.csv</t>
  </si>
  <si>
    <t>ANU-25-summer-16_20260320_070000.mp4</t>
  </si>
  <si>
    <t>videos/ANU-25-summer-16_20260320_070000.mp4</t>
  </si>
  <si>
    <t>bee_count_output/runs/selected/ANU-25-summer-16_20260320_070000_preview.mp4</t>
  </si>
  <si>
    <t>bee_count_output/runs/selected/ANU-25-summer-16_20260320_070000_frame_flux.csv</t>
  </si>
  <si>
    <t>bee_count_output/runs/selected/ANU-25-summer-16_20260320_070000_window_3sec.csv</t>
  </si>
  <si>
    <t>ANU-25-summer-16_20260320_080000.mp4</t>
  </si>
  <si>
    <t>videos/ANU-25-summer-16_20260320_080000.mp4</t>
  </si>
  <si>
    <t>bee_count_output/runs/selected/ANU-25-summer-16_20260320_080000_preview.mp4</t>
  </si>
  <si>
    <t>bee_count_output/runs/selected/ANU-25-summer-16_20260320_080000_frame_flux.csv</t>
  </si>
  <si>
    <t>bee_count_output/runs/selected/ANU-25-summer-16_20260320_080000_window_3sec.csv</t>
  </si>
  <si>
    <t>ANU-25-summer-16_20260320_090000.mp4</t>
  </si>
  <si>
    <t>videos/ANU-25-summer-16_20260320_090000.mp4</t>
  </si>
  <si>
    <t>bee_count_output/runs/selected/ANU-25-summer-16_20260320_090000_preview.mp4</t>
  </si>
  <si>
    <t>bee_count_output/runs/selected/ANU-25-summer-16_20260320_090000_frame_flux.csv</t>
  </si>
  <si>
    <t>bee_count_output/runs/selected/ANU-25-summer-16_20260320_090000_window_3sec.csv</t>
  </si>
  <si>
    <t>ANU-25-summer-16_20260320_100000.mp4</t>
  </si>
  <si>
    <t>videos/ANU-25-summer-16_20260320_100000.mp4</t>
  </si>
  <si>
    <t>bee_count_output/runs/selected/ANU-25-summer-16_20260320_100000_preview.mp4</t>
  </si>
  <si>
    <t>bee_count_output/runs/selected/ANU-25-summer-16_20260320_100000_frame_flux.csv</t>
  </si>
  <si>
    <t>bee_count_output/runs/selected/ANU-25-summer-16_20260320_100000_window_3sec.csv</t>
  </si>
  <si>
    <t>ANU-25-summer-16_20260320_110000.mp4</t>
  </si>
  <si>
    <t>videos/ANU-25-summer-16_20260320_110000.mp4</t>
  </si>
  <si>
    <t>bee_count_output/runs/selected/ANU-25-summer-16_20260320_110000_preview.mp4</t>
  </si>
  <si>
    <t>bee_count_output/runs/selected/ANU-25-summer-16_20260320_110000_frame_flux.csv</t>
  </si>
  <si>
    <t>bee_count_output/runs/selected/ANU-25-summer-16_20260320_110000_window_3sec.csv</t>
  </si>
  <si>
    <t>ANU-25-summer-16_20260320_120000.mp4</t>
  </si>
  <si>
    <t>videos/ANU-25-summer-16_20260320_120000.mp4</t>
  </si>
  <si>
    <t>bee_count_output/runs/selected/ANU-25-summer-16_20260320_120000_preview.mp4</t>
  </si>
  <si>
    <t>bee_count_output/runs/selected/ANU-25-summer-16_20260320_120000_frame_flux.csv</t>
  </si>
  <si>
    <t>bee_count_output/runs/selected/ANU-25-summer-16_20260320_120000_window_3sec.csv</t>
  </si>
  <si>
    <t>ANU-25-summer-16_20260320_130000.mp4</t>
  </si>
  <si>
    <t>videos/ANU-25-summer-16_20260320_130000.mp4</t>
  </si>
  <si>
    <t>bee_count_output/runs/selected/ANU-25-summer-16_20260320_130000_preview.mp4</t>
  </si>
  <si>
    <t>bee_count_output/runs/selected/ANU-25-summer-16_20260320_130000_frame_flux.csv</t>
  </si>
  <si>
    <t>bee_count_output/runs/selected/ANU-25-summer-16_20260320_130000_window_3sec.csv</t>
  </si>
  <si>
    <t>ANU-25-summer-16_20260320_140000.mp4</t>
  </si>
  <si>
    <t>videos/ANU-25-summer-16_20260320_140000.mp4</t>
  </si>
  <si>
    <t>bee_count_output/runs/selected/ANU-25-summer-16_20260320_140000_preview.mp4</t>
  </si>
  <si>
    <t>bee_count_output/runs/selected/ANU-25-summer-16_20260320_140000_frame_flux.csv</t>
  </si>
  <si>
    <t>bee_count_output/runs/selected/ANU-25-summer-16_20260320_140000_window_3sec.csv</t>
  </si>
  <si>
    <t>ANU-25-summer-16_20260320_150000.mp4</t>
  </si>
  <si>
    <t>videos/ANU-25-summer-16_20260320_150000.mp4</t>
  </si>
  <si>
    <t>bee_count_output/runs/selected/ANU-25-summer-16_20260320_150000_preview.mp4</t>
  </si>
  <si>
    <t>bee_count_output/runs/selected/ANU-25-summer-16_20260320_150000_frame_flux.csv</t>
  </si>
  <si>
    <t>bee_count_output/runs/selected/ANU-25-summer-16_20260320_150000_window_3sec.csv</t>
  </si>
  <si>
    <t>ANU-25-summer-16_20260320_160000.mp4</t>
  </si>
  <si>
    <t>videos/ANU-25-summer-16_20260320_160000.mp4</t>
  </si>
  <si>
    <t>bee_count_output/runs/selected/ANU-25-summer-16_20260320_160000_preview.mp4</t>
  </si>
  <si>
    <t>bee_count_output/runs/selected/ANU-25-summer-16_20260320_160000_frame_flux.csv</t>
  </si>
  <si>
    <t>bee_count_output/runs/selected/ANU-25-summer-16_20260320_160000_window_3sec.csv</t>
  </si>
  <si>
    <t>ANU-25-summer-16_20260320_170000.mp4</t>
  </si>
  <si>
    <t>videos/ANU-25-summer-16_20260320_170000.mp4</t>
  </si>
  <si>
    <t>bee_count_output/runs/selected/ANU-25-summer-16_20260320_170000_preview.mp4</t>
  </si>
  <si>
    <t>bee_count_output/runs/selected/ANU-25-summer-16_20260320_170000_frame_flux.csv</t>
  </si>
  <si>
    <t>bee_count_output/runs/selected/ANU-25-summer-16_20260320_170000_window_3sec.csv</t>
  </si>
  <si>
    <t>ANU-25-summer-16_20260320_180000.mp4</t>
  </si>
  <si>
    <t>videos/ANU-25-summer-16_20260320_180000.mp4</t>
  </si>
  <si>
    <t>bee_count_output/runs/selected/ANU-25-summer-16_20260320_180000_preview.mp4</t>
  </si>
  <si>
    <t>bee_count_output/runs/selected/ANU-25-summer-16_20260320_180000_frame_flux.csv</t>
  </si>
  <si>
    <t>bee_count_output/runs/selected/ANU-25-summer-16_20260320_180000_window_3sec.csv</t>
  </si>
  <si>
    <t>ANU-25-summer-16_20260320_190000.mp4</t>
  </si>
  <si>
    <t>videos/ANU-25-summer-16_20260320_190000.mp4</t>
  </si>
  <si>
    <t>bee_count_output/runs/selected/ANU-25-summer-16_20260320_190000_preview.mp4</t>
  </si>
  <si>
    <t>bee_count_output/runs/selected/ANU-25-summer-16_20260320_190000_frame_flux.csv</t>
  </si>
  <si>
    <t>bee_count_output/runs/selected/ANU-25-summer-16_20260320_190000_window_3sec.csv</t>
  </si>
  <si>
    <t>ANU-25-summer-16_20260321_060000.mp4</t>
  </si>
  <si>
    <t>videos/ANU-25-summer-16_20260321_060000.mp4</t>
  </si>
  <si>
    <t>bee_count_output/runs/selected/ANU-25-summer-16_20260321_060000_preview.mp4</t>
  </si>
  <si>
    <t>bee_count_output/runs/selected/ANU-25-summer-16_20260321_060000_frame_flux.csv</t>
  </si>
  <si>
    <t>bee_count_output/runs/selected/ANU-25-summer-16_20260321_060000_window_3sec.csv</t>
  </si>
  <si>
    <t>ANU-25-summer-16_20260321_070000.mp4</t>
  </si>
  <si>
    <t>videos/ANU-25-summer-16_20260321_070000.mp4</t>
  </si>
  <si>
    <t>bee_count_output/runs/selected/ANU-25-summer-16_20260321_070000_preview.mp4</t>
  </si>
  <si>
    <t>bee_count_output/runs/selected/ANU-25-summer-16_20260321_070000_frame_flux.csv</t>
  </si>
  <si>
    <t>bee_count_output/runs/selected/ANU-25-summer-16_20260321_070000_window_3sec.csv</t>
  </si>
  <si>
    <t>ANU-25-summer-16_20260321_080000.mp4</t>
  </si>
  <si>
    <t>videos/ANU-25-summer-16_20260321_080000.mp4</t>
  </si>
  <si>
    <t>bee_count_output/runs/selected/ANU-25-summer-16_20260321_080000_preview.mp4</t>
  </si>
  <si>
    <t>bee_count_output/runs/selected/ANU-25-summer-16_20260321_080000_frame_flux.csv</t>
  </si>
  <si>
    <t>bee_count_output/runs/selected/ANU-25-summer-16_20260321_080000_window_3sec.csv</t>
  </si>
  <si>
    <t>ANU-25-summer-16_20260321_090000.mp4</t>
  </si>
  <si>
    <t>videos/ANU-25-summer-16_20260321_090000.mp4</t>
  </si>
  <si>
    <t>bee_count_output/runs/selected/ANU-25-summer-16_20260321_090000_preview.mp4</t>
  </si>
  <si>
    <t>bee_count_output/runs/selected/ANU-25-summer-16_20260321_090000_frame_flux.csv</t>
  </si>
  <si>
    <t>bee_count_output/runs/selected/ANU-25-summer-16_20260321_090000_window_3sec.csv</t>
  </si>
  <si>
    <t>ANU-25-summer-16_20260321_100000.mp4</t>
  </si>
  <si>
    <t>videos/ANU-25-summer-16_20260321_100000.mp4</t>
  </si>
  <si>
    <t>bee_count_output/runs/selected/ANU-25-summer-16_20260321_100000_preview.mp4</t>
  </si>
  <si>
    <t>bee_count_output/runs/selected/ANU-25-summer-16_20260321_100000_frame_flux.csv</t>
  </si>
  <si>
    <t>bee_count_output/runs/selected/ANU-25-summer-16_20260321_100000_window_3sec.csv</t>
  </si>
  <si>
    <t>ANU-25-summer-16_20260321_110000.mp4</t>
  </si>
  <si>
    <t>videos/ANU-25-summer-16_20260321_110000.mp4</t>
  </si>
  <si>
    <t>bee_count_output/runs/selected/ANU-25-summer-16_20260321_110000_preview.mp4</t>
  </si>
  <si>
    <t>bee_count_output/runs/selected/ANU-25-summer-16_20260321_110000_frame_flux.csv</t>
  </si>
  <si>
    <t>bee_count_output/runs/selected/ANU-25-summer-16_20260321_110000_window_3sec.csv</t>
  </si>
  <si>
    <t>ANU-25-summer-16_20260321_120000.mp4</t>
  </si>
  <si>
    <t>videos/ANU-25-summer-16_20260321_120000.mp4</t>
  </si>
  <si>
    <t>bee_count_output/runs/selected/ANU-25-summer-16_20260321_120000_preview.mp4</t>
  </si>
  <si>
    <t>bee_count_output/runs/selected/ANU-25-summer-16_20260321_120000_frame_flux.csv</t>
  </si>
  <si>
    <t>bee_count_output/runs/selected/ANU-25-summer-16_20260321_120000_window_3sec.csv</t>
  </si>
  <si>
    <t>ANU-25-summer-16_20260321_130000.mp4</t>
  </si>
  <si>
    <t>videos/ANU-25-summer-16_20260321_130000.mp4</t>
  </si>
  <si>
    <t>bee_count_output/runs/selected/ANU-25-summer-16_20260321_130000_preview.mp4</t>
  </si>
  <si>
    <t>bee_count_output/runs/selected/ANU-25-summer-16_20260321_130000_frame_flux.csv</t>
  </si>
  <si>
    <t>bee_count_output/runs/selected/ANU-25-summer-16_20260321_130000_window_3sec.csv</t>
  </si>
  <si>
    <t>ANU-25-summer-16_20260321_140000.mp4</t>
  </si>
  <si>
    <t>videos/ANU-25-summer-16_20260321_140000.mp4</t>
  </si>
  <si>
    <t>bee_count_output/runs/selected/ANU-25-summer-16_20260321_140000_preview.mp4</t>
  </si>
  <si>
    <t>bee_count_output/runs/selected/ANU-25-summer-16_20260321_140000_frame_flux.csv</t>
  </si>
  <si>
    <t>bee_count_output/runs/selected/ANU-25-summer-16_20260321_140000_window_3sec.csv</t>
  </si>
  <si>
    <t>ANU-25-summer-16_20260321_150000.mp4</t>
  </si>
  <si>
    <t>videos/ANU-25-summer-16_20260321_150000.mp4</t>
  </si>
  <si>
    <t>bee_count_output/runs/selected/ANU-25-summer-16_20260321_150000_preview.mp4</t>
  </si>
  <si>
    <t>bee_count_output/runs/selected/ANU-25-summer-16_20260321_150000_frame_flux.csv</t>
  </si>
  <si>
    <t>bee_count_output/runs/selected/ANU-25-summer-16_20260321_150000_window_3sec.csv</t>
  </si>
  <si>
    <t>ANU-25-summer-16_20260321_160000.mp4</t>
  </si>
  <si>
    <t>videos/ANU-25-summer-16_20260321_160000.mp4</t>
  </si>
  <si>
    <t>bee_count_output/runs/selected/ANU-25-summer-16_20260321_160000_preview.mp4</t>
  </si>
  <si>
    <t>bee_count_output/runs/selected/ANU-25-summer-16_20260321_160000_frame_flux.csv</t>
  </si>
  <si>
    <t>bee_count_output/runs/selected/ANU-25-summer-16_20260321_160000_window_3sec.csv</t>
  </si>
  <si>
    <t>ANU-25-summer-16_20260321_170000.mp4</t>
  </si>
  <si>
    <t>videos/ANU-25-summer-16_20260321_170000.mp4</t>
  </si>
  <si>
    <t>bee_count_output/runs/selected/ANU-25-summer-16_20260321_170000_preview.mp4</t>
  </si>
  <si>
    <t>bee_count_output/runs/selected/ANU-25-summer-16_20260321_170000_frame_flux.csv</t>
  </si>
  <si>
    <t>bee_count_output/runs/selected/ANU-25-summer-16_20260321_170000_window_3sec.csv</t>
  </si>
  <si>
    <t>ANU-25-summer-16_20260321_180000.mp4</t>
  </si>
  <si>
    <t>videos/ANU-25-summer-16_20260321_180000.mp4</t>
  </si>
  <si>
    <t>bee_count_output/runs/selected/ANU-25-summer-16_20260321_180000_preview.mp4</t>
  </si>
  <si>
    <t>bee_count_output/runs/selected/ANU-25-summer-16_20260321_180000_frame_flux.csv</t>
  </si>
  <si>
    <t>bee_count_output/runs/selected/ANU-25-summer-16_20260321_180000_window_3sec.csv</t>
  </si>
  <si>
    <t>ANU-25-summer-16_20260321_190000.mp4</t>
  </si>
  <si>
    <t>videos/ANU-25-summer-16_20260321_190000.mp4</t>
  </si>
  <si>
    <t>bee_count_output/runs/selected/ANU-25-summer-16_20260321_190000_preview.mp4</t>
  </si>
  <si>
    <t>bee_count_output/runs/selected/ANU-25-summer-16_20260321_190000_frame_flux.csv</t>
  </si>
  <si>
    <t>bee_count_output/runs/selected/ANU-25-summer-16_20260321_190000_window_3sec.csv</t>
  </si>
  <si>
    <t>ANU-25-summer-16_20260322_060000.mp4</t>
  </si>
  <si>
    <t>videos/ANU-25-summer-16_20260322_060000.mp4</t>
  </si>
  <si>
    <t>bee_count_output/runs/selected/ANU-25-summer-16_20260322_060000_preview.mp4</t>
  </si>
  <si>
    <t>bee_count_output/runs/selected/ANU-25-summer-16_20260322_060000_frame_flux.csv</t>
  </si>
  <si>
    <t>bee_count_output/runs/selected/ANU-25-summer-16_20260322_060000_window_3sec.csv</t>
  </si>
  <si>
    <t>ANU-25-summer-16_20260322_070000.mp4</t>
  </si>
  <si>
    <t>videos/ANU-25-summer-16_20260322_070000.mp4</t>
  </si>
  <si>
    <t>bee_count_output/runs/selected/ANU-25-summer-16_20260322_070000_preview.mp4</t>
  </si>
  <si>
    <t>bee_count_output/runs/selected/ANU-25-summer-16_20260322_070000_frame_flux.csv</t>
  </si>
  <si>
    <t>bee_count_output/runs/selected/ANU-25-summer-16_20260322_070000_window_3sec.csv</t>
  </si>
  <si>
    <t>ANU-25-summer-16_20260322_080000.mp4</t>
  </si>
  <si>
    <t>videos/ANU-25-summer-16_20260322_080000.mp4</t>
  </si>
  <si>
    <t>bee_count_output/runs/selected/ANU-25-summer-16_20260322_080000_preview.mp4</t>
  </si>
  <si>
    <t>bee_count_output/runs/selected/ANU-25-summer-16_20260322_080000_frame_flux.csv</t>
  </si>
  <si>
    <t>bee_count_output/runs/selected/ANU-25-summer-16_20260322_080000_window_3sec.csv</t>
  </si>
  <si>
    <t>ANU-25-summer-16_20260322_090000.mp4</t>
  </si>
  <si>
    <t>videos/ANU-25-summer-16_20260322_090000.mp4</t>
  </si>
  <si>
    <t>bee_count_output/runs/selected/ANU-25-summer-16_20260322_090000_preview.mp4</t>
  </si>
  <si>
    <t>bee_count_output/runs/selected/ANU-25-summer-16_20260322_090000_frame_flux.csv</t>
  </si>
  <si>
    <t>bee_count_output/runs/selected/ANU-25-summer-16_20260322_090000_window_3sec.csv</t>
  </si>
  <si>
    <t>ANU-25-summer-16_20260322_100000.mp4</t>
  </si>
  <si>
    <t>videos/ANU-25-summer-16_20260322_100000.mp4</t>
  </si>
  <si>
    <t>bee_count_output/runs/selected/ANU-25-summer-16_20260322_100000_preview.mp4</t>
  </si>
  <si>
    <t>bee_count_output/runs/selected/ANU-25-summer-16_20260322_100000_frame_flux.csv</t>
  </si>
  <si>
    <t>bee_count_output/runs/selected/ANU-25-summer-16_20260322_100000_window_3sec.csv</t>
  </si>
  <si>
    <t>ANU-25-summer-16_20260322_110000.mp4</t>
  </si>
  <si>
    <t>videos/ANU-25-summer-16_20260322_110000.mp4</t>
  </si>
  <si>
    <t>bee_count_output/runs/selected/ANU-25-summer-16_20260322_110000_preview.mp4</t>
  </si>
  <si>
    <t>bee_count_output/runs/selected/ANU-25-summer-16_20260322_110000_frame_flux.csv</t>
  </si>
  <si>
    <t>bee_count_output/runs/selected/ANU-25-summer-16_20260322_110000_window_3sec.csv</t>
  </si>
  <si>
    <t>ANU-25-summer-16_20260322_120000.mp4</t>
  </si>
  <si>
    <t>videos/ANU-25-summer-16_20260322_120000.mp4</t>
  </si>
  <si>
    <t>bee_count_output/runs/selected/ANU-25-summer-16_20260322_120000_preview.mp4</t>
  </si>
  <si>
    <t>bee_count_output/runs/selected/ANU-25-summer-16_20260322_120000_frame_flux.csv</t>
  </si>
  <si>
    <t>bee_count_output/runs/selected/ANU-25-summer-16_20260322_120000_window_3sec.csv</t>
  </si>
  <si>
    <t>ANU-25-summer-16_20260322_130000.mp4</t>
  </si>
  <si>
    <t>videos/ANU-25-summer-16_20260322_130000.mp4</t>
  </si>
  <si>
    <t>bee_count_output/runs/selected/ANU-25-summer-16_20260322_130000_preview.mp4</t>
  </si>
  <si>
    <t>bee_count_output/runs/selected/ANU-25-summer-16_20260322_130000_frame_flux.csv</t>
  </si>
  <si>
    <t>bee_count_output/runs/selected/ANU-25-summer-16_20260322_130000_window_3sec.csv</t>
  </si>
  <si>
    <t>ANU-25-summer-16_20260322_140000.mp4</t>
  </si>
  <si>
    <t>videos/ANU-25-summer-16_20260322_140000.mp4</t>
  </si>
  <si>
    <t>bee_count_output/runs/selected/ANU-25-summer-16_20260322_140000_preview.mp4</t>
  </si>
  <si>
    <t>bee_count_output/runs/selected/ANU-25-summer-16_20260322_140000_frame_flux.csv</t>
  </si>
  <si>
    <t>bee_count_output/runs/selected/ANU-25-summer-16_20260322_140000_window_3sec.csv</t>
  </si>
  <si>
    <t>ANU-25-summer-16_20260322_150000.mp4</t>
  </si>
  <si>
    <t>videos/ANU-25-summer-16_20260322_150000.mp4</t>
  </si>
  <si>
    <t>bee_count_output/runs/selected/ANU-25-summer-16_20260322_150000_preview.mp4</t>
  </si>
  <si>
    <t>bee_count_output/runs/selected/ANU-25-summer-16_20260322_150000_frame_flux.csv</t>
  </si>
  <si>
    <t>bee_count_output/runs/selected/ANU-25-summer-16_20260322_150000_window_3sec.csv</t>
  </si>
  <si>
    <t>ANU-25-summer-16_20260322_160000.mp4</t>
  </si>
  <si>
    <t>videos/ANU-25-summer-16_20260322_160000.mp4</t>
  </si>
  <si>
    <t>bee_count_output/runs/selected/ANU-25-summer-16_20260322_160000_preview.mp4</t>
  </si>
  <si>
    <t>bee_count_output/runs/selected/ANU-25-summer-16_20260322_160000_frame_flux.csv</t>
  </si>
  <si>
    <t>bee_count_output/runs/selected/ANU-25-summer-16_20260322_160000_window_3sec.csv</t>
  </si>
  <si>
    <t>ANU-25-summer-16_20260322_170000.mp4</t>
  </si>
  <si>
    <t>videos/ANU-25-summer-16_20260322_170000.mp4</t>
  </si>
  <si>
    <t>bee_count_output/runs/selected/ANU-25-summer-16_20260322_170000_preview.mp4</t>
  </si>
  <si>
    <t>bee_count_output/runs/selected/ANU-25-summer-16_20260322_170000_frame_flux.csv</t>
  </si>
  <si>
    <t>bee_count_output/runs/selected/ANU-25-summer-16_20260322_170000_window_3sec.csv</t>
  </si>
  <si>
    <t>ANU-25-summer-16_20260322_180000.mp4</t>
  </si>
  <si>
    <t>videos/ANU-25-summer-16_20260322_180000.mp4</t>
  </si>
  <si>
    <t>bee_count_output/runs/selected/ANU-25-summer-16_20260322_180000_preview.mp4</t>
  </si>
  <si>
    <t>bee_count_output/runs/selected/ANU-25-summer-16_20260322_180000_frame_flux.csv</t>
  </si>
  <si>
    <t>bee_count_output/runs/selected/ANU-25-summer-16_20260322_180000_window_3sec.csv</t>
  </si>
  <si>
    <t>ANU-25-summer-16_20260322_190000.mp4</t>
  </si>
  <si>
    <t>videos/ANU-25-summer-16_20260322_190000.mp4</t>
  </si>
  <si>
    <t>bee_count_output/runs/selected/ANU-25-summer-16_20260322_190000_preview.mp4</t>
  </si>
  <si>
    <t>bee_count_output/runs/selected/ANU-25-summer-16_20260322_190000_frame_flux.csv</t>
  </si>
  <si>
    <t>bee_count_output/runs/selected/ANU-25-summer-16_20260322_190000_window_3sec.csv</t>
  </si>
  <si>
    <t>ANU-25-summer-16_20260323_060000.mp4</t>
  </si>
  <si>
    <t>videos/ANU-25-summer-16_20260323_060000.mp4</t>
  </si>
  <si>
    <t>bee_count_output/runs/selected/ANU-25-summer-16_20260323_060000_preview.mp4</t>
  </si>
  <si>
    <t>bee_count_output/runs/selected/ANU-25-summer-16_20260323_060000_frame_flux.csv</t>
  </si>
  <si>
    <t>bee_count_output/runs/selected/ANU-25-summer-16_20260323_060000_window_3sec.csv</t>
  </si>
  <si>
    <t>ANU-25-summer-16_20260323_070000.mp4</t>
  </si>
  <si>
    <t>videos/ANU-25-summer-16_20260323_070000.mp4</t>
  </si>
  <si>
    <t>bee_count_output/runs/selected/ANU-25-summer-16_20260323_070000_preview.mp4</t>
  </si>
  <si>
    <t>bee_count_output/runs/selected/ANU-25-summer-16_20260323_070000_frame_flux.csv</t>
  </si>
  <si>
    <t>bee_count_output/runs/selected/ANU-25-summer-16_20260323_070000_window_3sec.csv</t>
  </si>
  <si>
    <t>ANU-25-summer-16_20260323_080000.mp4</t>
  </si>
  <si>
    <t>videos/ANU-25-summer-16_20260323_080000.mp4</t>
  </si>
  <si>
    <t>bee_count_output/runs/selected/ANU-25-summer-16_20260323_080000_preview.mp4</t>
  </si>
  <si>
    <t>bee_count_output/runs/selected/ANU-25-summer-16_20260323_080000_frame_flux.csv</t>
  </si>
  <si>
    <t>bee_count_output/runs/selected/ANU-25-summer-16_20260323_080000_window_3sec.csv</t>
  </si>
  <si>
    <t>ANU-25-summer-16_20260323_090000.mp4</t>
  </si>
  <si>
    <t>videos/ANU-25-summer-16_20260323_090000.mp4</t>
  </si>
  <si>
    <t>bee_count_output/runs/selected/ANU-25-summer-16_20260323_090000_preview.mp4</t>
  </si>
  <si>
    <t>bee_count_output/runs/selected/ANU-25-summer-16_20260323_090000_frame_flux.csv</t>
  </si>
  <si>
    <t>bee_count_output/runs/selected/ANU-25-summer-16_20260323_090000_window_3sec.csv</t>
  </si>
  <si>
    <t>ANU-25-summer-16_20260323_100000.mp4</t>
  </si>
  <si>
    <t>videos/ANU-25-summer-16_20260323_100000.mp4</t>
  </si>
  <si>
    <t>bee_count_output/runs/selected/ANU-25-summer-16_20260323_100000_preview.mp4</t>
  </si>
  <si>
    <t>bee_count_output/runs/selected/ANU-25-summer-16_20260323_100000_frame_flux.csv</t>
  </si>
  <si>
    <t>bee_count_output/runs/selected/ANU-25-summer-16_20260323_100000_window_3sec.csv</t>
  </si>
  <si>
    <t>ANU-25-summer-16_20260323_110000.mp4</t>
  </si>
  <si>
    <t>videos/ANU-25-summer-16_20260323_110000.mp4</t>
  </si>
  <si>
    <t>bee_count_output/runs/selected/ANU-25-summer-16_20260323_110000_preview.mp4</t>
  </si>
  <si>
    <t>bee_count_output/runs/selected/ANU-25-summer-16_20260323_110000_frame_flux.csv</t>
  </si>
  <si>
    <t>bee_count_output/runs/selected/ANU-25-summer-16_20260323_110000_window_3sec.csv</t>
  </si>
  <si>
    <t>ANU-25-summer-16_20260323_120000.mp4</t>
  </si>
  <si>
    <t>videos/ANU-25-summer-16_20260323_120000.mp4</t>
  </si>
  <si>
    <t>bee_count_output/runs/selected/ANU-25-summer-16_20260323_120000_preview.mp4</t>
  </si>
  <si>
    <t>bee_count_output/runs/selected/ANU-25-summer-16_20260323_120000_frame_flux.csv</t>
  </si>
  <si>
    <t>bee_count_output/runs/selected/ANU-25-summer-16_20260323_120000_window_3sec.csv</t>
  </si>
  <si>
    <t>ANU-25-summer-16_20260323_130000.mp4</t>
  </si>
  <si>
    <t>videos/ANU-25-summer-16_20260323_130000.mp4</t>
  </si>
  <si>
    <t>bee_count_output/runs/selected/ANU-25-summer-16_20260323_130000_preview.mp4</t>
  </si>
  <si>
    <t>bee_count_output/runs/selected/ANU-25-summer-16_20260323_130000_frame_flux.csv</t>
  </si>
  <si>
    <t>bee_count_output/runs/selected/ANU-25-summer-16_20260323_130000_window_3sec.csv</t>
  </si>
  <si>
    <t>ANU-25-summer-16_20260323_140000.mp4</t>
  </si>
  <si>
    <t>videos/ANU-25-summer-16_20260323_140000.mp4</t>
  </si>
  <si>
    <t>bee_count_output/runs/selected/ANU-25-summer-16_20260323_140000_preview.mp4</t>
  </si>
  <si>
    <t>bee_count_output/runs/selected/ANU-25-summer-16_20260323_140000_frame_flux.csv</t>
  </si>
  <si>
    <t>bee_count_output/runs/selected/ANU-25-summer-16_20260323_140000_window_3sec.csv</t>
  </si>
  <si>
    <t>ANU-25-summer-16_20260323_150000.mp4</t>
  </si>
  <si>
    <t>videos/ANU-25-summer-16_20260323_150000.mp4</t>
  </si>
  <si>
    <t>bee_count_output/runs/selected/ANU-25-summer-16_20260323_150000_preview.mp4</t>
  </si>
  <si>
    <t>bee_count_output/runs/selected/ANU-25-summer-16_20260323_150000_frame_flux.csv</t>
  </si>
  <si>
    <t>bee_count_output/runs/selected/ANU-25-summer-16_20260323_150000_window_3sec.csv</t>
  </si>
  <si>
    <t>ANU-25-summer-16_20260323_160000.mp4</t>
  </si>
  <si>
    <t>videos/ANU-25-summer-16_20260323_160000.mp4</t>
  </si>
  <si>
    <t>bee_count_output/runs/selected/ANU-25-summer-16_20260323_160000_preview.mp4</t>
  </si>
  <si>
    <t>bee_count_output/runs/selected/ANU-25-summer-16_20260323_160000_frame_flux.csv</t>
  </si>
  <si>
    <t>bee_count_output/runs/selected/ANU-25-summer-16_20260323_160000_window_3sec.csv</t>
  </si>
  <si>
    <t>ANU-25-summer-16_20260323_170000.mp4</t>
  </si>
  <si>
    <t>videos/ANU-25-summer-16_20260323_170000.mp4</t>
  </si>
  <si>
    <t>bee_count_output/runs/selected/ANU-25-summer-16_20260323_170000_preview.mp4</t>
  </si>
  <si>
    <t>bee_count_output/runs/selected/ANU-25-summer-16_20260323_170000_frame_flux.csv</t>
  </si>
  <si>
    <t>bee_count_output/runs/selected/ANU-25-summer-16_20260323_170000_window_3sec.csv</t>
  </si>
  <si>
    <t>ANU-25-summer-16_20260323_180000.mp4</t>
  </si>
  <si>
    <t>videos/ANU-25-summer-16_20260323_180000.mp4</t>
  </si>
  <si>
    <t>bee_count_output/runs/selected/ANU-25-summer-16_20260323_180000_preview.mp4</t>
  </si>
  <si>
    <t>bee_count_output/runs/selected/ANU-25-summer-16_20260323_180000_frame_flux.csv</t>
  </si>
  <si>
    <t>bee_count_output/runs/selected/ANU-25-summer-16_20260323_180000_window_3sec.csv</t>
  </si>
  <si>
    <t>ANU-25-summer-16_20260323_190000.mp4</t>
  </si>
  <si>
    <t>videos/ANU-25-summer-16_20260323_190000.mp4</t>
  </si>
  <si>
    <t>bee_count_output/runs/selected/ANU-25-summer-16_20260323_190000_preview.mp4</t>
  </si>
  <si>
    <t>bee_count_output/runs/selected/ANU-25-summer-16_20260323_190000_frame_flux.csv</t>
  </si>
  <si>
    <t>bee_count_output/runs/selected/ANU-25-summer-16_20260323_190000_window_3sec.csv</t>
  </si>
  <si>
    <t>ANU-25-summer-16_20260324_060000.mp4</t>
  </si>
  <si>
    <t>videos/ANU-25-summer-16_20260324_060000.mp4</t>
  </si>
  <si>
    <t>bee_count_output/runs/selected/ANU-25-summer-16_20260324_060000_preview.mp4</t>
  </si>
  <si>
    <t>bee_count_output/runs/selected/ANU-25-summer-16_20260324_060000_frame_flux.csv</t>
  </si>
  <si>
    <t>bee_count_output/runs/selected/ANU-25-summer-16_20260324_060000_window_3sec.csv</t>
  </si>
  <si>
    <t>ANU-25-summer-16_20260324_070000.mp4</t>
  </si>
  <si>
    <t>videos/ANU-25-summer-16_20260324_070000.mp4</t>
  </si>
  <si>
    <t>bee_count_output/runs/selected/ANU-25-summer-16_20260324_070000_preview.mp4</t>
  </si>
  <si>
    <t>bee_count_output/runs/selected/ANU-25-summer-16_20260324_070000_frame_flux.csv</t>
  </si>
  <si>
    <t>bee_count_output/runs/selected/ANU-25-summer-16_20260324_070000_window_3sec.csv</t>
  </si>
  <si>
    <t>ANU-25-summer-16_20260324_080000.mp4</t>
  </si>
  <si>
    <t>videos/ANU-25-summer-16_20260324_080000.mp4</t>
  </si>
  <si>
    <t>bee_count_output/runs/selected/ANU-25-summer-16_20260324_080000_preview.mp4</t>
  </si>
  <si>
    <t>bee_count_output/runs/selected/ANU-25-summer-16_20260324_080000_frame_flux.csv</t>
  </si>
  <si>
    <t>bee_count_output/runs/selected/ANU-25-summer-16_20260324_080000_window_3sec.csv</t>
  </si>
  <si>
    <t>ANU-25-summer-16_20260324_090000.mp4</t>
  </si>
  <si>
    <t>videos/ANU-25-summer-16_20260324_090000.mp4</t>
  </si>
  <si>
    <t>bee_count_output/runs/selected/ANU-25-summer-16_20260324_090000_preview.mp4</t>
  </si>
  <si>
    <t>bee_count_output/runs/selected/ANU-25-summer-16_20260324_090000_frame_flux.csv</t>
  </si>
  <si>
    <t>bee_count_output/runs/selected/ANU-25-summer-16_20260324_090000_window_3sec.csv</t>
  </si>
  <si>
    <t>ANU-25-summer-16_20260324_100000.mp4</t>
  </si>
  <si>
    <t>videos/ANU-25-summer-16_20260324_100000.mp4</t>
  </si>
  <si>
    <t>bee_count_output/runs/selected/ANU-25-summer-16_20260324_100000_preview.mp4</t>
  </si>
  <si>
    <t>bee_count_output/runs/selected/ANU-25-summer-16_20260324_100000_frame_flux.csv</t>
  </si>
  <si>
    <t>bee_count_output/runs/selected/ANU-25-summer-16_20260324_100000_window_3sec.csv</t>
  </si>
  <si>
    <t>ANU-25-summer-16_20260324_110000.mp4</t>
  </si>
  <si>
    <t>videos/ANU-25-summer-16_20260324_110000.mp4</t>
  </si>
  <si>
    <t>bee_count_output/runs/selected/ANU-25-summer-16_20260324_110000_preview.mp4</t>
  </si>
  <si>
    <t>bee_count_output/runs/selected/ANU-25-summer-16_20260324_110000_frame_flux.csv</t>
  </si>
  <si>
    <t>bee_count_output/runs/selected/ANU-25-summer-16_20260324_110000_window_3sec.csv</t>
  </si>
  <si>
    <t>ANU-25-summer-16_20260324_120000.mp4</t>
  </si>
  <si>
    <t>videos/ANU-25-summer-16_20260324_120000.mp4</t>
  </si>
  <si>
    <t>bee_count_output/runs/selected/ANU-25-summer-16_20260324_120000_preview.mp4</t>
  </si>
  <si>
    <t>bee_count_output/runs/selected/ANU-25-summer-16_20260324_120000_frame_flux.csv</t>
  </si>
  <si>
    <t>bee_count_output/runs/selected/ANU-25-summer-16_20260324_120000_window_3sec.csv</t>
  </si>
  <si>
    <t>ANU-25-summer-16_20260324_130000.mp4</t>
  </si>
  <si>
    <t>videos/ANU-25-summer-16_20260324_130000.mp4</t>
  </si>
  <si>
    <t>bee_count_output/runs/selected/ANU-25-summer-16_20260324_130000_preview.mp4</t>
  </si>
  <si>
    <t>bee_count_output/runs/selected/ANU-25-summer-16_20260324_130000_frame_flux.csv</t>
  </si>
  <si>
    <t>bee_count_output/runs/selected/ANU-25-summer-16_20260324_130000_window_3sec.csv</t>
  </si>
  <si>
    <t>ANU-25-summer-16_20260324_140000.mp4</t>
  </si>
  <si>
    <t>videos/ANU-25-summer-16_20260324_140000.mp4</t>
  </si>
  <si>
    <t>bee_count_output/runs/selected/ANU-25-summer-16_20260324_140000_preview.mp4</t>
  </si>
  <si>
    <t>bee_count_output/runs/selected/ANU-25-summer-16_20260324_140000_frame_flux.csv</t>
  </si>
  <si>
    <t>bee_count_output/runs/selected/ANU-25-summer-16_20260324_140000_window_3sec.csv</t>
  </si>
  <si>
    <t>ANU-25-summer-16_20260324_150000.mp4</t>
  </si>
  <si>
    <t>videos/ANU-25-summer-16_20260324_150000.mp4</t>
  </si>
  <si>
    <t>bee_count_output/runs/selected/ANU-25-summer-16_20260324_150000_preview.mp4</t>
  </si>
  <si>
    <t>bee_count_output/runs/selected/ANU-25-summer-16_20260324_150000_frame_flux.csv</t>
  </si>
  <si>
    <t>bee_count_output/runs/selected/ANU-25-summer-16_20260324_150000_window_3sec.csv</t>
  </si>
  <si>
    <t>ANU-25-summer-16_20260324_160000.mp4</t>
  </si>
  <si>
    <t>videos/ANU-25-summer-16_20260324_160000.mp4</t>
  </si>
  <si>
    <t>bee_count_output/runs/selected/ANU-25-summer-16_20260324_160000_preview.mp4</t>
  </si>
  <si>
    <t>bee_count_output/runs/selected/ANU-25-summer-16_20260324_160000_frame_flux.csv</t>
  </si>
  <si>
    <t>bee_count_output/runs/selected/ANU-25-summer-16_20260324_160000_window_3sec.csv</t>
  </si>
  <si>
    <t>ANU-25-summer-16_20260324_170000.mp4</t>
  </si>
  <si>
    <t>videos/ANU-25-summer-16_20260324_170000.mp4</t>
  </si>
  <si>
    <t>bee_count_output/runs/selected/ANU-25-summer-16_20260324_170000_preview.mp4</t>
  </si>
  <si>
    <t>bee_count_output/runs/selected/ANU-25-summer-16_20260324_170000_frame_flux.csv</t>
  </si>
  <si>
    <t>bee_count_output/runs/selected/ANU-25-summer-16_20260324_170000_window_3sec.csv</t>
  </si>
  <si>
    <t>ANU-25-summer-16_20260324_180000.mp4</t>
  </si>
  <si>
    <t>videos/ANU-25-summer-16_20260324_180000.mp4</t>
  </si>
  <si>
    <t>bee_count_output/runs/selected/ANU-25-summer-16_20260324_180000_preview.mp4</t>
  </si>
  <si>
    <t>bee_count_output/runs/selected/ANU-25-summer-16_20260324_180000_frame_flux.csv</t>
  </si>
  <si>
    <t>bee_count_output/runs/selected/ANU-25-summer-16_20260324_180000_window_3sec.csv</t>
  </si>
  <si>
    <t>ANU-25-summer-16_20260324_190000.mp4</t>
  </si>
  <si>
    <t>videos/ANU-25-summer-16_20260324_190000.mp4</t>
  </si>
  <si>
    <t>bee_count_output/runs/selected/ANU-25-summer-16_20260324_190000_preview.mp4</t>
  </si>
  <si>
    <t>bee_count_output/runs/selected/ANU-25-summer-16_20260324_190000_frame_flux.csv</t>
  </si>
  <si>
    <t>bee_count_output/runs/selected/ANU-25-summer-16_20260324_190000_window_3sec.csv</t>
  </si>
  <si>
    <t>ANU-25-summer-16_20260325_060000.mp4</t>
  </si>
  <si>
    <t>videos/ANU-25-summer-16_20260325_060000.mp4</t>
  </si>
  <si>
    <t>bee_count_output/runs/selected/ANU-25-summer-16_20260325_060000_preview.mp4</t>
  </si>
  <si>
    <t>bee_count_output/runs/selected/ANU-25-summer-16_20260325_060000_frame_flux.csv</t>
  </si>
  <si>
    <t>bee_count_output/runs/selected/ANU-25-summer-16_20260325_060000_window_3sec.csv</t>
  </si>
  <si>
    <t>ANU-25-summer-16_20260325_070000.mp4</t>
  </si>
  <si>
    <t>videos/ANU-25-summer-16_20260325_070000.mp4</t>
  </si>
  <si>
    <t>bee_count_output/runs/selected/ANU-25-summer-16_20260325_070000_preview.mp4</t>
  </si>
  <si>
    <t>bee_count_output/runs/selected/ANU-25-summer-16_20260325_070000_frame_flux.csv</t>
  </si>
  <si>
    <t>bee_count_output/runs/selected/ANU-25-summer-16_20260325_070000_window_3sec.csv</t>
  </si>
  <si>
    <t>ANU-25-summer-16_20260325_080000.mp4</t>
  </si>
  <si>
    <t>videos/ANU-25-summer-16_20260325_080000.mp4</t>
  </si>
  <si>
    <t>bee_count_output/runs/selected/ANU-25-summer-16_20260325_080000_preview.mp4</t>
  </si>
  <si>
    <t>bee_count_output/runs/selected/ANU-25-summer-16_20260325_080000_frame_flux.csv</t>
  </si>
  <si>
    <t>bee_count_output/runs/selected/ANU-25-summer-16_20260325_080000_window_3sec.csv</t>
  </si>
  <si>
    <t>ANU-25-summer-16_20260325_090000.mp4</t>
  </si>
  <si>
    <t>videos/ANU-25-summer-16_20260325_090000.mp4</t>
  </si>
  <si>
    <t>bee_count_output/runs/selected/ANU-25-summer-16_20260325_090000_preview.mp4</t>
  </si>
  <si>
    <t>bee_count_output/runs/selected/ANU-25-summer-16_20260325_090000_frame_flux.csv</t>
  </si>
  <si>
    <t>bee_count_output/runs/selected/ANU-25-summer-16_20260325_090000_window_3sec.csv</t>
  </si>
  <si>
    <t>ANU-25-summer-16_20260325_100000.mp4</t>
  </si>
  <si>
    <t>videos/ANU-25-summer-16_20260325_100000.mp4</t>
  </si>
  <si>
    <t>bee_count_output/runs/selected/ANU-25-summer-16_20260325_100000_preview.mp4</t>
  </si>
  <si>
    <t>bee_count_output/runs/selected/ANU-25-summer-16_20260325_100000_frame_flux.csv</t>
  </si>
  <si>
    <t>bee_count_output/runs/selected/ANU-25-summer-16_20260325_100000_window_3sec.csv</t>
  </si>
  <si>
    <t>ANU-25-summer-16_20260325_110000.mp4</t>
  </si>
  <si>
    <t>videos/ANU-25-summer-16_20260325_110000.mp4</t>
  </si>
  <si>
    <t>bee_count_output/runs/selected/ANU-25-summer-16_20260325_110000_preview.mp4</t>
  </si>
  <si>
    <t>bee_count_output/runs/selected/ANU-25-summer-16_20260325_110000_frame_flux.csv</t>
  </si>
  <si>
    <t>bee_count_output/runs/selected/ANU-25-summer-16_20260325_110000_window_3sec.csv</t>
  </si>
  <si>
    <t>ANU-25-summer-16_20260325_120000.mp4</t>
  </si>
  <si>
    <t>videos/ANU-25-summer-16_20260325_120000.mp4</t>
  </si>
  <si>
    <t>bee_count_output/runs/selected/ANU-25-summer-16_20260325_120000_preview.mp4</t>
  </si>
  <si>
    <t>bee_count_output/runs/selected/ANU-25-summer-16_20260325_120000_frame_flux.csv</t>
  </si>
  <si>
    <t>bee_count_output/runs/selected/ANU-25-summer-16_20260325_120000_window_3sec.csv</t>
  </si>
  <si>
    <t>ANU-25-summer-16_20260325_130000.mp4</t>
  </si>
  <si>
    <t>videos/ANU-25-summer-16_20260325_130000.mp4</t>
  </si>
  <si>
    <t>bee_count_output/runs/selected/ANU-25-summer-16_20260325_130000_preview.mp4</t>
  </si>
  <si>
    <t>bee_count_output/runs/selected/ANU-25-summer-16_20260325_130000_frame_flux.csv</t>
  </si>
  <si>
    <t>bee_count_output/runs/selected/ANU-25-summer-16_20260325_130000_window_3sec.csv</t>
  </si>
  <si>
    <t>ANU-25-summer-16_20260325_140000.mp4</t>
  </si>
  <si>
    <t>videos/ANU-25-summer-16_20260325_140000.mp4</t>
  </si>
  <si>
    <t>bee_count_output/runs/selected/ANU-25-summer-16_20260325_140000_preview.mp4</t>
  </si>
  <si>
    <t>bee_count_output/runs/selected/ANU-25-summer-16_20260325_140000_frame_flux.csv</t>
  </si>
  <si>
    <t>bee_count_output/runs/selected/ANU-25-summer-16_20260325_140000_window_3sec.csv</t>
  </si>
  <si>
    <t>ANU-25-summer-16_20260325_150000.mp4</t>
  </si>
  <si>
    <t>videos/ANU-25-summer-16_20260325_150000.mp4</t>
  </si>
  <si>
    <t>bee_count_output/runs/selected/ANU-25-summer-16_20260325_150000_preview.mp4</t>
  </si>
  <si>
    <t>bee_count_output/runs/selected/ANU-25-summer-16_20260325_150000_frame_flux.csv</t>
  </si>
  <si>
    <t>bee_count_output/runs/selected/ANU-25-summer-16_20260325_150000_window_3sec.csv</t>
  </si>
  <si>
    <t>ANU-25-summer-16_20260325_160000.mp4</t>
  </si>
  <si>
    <t>videos/ANU-25-summer-16_20260325_160000.mp4</t>
  </si>
  <si>
    <t>bee_count_output/runs/selected/ANU-25-summer-16_20260325_160000_preview.mp4</t>
  </si>
  <si>
    <t>bee_count_output/runs/selected/ANU-25-summer-16_20260325_160000_frame_flux.csv</t>
  </si>
  <si>
    <t>bee_count_output/runs/selected/ANU-25-summer-16_20260325_160000_window_3sec.csv</t>
  </si>
  <si>
    <t>ANU-25-summer-16_20260325_170000.mp4</t>
  </si>
  <si>
    <t>videos/ANU-25-summer-16_20260325_170000.mp4</t>
  </si>
  <si>
    <t>bee_count_output/runs/selected/ANU-25-summer-16_20260325_170000_preview.mp4</t>
  </si>
  <si>
    <t>bee_count_output/runs/selected/ANU-25-summer-16_20260325_170000_frame_flux.csv</t>
  </si>
  <si>
    <t>bee_count_output/runs/selected/ANU-25-summer-16_20260325_170000_window_3sec.csv</t>
  </si>
  <si>
    <t>ANU-25-summer-16_20260325_180000.mp4</t>
  </si>
  <si>
    <t>videos/ANU-25-summer-16_20260325_180000.mp4</t>
  </si>
  <si>
    <t>bee_count_output/runs/selected/ANU-25-summer-16_20260325_180000_preview.mp4</t>
  </si>
  <si>
    <t>bee_count_output/runs/selected/ANU-25-summer-16_20260325_180000_frame_flux.csv</t>
  </si>
  <si>
    <t>bee_count_output/runs/selected/ANU-25-summer-16_20260325_180000_window_3sec.csv</t>
  </si>
  <si>
    <t>ANU-25-summer-16_20260325_190000.mp4</t>
  </si>
  <si>
    <t>videos/ANU-25-summer-16_20260325_190000.mp4</t>
  </si>
  <si>
    <t>bee_count_output/runs/selected/ANU-25-summer-16_20260325_190000_preview.mp4</t>
  </si>
  <si>
    <t>bee_count_output/runs/selected/ANU-25-summer-16_20260325_190000_frame_flux.csv</t>
  </si>
  <si>
    <t>bee_count_output/runs/selected/ANU-25-summer-16_20260325_190000_window_3sec.csv</t>
  </si>
  <si>
    <t>ANU-25-summer-16_20260326_060000.mp4</t>
  </si>
  <si>
    <t>videos/ANU-25-summer-16_20260326_060000.mp4</t>
  </si>
  <si>
    <t>bee_count_output/runs/selected/ANU-25-summer-16_20260326_060000_preview.mp4</t>
  </si>
  <si>
    <t>bee_count_output/runs/selected/ANU-25-summer-16_20260326_060000_frame_flux.csv</t>
  </si>
  <si>
    <t>bee_count_output/runs/selected/ANU-25-summer-16_20260326_060000_window_3sec.csv</t>
  </si>
  <si>
    <t>ANU-25-summer-16_20260326_070000.mp4</t>
  </si>
  <si>
    <t>videos/ANU-25-summer-16_20260326_070000.mp4</t>
  </si>
  <si>
    <t>bee_count_output/runs/selected/ANU-25-summer-16_20260326_070000_preview.mp4</t>
  </si>
  <si>
    <t>bee_count_output/runs/selected/ANU-25-summer-16_20260326_070000_frame_flux.csv</t>
  </si>
  <si>
    <t>bee_count_output/runs/selected/ANU-25-summer-16_20260326_070000_window_3sec.csv</t>
  </si>
  <si>
    <t>ANU-25-summer-16_20260326_080000.mp4</t>
  </si>
  <si>
    <t>videos/ANU-25-summer-16_20260326_080000.mp4</t>
  </si>
  <si>
    <t>bee_count_output/runs/selected/ANU-25-summer-16_20260326_080000_preview.mp4</t>
  </si>
  <si>
    <t>bee_count_output/runs/selected/ANU-25-summer-16_20260326_080000_frame_flux.csv</t>
  </si>
  <si>
    <t>bee_count_output/runs/selected/ANU-25-summer-16_20260326_080000_window_3sec.csv</t>
  </si>
  <si>
    <t>ANU-25-summer-16_20260326_090000.mp4</t>
  </si>
  <si>
    <t>videos/ANU-25-summer-16_20260326_090000.mp4</t>
  </si>
  <si>
    <t>bee_count_output/runs/selected/ANU-25-summer-16_20260326_090000_preview.mp4</t>
  </si>
  <si>
    <t>bee_count_output/runs/selected/ANU-25-summer-16_20260326_090000_frame_flux.csv</t>
  </si>
  <si>
    <t>bee_count_output/runs/selected/ANU-25-summer-16_20260326_090000_window_3sec.csv</t>
  </si>
  <si>
    <t>ANU-25-summer-16_20260326_100000.mp4</t>
  </si>
  <si>
    <t>videos/ANU-25-summer-16_20260326_100000.mp4</t>
  </si>
  <si>
    <t>bee_count_output/runs/selected/ANU-25-summer-16_20260326_100000_preview.mp4</t>
  </si>
  <si>
    <t>bee_count_output/runs/selected/ANU-25-summer-16_20260326_100000_frame_flux.csv</t>
  </si>
  <si>
    <t>bee_count_output/runs/selected/ANU-25-summer-16_20260326_100000_window_3sec.csv</t>
  </si>
  <si>
    <t>ANU-25-summer-16_20260326_110000.mp4</t>
  </si>
  <si>
    <t>videos/ANU-25-summer-16_20260326_110000.mp4</t>
  </si>
  <si>
    <t>bee_count_output/runs/selected/ANU-25-summer-16_20260326_110000_preview.mp4</t>
  </si>
  <si>
    <t>bee_count_output/runs/selected/ANU-25-summer-16_20260326_110000_frame_flux.csv</t>
  </si>
  <si>
    <t>bee_count_output/runs/selected/ANU-25-summer-16_20260326_110000_window_3sec.csv</t>
  </si>
  <si>
    <t>ANU-25-summer-16_20260326_120000.mp4</t>
  </si>
  <si>
    <t>videos/ANU-25-summer-16_20260326_120000.mp4</t>
  </si>
  <si>
    <t>bee_count_output/runs/selected/ANU-25-summer-16_20260326_120000_preview.mp4</t>
  </si>
  <si>
    <t>bee_count_output/runs/selected/ANU-25-summer-16_20260326_120000_frame_flux.csv</t>
  </si>
  <si>
    <t>bee_count_output/runs/selected/ANU-25-summer-16_20260326_120000_window_3sec.csv</t>
  </si>
  <si>
    <t>ANU-25-summer-16_20260326_130000.mp4</t>
  </si>
  <si>
    <t>videos/ANU-25-summer-16_20260326_130000.mp4</t>
  </si>
  <si>
    <t>bee_count_output/runs/selected/ANU-25-summer-16_20260326_130000_preview.mp4</t>
  </si>
  <si>
    <t>bee_count_output/runs/selected/ANU-25-summer-16_20260326_130000_frame_flux.csv</t>
  </si>
  <si>
    <t>bee_count_output/runs/selected/ANU-25-summer-16_20260326_130000_window_3sec.csv</t>
  </si>
  <si>
    <t>ANU-25-summer-16_20260326_140000.mp4</t>
  </si>
  <si>
    <t>videos/ANU-25-summer-16_20260326_140000.mp4</t>
  </si>
  <si>
    <t>bee_count_output/runs/selected/ANU-25-summer-16_20260326_140000_preview.mp4</t>
  </si>
  <si>
    <t>bee_count_output/runs/selected/ANU-25-summer-16_20260326_140000_frame_flux.csv</t>
  </si>
  <si>
    <t>bee_count_output/runs/selected/ANU-25-summer-16_20260326_140000_window_3sec.csv</t>
  </si>
  <si>
    <t>ANU-25-summer-16_20260326_150000.mp4</t>
  </si>
  <si>
    <t>videos/ANU-25-summer-16_20260326_150000.mp4</t>
  </si>
  <si>
    <t>bee_count_output/runs/selected/ANU-25-summer-16_20260326_150000_preview.mp4</t>
  </si>
  <si>
    <t>bee_count_output/runs/selected/ANU-25-summer-16_20260326_150000_frame_flux.csv</t>
  </si>
  <si>
    <t>bee_count_output/runs/selected/ANU-25-summer-16_20260326_150000_window_3sec.csv</t>
  </si>
  <si>
    <t>ANU-25-summer-16_20260326_160000.mp4</t>
  </si>
  <si>
    <t>videos/ANU-25-summer-16_20260326_160000.mp4</t>
  </si>
  <si>
    <t>bee_count_output/runs/selected/ANU-25-summer-16_20260326_160000_preview.mp4</t>
  </si>
  <si>
    <t>bee_count_output/runs/selected/ANU-25-summer-16_20260326_160000_frame_flux.csv</t>
  </si>
  <si>
    <t>bee_count_output/runs/selected/ANU-25-summer-16_20260326_160000_window_3sec.csv</t>
  </si>
  <si>
    <t>ANU-25-summer-16_20260326_170000.mp4</t>
  </si>
  <si>
    <t>videos/ANU-25-summer-16_20260326_170000.mp4</t>
  </si>
  <si>
    <t>bee_count_output/runs/selected/ANU-25-summer-16_20260326_170000_preview.mp4</t>
  </si>
  <si>
    <t>bee_count_output/runs/selected/ANU-25-summer-16_20260326_170000_frame_flux.csv</t>
  </si>
  <si>
    <t>bee_count_output/runs/selected/ANU-25-summer-16_20260326_170000_window_3sec.csv</t>
  </si>
  <si>
    <t>ANU-25-summer-16_20260326_180000.mp4</t>
  </si>
  <si>
    <t>videos/ANU-25-summer-16_20260326_180000.mp4</t>
  </si>
  <si>
    <t>bee_count_output/runs/selected/ANU-25-summer-16_20260326_180000_preview.mp4</t>
  </si>
  <si>
    <t>bee_count_output/runs/selected/ANU-25-summer-16_20260326_180000_frame_flux.csv</t>
  </si>
  <si>
    <t>bee_count_output/runs/selected/ANU-25-summer-16_20260326_180000_window_3sec.csv</t>
  </si>
  <si>
    <t>ANU-25-summer-16_20260326_190000.mp4</t>
  </si>
  <si>
    <t>videos/ANU-25-summer-16_20260326_190000.mp4</t>
  </si>
  <si>
    <t>bee_count_output/runs/selected/ANU-25-summer-16_20260326_190000_preview.mp4</t>
  </si>
  <si>
    <t>bee_count_output/runs/selected/ANU-25-summer-16_20260326_190000_frame_flux.csv</t>
  </si>
  <si>
    <t>bee_count_output/runs/selected/ANU-25-summer-16_20260326_190000_window_3sec.csv</t>
  </si>
  <si>
    <t>ANU-25-summer-16_20260327_060000.mp4</t>
  </si>
  <si>
    <t>videos/ANU-25-summer-16_20260327_060000.mp4</t>
  </si>
  <si>
    <t>bee_count_output/runs/selected/ANU-25-summer-16_20260327_060000_preview.mp4</t>
  </si>
  <si>
    <t>bee_count_output/runs/selected/ANU-25-summer-16_20260327_060000_frame_flux.csv</t>
  </si>
  <si>
    <t>bee_count_output/runs/selected/ANU-25-summer-16_20260327_060000_window_3sec.csv</t>
  </si>
  <si>
    <t>ANU-25-summer-16_20260327_070000.mp4</t>
  </si>
  <si>
    <t>videos/ANU-25-summer-16_20260327_070000.mp4</t>
  </si>
  <si>
    <t>bee_count_output/runs/selected/ANU-25-summer-16_20260327_070000_preview.mp4</t>
  </si>
  <si>
    <t>bee_count_output/runs/selected/ANU-25-summer-16_20260327_070000_frame_flux.csv</t>
  </si>
  <si>
    <t>bee_count_output/runs/selected/ANU-25-summer-16_20260327_070000_window_3sec.csv</t>
  </si>
  <si>
    <t>ANU-25-summer-16_20260327_080000.mp4</t>
  </si>
  <si>
    <t>videos/ANU-25-summer-16_20260327_080000.mp4</t>
  </si>
  <si>
    <t>bee_count_output/runs/selected/ANU-25-summer-16_20260327_080000_preview.mp4</t>
  </si>
  <si>
    <t>bee_count_output/runs/selected/ANU-25-summer-16_20260327_080000_frame_flux.csv</t>
  </si>
  <si>
    <t>bee_count_output/runs/selected/ANU-25-summer-16_20260327_080000_window_3sec.csv</t>
  </si>
  <si>
    <t>ANU-25-summer-16_20260327_090000.mp4</t>
  </si>
  <si>
    <t>videos/ANU-25-summer-16_20260327_090000.mp4</t>
  </si>
  <si>
    <t>bee_count_output/runs/selected/ANU-25-summer-16_20260327_090000_preview.mp4</t>
  </si>
  <si>
    <t>bee_count_output/runs/selected/ANU-25-summer-16_20260327_090000_frame_flux.csv</t>
  </si>
  <si>
    <t>bee_count_output/runs/selected/ANU-25-summer-16_20260327_090000_window_3sec.csv</t>
  </si>
  <si>
    <t>ANU-25-summer-16_20260327_100000.mp4</t>
  </si>
  <si>
    <t>videos/ANU-25-summer-16_20260327_100000.mp4</t>
  </si>
  <si>
    <t>bee_count_output/runs/selected/ANU-25-summer-16_20260327_100000_preview.mp4</t>
  </si>
  <si>
    <t>bee_count_output/runs/selected/ANU-25-summer-16_20260327_100000_frame_flux.csv</t>
  </si>
  <si>
    <t>bee_count_output/runs/selected/ANU-25-summer-16_20260327_100000_window_3sec.csv</t>
  </si>
  <si>
    <t>ANU-25-summer-16_20260327_110000.mp4</t>
  </si>
  <si>
    <t>videos/ANU-25-summer-16_20260327_110000.mp4</t>
  </si>
  <si>
    <t>bee_count_output/runs/selected/ANU-25-summer-16_20260327_110000_preview.mp4</t>
  </si>
  <si>
    <t>bee_count_output/runs/selected/ANU-25-summer-16_20260327_110000_frame_flux.csv</t>
  </si>
  <si>
    <t>bee_count_output/runs/selected/ANU-25-summer-16_20260327_110000_window_3sec.csv</t>
  </si>
  <si>
    <t>ANU-25-summer-16_20260327_120000.mp4</t>
  </si>
  <si>
    <t>videos/ANU-25-summer-16_20260327_120000.mp4</t>
  </si>
  <si>
    <t>bee_count_output/runs/selected/ANU-25-summer-16_20260327_120000_preview.mp4</t>
  </si>
  <si>
    <t>bee_count_output/runs/selected/ANU-25-summer-16_20260327_120000_frame_flux.csv</t>
  </si>
  <si>
    <t>bee_count_output/runs/selected/ANU-25-summer-16_20260327_120000_window_3sec.csv</t>
  </si>
  <si>
    <t>ANU-25-summer-16_20260327_130000.mp4</t>
  </si>
  <si>
    <t>videos/ANU-25-summer-16_20260327_130000.mp4</t>
  </si>
  <si>
    <t>bee_count_output/runs/selected/ANU-25-summer-16_20260327_130000_preview.mp4</t>
  </si>
  <si>
    <t>bee_count_output/runs/selected/ANU-25-summer-16_20260327_130000_frame_flux.csv</t>
  </si>
  <si>
    <t>bee_count_output/runs/selected/ANU-25-summer-16_20260327_130000_window_3sec.csv</t>
  </si>
  <si>
    <t>ANU-25-summer-16_20260327_140000.mp4</t>
  </si>
  <si>
    <t>videos/ANU-25-summer-16_20260327_140000.mp4</t>
  </si>
  <si>
    <t>bee_count_output/runs/selected/ANU-25-summer-16_20260327_140000_preview.mp4</t>
  </si>
  <si>
    <t>bee_count_output/runs/selected/ANU-25-summer-16_20260327_140000_frame_flux.csv</t>
  </si>
  <si>
    <t>bee_count_output/runs/selected/ANU-25-summer-16_20260327_140000_window_3sec.csv</t>
  </si>
  <si>
    <t>ANU-25-summer-16_20260327_150000.mp4</t>
  </si>
  <si>
    <t>videos/ANU-25-summer-16_20260327_150000.mp4</t>
  </si>
  <si>
    <t>bee_count_output/runs/selected/ANU-25-summer-16_20260327_150000_preview.mp4</t>
  </si>
  <si>
    <t>bee_count_output/runs/selected/ANU-25-summer-16_20260327_150000_frame_flux.csv</t>
  </si>
  <si>
    <t>bee_count_output/runs/selected/ANU-25-summer-16_20260327_150000_window_3sec.csv</t>
  </si>
  <si>
    <t>ANU-25-summer-16_20260327_160000.mp4</t>
  </si>
  <si>
    <t>videos/ANU-25-summer-16_20260327_160000.mp4</t>
  </si>
  <si>
    <t>bee_count_output/runs/selected/ANU-25-summer-16_20260327_160000_preview.mp4</t>
  </si>
  <si>
    <t>bee_count_output/runs/selected/ANU-25-summer-16_20260327_160000_frame_flux.csv</t>
  </si>
  <si>
    <t>bee_count_output/runs/selected/ANU-25-summer-16_20260327_160000_window_3sec.csv</t>
  </si>
  <si>
    <t>ANU-25-summer-16_20260327_170000.mp4</t>
  </si>
  <si>
    <t>videos/ANU-25-summer-16_20260327_170000.mp4</t>
  </si>
  <si>
    <t>bee_count_output/runs/selected/ANU-25-summer-16_20260327_170000_preview.mp4</t>
  </si>
  <si>
    <t>bee_count_output/runs/selected/ANU-25-summer-16_20260327_170000_frame_flux.csv</t>
  </si>
  <si>
    <t>bee_count_output/runs/selected/ANU-25-summer-16_20260327_170000_window_3sec.csv</t>
  </si>
  <si>
    <t>ANU-25-summer-16_20260327_180000.mp4</t>
  </si>
  <si>
    <t>videos/ANU-25-summer-16_20260327_180000.mp4</t>
  </si>
  <si>
    <t>bee_count_output/runs/selected/ANU-25-summer-16_20260327_180000_preview.mp4</t>
  </si>
  <si>
    <t>bee_count_output/runs/selected/ANU-25-summer-16_20260327_180000_frame_flux.csv</t>
  </si>
  <si>
    <t>bee_count_output/runs/selected/ANU-25-summer-16_20260327_180000_window_3sec.csv</t>
  </si>
  <si>
    <t>ANU-25-summer-16_20260327_190000.mp4</t>
  </si>
  <si>
    <t>videos/ANU-25-summer-16_20260327_190000.mp4</t>
  </si>
  <si>
    <t>bee_count_output/runs/selected/ANU-25-summer-16_20260327_190000_preview.mp4</t>
  </si>
  <si>
    <t>bee_count_output/runs/selected/ANU-25-summer-16_20260327_190000_frame_flux.csv</t>
  </si>
  <si>
    <t>bee_count_output/runs/selected/ANU-25-summer-16_20260327_190000_window_3sec.csv</t>
  </si>
  <si>
    <t>ANU-25-summer-16_20260328_060000.mp4</t>
  </si>
  <si>
    <t>videos/ANU-25-summer-16_20260328_060000.mp4</t>
  </si>
  <si>
    <t>bee_count_output/runs/selected/ANU-25-summer-16_20260328_060000_preview.mp4</t>
  </si>
  <si>
    <t>bee_count_output/runs/selected/ANU-25-summer-16_20260328_060000_frame_flux.csv</t>
  </si>
  <si>
    <t>bee_count_output/runs/selected/ANU-25-summer-16_20260328_060000_window_3sec.csv</t>
  </si>
  <si>
    <t>ANU-25-summer-16_20260328_070000.mp4</t>
  </si>
  <si>
    <t>videos/ANU-25-summer-16_20260328_070000.mp4</t>
  </si>
  <si>
    <t>bee_count_output/runs/selected/ANU-25-summer-16_20260328_070000_preview.mp4</t>
  </si>
  <si>
    <t>bee_count_output/runs/selected/ANU-25-summer-16_20260328_070000_frame_flux.csv</t>
  </si>
  <si>
    <t>bee_count_output/runs/selected/ANU-25-summer-16_20260328_070000_window_3sec.csv</t>
  </si>
  <si>
    <t>ANU-25-summer-16_20260328_080000.mp4</t>
  </si>
  <si>
    <t>videos/ANU-25-summer-16_20260328_080000.mp4</t>
  </si>
  <si>
    <t>bee_count_output/runs/selected/ANU-25-summer-16_20260328_080000_preview.mp4</t>
  </si>
  <si>
    <t>bee_count_output/runs/selected/ANU-25-summer-16_20260328_080000_frame_flux.csv</t>
  </si>
  <si>
    <t>bee_count_output/runs/selected/ANU-25-summer-16_20260328_080000_window_3sec.csv</t>
  </si>
  <si>
    <t>ANU-25-summer-16_20260328_090000.mp4</t>
  </si>
  <si>
    <t>videos/ANU-25-summer-16_20260328_090000.mp4</t>
  </si>
  <si>
    <t>bee_count_output/runs/selected/ANU-25-summer-16_20260328_090000_preview.mp4</t>
  </si>
  <si>
    <t>bee_count_output/runs/selected/ANU-25-summer-16_20260328_090000_frame_flux.csv</t>
  </si>
  <si>
    <t>bee_count_output/runs/selected/ANU-25-summer-16_20260328_090000_window_3sec.csv</t>
  </si>
  <si>
    <t>ANU-25-summer-16_20260328_100000.mp4</t>
  </si>
  <si>
    <t>videos/ANU-25-summer-16_20260328_100000.mp4</t>
  </si>
  <si>
    <t>bee_count_output/runs/selected/ANU-25-summer-16_20260328_100000_preview.mp4</t>
  </si>
  <si>
    <t>bee_count_output/runs/selected/ANU-25-summer-16_20260328_100000_frame_flux.csv</t>
  </si>
  <si>
    <t>bee_count_output/runs/selected/ANU-25-summer-16_20260328_100000_window_3sec.csv</t>
  </si>
  <si>
    <t>ANU-25-summer-16_20260328_110000.mp4</t>
  </si>
  <si>
    <t>videos/ANU-25-summer-16_20260328_110000.mp4</t>
  </si>
  <si>
    <t>bee_count_output/runs/selected/ANU-25-summer-16_20260328_110000_preview.mp4</t>
  </si>
  <si>
    <t>bee_count_output/runs/selected/ANU-25-summer-16_20260328_110000_frame_flux.csv</t>
  </si>
  <si>
    <t>bee_count_output/runs/selected/ANU-25-summer-16_20260328_110000_window_3sec.csv</t>
  </si>
  <si>
    <t>ANU-25-summer-16_20260328_120000.mp4</t>
  </si>
  <si>
    <t>videos/ANU-25-summer-16_20260328_120000.mp4</t>
  </si>
  <si>
    <t>bee_count_output/runs/selected/ANU-25-summer-16_20260328_120000_preview.mp4</t>
  </si>
  <si>
    <t>bee_count_output/runs/selected/ANU-25-summer-16_20260328_120000_frame_flux.csv</t>
  </si>
  <si>
    <t>bee_count_output/runs/selected/ANU-25-summer-16_20260328_120000_window_3sec.csv</t>
  </si>
  <si>
    <t>ANU-25-summer-16_20260328_130000.mp4</t>
  </si>
  <si>
    <t>videos/ANU-25-summer-16_20260328_130000.mp4</t>
  </si>
  <si>
    <t>bee_count_output/runs/selected/ANU-25-summer-16_20260328_130000_preview.mp4</t>
  </si>
  <si>
    <t>bee_count_output/runs/selected/ANU-25-summer-16_20260328_130000_frame_flux.csv</t>
  </si>
  <si>
    <t>bee_count_output/runs/selected/ANU-25-summer-16_20260328_130000_window_3sec.csv</t>
  </si>
  <si>
    <t>ANU-25-summer-16_20260328_140000.mp4</t>
  </si>
  <si>
    <t>videos/ANU-25-summer-16_20260328_140000.mp4</t>
  </si>
  <si>
    <t>bee_count_output/runs/selected/ANU-25-summer-16_20260328_140000_preview.mp4</t>
  </si>
  <si>
    <t>bee_count_output/runs/selected/ANU-25-summer-16_20260328_140000_frame_flux.csv</t>
  </si>
  <si>
    <t>bee_count_output/runs/selected/ANU-25-summer-16_20260328_140000_window_3sec.csv</t>
  </si>
  <si>
    <t>ANU-25-summer-16_20260328_150000.mp4</t>
  </si>
  <si>
    <t>videos/ANU-25-summer-16_20260328_150000.mp4</t>
  </si>
  <si>
    <t>bee_count_output/runs/selected/ANU-25-summer-16_20260328_150000_preview.mp4</t>
  </si>
  <si>
    <t>bee_count_output/runs/selected/ANU-25-summer-16_20260328_150000_frame_flux.csv</t>
  </si>
  <si>
    <t>bee_count_output/runs/selected/ANU-25-summer-16_20260328_150000_window_3sec.csv</t>
  </si>
  <si>
    <t>ANU-25-summer-16_20260328_160000.mp4</t>
  </si>
  <si>
    <t>videos/ANU-25-summer-16_20260328_160000.mp4</t>
  </si>
  <si>
    <t>bee_count_output/runs/selected/ANU-25-summer-16_20260328_160000_preview.mp4</t>
  </si>
  <si>
    <t>bee_count_output/runs/selected/ANU-25-summer-16_20260328_160000_frame_flux.csv</t>
  </si>
  <si>
    <t>bee_count_output/runs/selected/ANU-25-summer-16_20260328_160000_window_3sec.csv</t>
  </si>
  <si>
    <t>ANU-25-summer-16_20260328_170000.mp4</t>
  </si>
  <si>
    <t>videos/ANU-25-summer-16_20260328_170000.mp4</t>
  </si>
  <si>
    <t>bee_count_output/runs/selected/ANU-25-summer-16_20260328_170000_preview.mp4</t>
  </si>
  <si>
    <t>bee_count_output/runs/selected/ANU-25-summer-16_20260328_170000_frame_flux.csv</t>
  </si>
  <si>
    <t>bee_count_output/runs/selected/ANU-25-summer-16_20260328_170000_window_3sec.csv</t>
  </si>
  <si>
    <t>ANU-25-summer-16_20260328_180000.mp4</t>
  </si>
  <si>
    <t>videos/ANU-25-summer-16_20260328_180000.mp4</t>
  </si>
  <si>
    <t>bee_count_output/runs/selected/ANU-25-summer-16_20260328_180000_preview.mp4</t>
  </si>
  <si>
    <t>bee_count_output/runs/selected/ANU-25-summer-16_20260328_180000_frame_flux.csv</t>
  </si>
  <si>
    <t>bee_count_output/runs/selected/ANU-25-summer-16_20260328_180000_window_3sec.csv</t>
  </si>
  <si>
    <t>ANU-25-summer-16_20260328_190000.mp4</t>
  </si>
  <si>
    <t>videos/ANU-25-summer-16_20260328_190000.mp4</t>
  </si>
  <si>
    <t>bee_count_output/runs/selected/ANU-25-summer-16_20260328_190000_preview.mp4</t>
  </si>
  <si>
    <t>bee_count_output/runs/selected/ANU-25-summer-16_20260328_190000_frame_flux.csv</t>
  </si>
  <si>
    <t>bee_count_output/runs/selected/ANU-25-summer-16_20260328_190000_window_3sec.csv</t>
  </si>
  <si>
    <t>ANU-25-summer-16_20260329_060000.mp4</t>
  </si>
  <si>
    <t>videos/ANU-25-summer-16_20260329_060000.mp4</t>
  </si>
  <si>
    <t>bee_count_output/runs/selected/ANU-25-summer-16_20260329_060000_preview.mp4</t>
  </si>
  <si>
    <t>bee_count_output/runs/selected/ANU-25-summer-16_20260329_060000_frame_flux.csv</t>
  </si>
  <si>
    <t>bee_count_output/runs/selected/ANU-25-summer-16_20260329_060000_window_3sec.csv</t>
  </si>
  <si>
    <t>ANU-25-summer-16_20260329_070000.mp4</t>
  </si>
  <si>
    <t>videos/ANU-25-summer-16_20260329_070000.mp4</t>
  </si>
  <si>
    <t>bee_count_output/runs/selected/ANU-25-summer-16_20260329_070000_preview.mp4</t>
  </si>
  <si>
    <t>bee_count_output/runs/selected/ANU-25-summer-16_20260329_070000_frame_flux.csv</t>
  </si>
  <si>
    <t>bee_count_output/runs/selected/ANU-25-summer-16_20260329_070000_window_3sec.csv</t>
  </si>
  <si>
    <t>ANU-25-summer-16_20260329_080000.mp4</t>
  </si>
  <si>
    <t>videos/ANU-25-summer-16_20260329_080000.mp4</t>
  </si>
  <si>
    <t>bee_count_output/runs/selected/ANU-25-summer-16_20260329_080000_preview.mp4</t>
  </si>
  <si>
    <t>bee_count_output/runs/selected/ANU-25-summer-16_20260329_080000_frame_flux.csv</t>
  </si>
  <si>
    <t>bee_count_output/runs/selected/ANU-25-summer-16_20260329_080000_window_3sec.csv</t>
  </si>
  <si>
    <t>ANU-25-summer-16_20260329_090000.mp4</t>
  </si>
  <si>
    <t>videos/ANU-25-summer-16_20260329_090000.mp4</t>
  </si>
  <si>
    <t>bee_count_output/runs/selected/ANU-25-summer-16_20260329_090000_preview.mp4</t>
  </si>
  <si>
    <t>bee_count_output/runs/selected/ANU-25-summer-16_20260329_090000_frame_flux.csv</t>
  </si>
  <si>
    <t>bee_count_output/runs/selected/ANU-25-summer-16_20260329_090000_window_3sec.csv</t>
  </si>
  <si>
    <t>ANU-25-summer-16_20260329_100000.mp4</t>
  </si>
  <si>
    <t>videos/ANU-25-summer-16_20260329_100000.mp4</t>
  </si>
  <si>
    <t>bee_count_output/runs/selected/ANU-25-summer-16_20260329_100000_preview.mp4</t>
  </si>
  <si>
    <t>bee_count_output/runs/selected/ANU-25-summer-16_20260329_100000_frame_flux.csv</t>
  </si>
  <si>
    <t>bee_count_output/runs/selected/ANU-25-summer-16_20260329_100000_window_3sec.csv</t>
  </si>
  <si>
    <t>ANU-25-summer-16_20260329_110000.mp4</t>
  </si>
  <si>
    <t>videos/ANU-25-summer-16_20260329_110000.mp4</t>
  </si>
  <si>
    <t>bee_count_output/runs/selected/ANU-25-summer-16_20260329_110000_preview.mp4</t>
  </si>
  <si>
    <t>bee_count_output/runs/selected/ANU-25-summer-16_20260329_110000_frame_flux.csv</t>
  </si>
  <si>
    <t>bee_count_output/runs/selected/ANU-25-summer-16_20260329_110000_window_3sec.csv</t>
  </si>
  <si>
    <t>ANU-25-summer-16_20260329_120000.mp4</t>
  </si>
  <si>
    <t>videos/ANU-25-summer-16_20260329_120000.mp4</t>
  </si>
  <si>
    <t>bee_count_output/runs/selected/ANU-25-summer-16_20260329_120000_preview.mp4</t>
  </si>
  <si>
    <t>bee_count_output/runs/selected/ANU-25-summer-16_20260329_120000_frame_flux.csv</t>
  </si>
  <si>
    <t>bee_count_output/runs/selected/ANU-25-summer-16_20260329_120000_window_3sec.csv</t>
  </si>
  <si>
    <t>ANU-25-summer-16_20260329_130000.mp4</t>
  </si>
  <si>
    <t>videos/ANU-25-summer-16_20260329_130000.mp4</t>
  </si>
  <si>
    <t>bee_count_output/runs/selected/ANU-25-summer-16_20260329_130000_preview.mp4</t>
  </si>
  <si>
    <t>bee_count_output/runs/selected/ANU-25-summer-16_20260329_130000_frame_flux.csv</t>
  </si>
  <si>
    <t>bee_count_output/runs/selected/ANU-25-summer-16_20260329_130000_window_3sec.csv</t>
  </si>
  <si>
    <t>ANU-25-summer-16_20260329_140000.mp4</t>
  </si>
  <si>
    <t>videos/ANU-25-summer-16_20260329_140000.mp4</t>
  </si>
  <si>
    <t>bee_count_output/runs/selected/ANU-25-summer-16_20260329_140000_preview.mp4</t>
  </si>
  <si>
    <t>bee_count_output/runs/selected/ANU-25-summer-16_20260329_140000_frame_flux.csv</t>
  </si>
  <si>
    <t>bee_count_output/runs/selected/ANU-25-summer-16_20260329_140000_window_3sec.csv</t>
  </si>
  <si>
    <t>ANU-25-summer-16_20260329_150000.mp4</t>
  </si>
  <si>
    <t>videos/ANU-25-summer-16_20260329_150000.mp4</t>
  </si>
  <si>
    <t>bee_count_output/runs/selected/ANU-25-summer-16_20260329_150000_preview.mp4</t>
  </si>
  <si>
    <t>bee_count_output/runs/selected/ANU-25-summer-16_20260329_150000_frame_flux.csv</t>
  </si>
  <si>
    <t>bee_count_output/runs/selected/ANU-25-summer-16_20260329_150000_window_3sec.csv</t>
  </si>
  <si>
    <t>ANU-25-summer-16_20260329_160000.mp4</t>
  </si>
  <si>
    <t>videos/ANU-25-summer-16_20260329_160000.mp4</t>
  </si>
  <si>
    <t>bee_count_output/runs/selected/ANU-25-summer-16_20260329_160000_preview.mp4</t>
  </si>
  <si>
    <t>bee_count_output/runs/selected/ANU-25-summer-16_20260329_160000_frame_flux.csv</t>
  </si>
  <si>
    <t>bee_count_output/runs/selected/ANU-25-summer-16_20260329_160000_window_3sec.csv</t>
  </si>
  <si>
    <t>ANU-25-summer-16_20260329_170000.mp4</t>
  </si>
  <si>
    <t>videos/ANU-25-summer-16_20260329_170000.mp4</t>
  </si>
  <si>
    <t>bee_count_output/runs/selected/ANU-25-summer-16_20260329_170000_preview.mp4</t>
  </si>
  <si>
    <t>bee_count_output/runs/selected/ANU-25-summer-16_20260329_170000_frame_flux.csv</t>
  </si>
  <si>
    <t>bee_count_output/runs/selected/ANU-25-summer-16_20260329_170000_window_3sec.csv</t>
  </si>
  <si>
    <t>ANU-25-summer-16_20260329_180000.mp4</t>
  </si>
  <si>
    <t>videos/ANU-25-summer-16_20260329_180000.mp4</t>
  </si>
  <si>
    <t>bee_count_output/runs/selected/ANU-25-summer-16_20260329_180000_preview.mp4</t>
  </si>
  <si>
    <t>bee_count_output/runs/selected/ANU-25-summer-16_20260329_180000_frame_flux.csv</t>
  </si>
  <si>
    <t>bee_count_output/runs/selected/ANU-25-summer-16_20260329_180000_window_3sec.csv</t>
  </si>
  <si>
    <t>ANU-25-summer-16_20260329_190000.mp4</t>
  </si>
  <si>
    <t>videos/ANU-25-summer-16_20260329_190000.mp4</t>
  </si>
  <si>
    <t>bee_count_output/runs/selected/ANU-25-summer-16_20260329_190000_preview.mp4</t>
  </si>
  <si>
    <t>bee_count_output/runs/selected/ANU-25-summer-16_20260329_190000_frame_flux.csv</t>
  </si>
  <si>
    <t>bee_count_output/runs/selected/ANU-25-summer-16_20260329_190000_window_3sec.csv</t>
  </si>
  <si>
    <t>ANU-25-summer-16_20260330_060000.mp4</t>
  </si>
  <si>
    <t>videos/ANU-25-summer-16_20260330_060000.mp4</t>
  </si>
  <si>
    <t>bee_count_output/runs/selected/ANU-25-summer-16_20260330_060000_preview.mp4</t>
  </si>
  <si>
    <t>bee_count_output/runs/selected/ANU-25-summer-16_20260330_060000_frame_flux.csv</t>
  </si>
  <si>
    <t>bee_count_output/runs/selected/ANU-25-summer-16_20260330_060000_window_3sec.csv</t>
  </si>
  <si>
    <t>ANU-25-summer-16_20260330_070000.mp4</t>
  </si>
  <si>
    <t>videos/ANU-25-summer-16_20260330_070000.mp4</t>
  </si>
  <si>
    <t>bee_count_output/runs/selected/ANU-25-summer-16_20260330_070000_preview.mp4</t>
  </si>
  <si>
    <t>bee_count_output/runs/selected/ANU-25-summer-16_20260330_070000_frame_flux.csv</t>
  </si>
  <si>
    <t>bee_count_output/runs/selected/ANU-25-summer-16_20260330_070000_window_3sec.csv</t>
  </si>
  <si>
    <t>ANU-25-summer-16_20260330_080000.mp4</t>
  </si>
  <si>
    <t>videos/ANU-25-summer-16_20260330_080000.mp4</t>
  </si>
  <si>
    <t>bee_count_output/runs/selected/ANU-25-summer-16_20260330_080000_preview.mp4</t>
  </si>
  <si>
    <t>bee_count_output/runs/selected/ANU-25-summer-16_20260330_080000_frame_flux.csv</t>
  </si>
  <si>
    <t>bee_count_output/runs/selected/ANU-25-summer-16_20260330_080000_window_3sec.csv</t>
  </si>
  <si>
    <t>ANU-25-summer-16_20260330_090000.mp4</t>
  </si>
  <si>
    <t>videos/ANU-25-summer-16_20260330_090000.mp4</t>
  </si>
  <si>
    <t>bee_count_output/runs/selected/ANU-25-summer-16_20260330_090000_preview.mp4</t>
  </si>
  <si>
    <t>bee_count_output/runs/selected/ANU-25-summer-16_20260330_090000_frame_flux.csv</t>
  </si>
  <si>
    <t>bee_count_output/runs/selected/ANU-25-summer-16_20260330_090000_window_3sec.csv</t>
  </si>
  <si>
    <t>ANU-25-summer-16_20260330_100000.mp4</t>
  </si>
  <si>
    <t>videos/ANU-25-summer-16_20260330_100000.mp4</t>
  </si>
  <si>
    <t>bee_count_output/runs/selected/ANU-25-summer-16_20260330_100000_preview.mp4</t>
  </si>
  <si>
    <t>bee_count_output/runs/selected/ANU-25-summer-16_20260330_100000_frame_flux.csv</t>
  </si>
  <si>
    <t>bee_count_output/runs/selected/ANU-25-summer-16_20260330_100000_window_3sec.csv</t>
  </si>
  <si>
    <t>ANU-25-summer-16_20260330_110000.mp4</t>
  </si>
  <si>
    <t>videos/ANU-25-summer-16_20260330_110000.mp4</t>
  </si>
  <si>
    <t>bee_count_output/runs/selected/ANU-25-summer-16_20260330_110000_preview.mp4</t>
  </si>
  <si>
    <t>bee_count_output/runs/selected/ANU-25-summer-16_20260330_110000_frame_flux.csv</t>
  </si>
  <si>
    <t>bee_count_output/runs/selected/ANU-25-summer-16_20260330_110000_window_3sec.csv</t>
  </si>
  <si>
    <t>ANU-25-summer-16_20260330_120000.mp4</t>
  </si>
  <si>
    <t>videos/ANU-25-summer-16_20260330_120000.mp4</t>
  </si>
  <si>
    <t>bee_count_output/runs/selected/ANU-25-summer-16_20260330_120000_preview.mp4</t>
  </si>
  <si>
    <t>bee_count_output/runs/selected/ANU-25-summer-16_20260330_120000_frame_flux.csv</t>
  </si>
  <si>
    <t>bee_count_output/runs/selected/ANU-25-summer-16_20260330_120000_window_3sec.csv</t>
  </si>
  <si>
    <t>ANU-25-summer-16_20260330_130000.mp4</t>
  </si>
  <si>
    <t>videos/ANU-25-summer-16_20260330_130000.mp4</t>
  </si>
  <si>
    <t>bee_count_output/runs/selected/ANU-25-summer-16_20260330_130000_preview.mp4</t>
  </si>
  <si>
    <t>bee_count_output/runs/selected/ANU-25-summer-16_20260330_130000_frame_flux.csv</t>
  </si>
  <si>
    <t>bee_count_output/runs/selected/ANU-25-summer-16_20260330_130000_window_3sec.csv</t>
  </si>
  <si>
    <t>ANU-25-summer-16_20260330_140000.mp4</t>
  </si>
  <si>
    <t>videos/ANU-25-summer-16_20260330_140000.mp4</t>
  </si>
  <si>
    <t>bee_count_output/runs/selected/ANU-25-summer-16_20260330_140000_preview.mp4</t>
  </si>
  <si>
    <t>bee_count_output/runs/selected/ANU-25-summer-16_20260330_140000_frame_flux.csv</t>
  </si>
  <si>
    <t>bee_count_output/runs/selected/ANU-25-summer-16_20260330_140000_window_3sec.csv</t>
  </si>
  <si>
    <t>ANU-25-summer-16_20260330_150000.mp4</t>
  </si>
  <si>
    <t>videos/ANU-25-summer-16_20260330_150000.mp4</t>
  </si>
  <si>
    <t>bee_count_output/runs/selected/ANU-25-summer-16_20260330_150000_preview.mp4</t>
  </si>
  <si>
    <t>bee_count_output/runs/selected/ANU-25-summer-16_20260330_150000_frame_flux.csv</t>
  </si>
  <si>
    <t>bee_count_output/runs/selected/ANU-25-summer-16_20260330_150000_window_3sec.csv</t>
  </si>
  <si>
    <t>ANU-25-summer-16_20260330_160000.mp4</t>
  </si>
  <si>
    <t>videos/ANU-25-summer-16_20260330_160000.mp4</t>
  </si>
  <si>
    <t>bee_count_output/runs/selected/ANU-25-summer-16_20260330_160000_preview.mp4</t>
  </si>
  <si>
    <t>bee_count_output/runs/selected/ANU-25-summer-16_20260330_160000_frame_flux.csv</t>
  </si>
  <si>
    <t>bee_count_output/runs/selected/ANU-25-summer-16_20260330_160000_window_3sec.csv</t>
  </si>
  <si>
    <t>ANU-25-summer-16_20260330_170000.mp4</t>
  </si>
  <si>
    <t>videos/ANU-25-summer-16_20260330_170000.mp4</t>
  </si>
  <si>
    <t>bee_count_output/runs/selected/ANU-25-summer-16_20260330_170000_preview.mp4</t>
  </si>
  <si>
    <t>bee_count_output/runs/selected/ANU-25-summer-16_20260330_170000_frame_flux.csv</t>
  </si>
  <si>
    <t>bee_count_output/runs/selected/ANU-25-summer-16_20260330_170000_window_3sec.csv</t>
  </si>
  <si>
    <t>ANU-25-summer-16_20260330_180000.mp4</t>
  </si>
  <si>
    <t>videos/ANU-25-summer-16_20260330_180000.mp4</t>
  </si>
  <si>
    <t>bee_count_output/runs/selected/ANU-25-summer-16_20260330_180000_preview.mp4</t>
  </si>
  <si>
    <t>bee_count_output/runs/selected/ANU-25-summer-16_20260330_180000_frame_flux.csv</t>
  </si>
  <si>
    <t>bee_count_output/runs/selected/ANU-25-summer-16_20260330_180000_window_3sec.csv</t>
  </si>
  <si>
    <t>ANU-25-summer-16_20260330_190000.mp4</t>
  </si>
  <si>
    <t>videos/ANU-25-summer-16_20260330_190000.mp4</t>
  </si>
  <si>
    <t>bee_count_output/runs/selected/ANU-25-summer-16_20260330_190000_preview.mp4</t>
  </si>
  <si>
    <t>bee_count_output/runs/selected/ANU-25-summer-16_20260330_190000_frame_flux.csv</t>
  </si>
  <si>
    <t>bee_count_output/runs/selected/ANU-25-summer-16_20260330_190000_window_3sec.csv</t>
  </si>
  <si>
    <t>ANU-25-summer-16_20260331_060000.mp4</t>
  </si>
  <si>
    <t>videos/ANU-25-summer-16_20260331_060000.mp4</t>
  </si>
  <si>
    <t>bee_count_output/runs/selected/ANU-25-summer-16_20260331_060000_preview.mp4</t>
  </si>
  <si>
    <t>bee_count_output/runs/selected/ANU-25-summer-16_20260331_060000_frame_flux.csv</t>
  </si>
  <si>
    <t>bee_count_output/runs/selected/ANU-25-summer-16_20260331_060000_window_3sec.csv</t>
  </si>
  <si>
    <t>ANU-25-summer-16_20260331_070000.mp4</t>
  </si>
  <si>
    <t>videos/ANU-25-summer-16_20260331_070000.mp4</t>
  </si>
  <si>
    <t>bee_count_output/runs/selected/ANU-25-summer-16_20260331_070000_preview.mp4</t>
  </si>
  <si>
    <t>bee_count_output/runs/selected/ANU-25-summer-16_20260331_070000_frame_flux.csv</t>
  </si>
  <si>
    <t>bee_count_output/runs/selected/ANU-25-summer-16_20260331_070000_window_3sec.csv</t>
  </si>
  <si>
    <t>ANU-25-summer-16_20260331_080000.mp4</t>
  </si>
  <si>
    <t>videos/ANU-25-summer-16_20260331_080000.mp4</t>
  </si>
  <si>
    <t>bee_count_output/runs/selected/ANU-25-summer-16_20260331_080000_preview.mp4</t>
  </si>
  <si>
    <t>bee_count_output/runs/selected/ANU-25-summer-16_20260331_080000_frame_flux.csv</t>
  </si>
  <si>
    <t>bee_count_output/runs/selected/ANU-25-summer-16_20260331_080000_window_3sec.csv</t>
  </si>
  <si>
    <t>ANU-25-summer-16_20260331_090000.mp4</t>
  </si>
  <si>
    <t>videos/ANU-25-summer-16_20260331_090000.mp4</t>
  </si>
  <si>
    <t>bee_count_output/runs/selected/ANU-25-summer-16_20260331_090000_preview.mp4</t>
  </si>
  <si>
    <t>bee_count_output/runs/selected/ANU-25-summer-16_20260331_090000_frame_flux.csv</t>
  </si>
  <si>
    <t>bee_count_output/runs/selected/ANU-25-summer-16_20260331_090000_window_3sec.csv</t>
  </si>
  <si>
    <t>ANU-25-summer-16_20260331_100000.mp4</t>
  </si>
  <si>
    <t>videos/ANU-25-summer-16_20260331_100000.mp4</t>
  </si>
  <si>
    <t>bee_count_output/runs/selected/ANU-25-summer-16_20260331_100000_preview.mp4</t>
  </si>
  <si>
    <t>bee_count_output/runs/selected/ANU-25-summer-16_20260331_100000_frame_flux.csv</t>
  </si>
  <si>
    <t>bee_count_output/runs/selected/ANU-25-summer-16_20260331_100000_window_3sec.csv</t>
  </si>
  <si>
    <t>ANU-25-summer-16_20260331_110000.mp4</t>
  </si>
  <si>
    <t>videos/ANU-25-summer-16_20260331_110000.mp4</t>
  </si>
  <si>
    <t>bee_count_output/runs/selected/ANU-25-summer-16_20260331_110000_preview.mp4</t>
  </si>
  <si>
    <t>bee_count_output/runs/selected/ANU-25-summer-16_20260331_110000_frame_flux.csv</t>
  </si>
  <si>
    <t>bee_count_output/runs/selected/ANU-25-summer-16_20260331_110000_window_3sec.csv</t>
  </si>
  <si>
    <t>ANU-25-summer-16_20260331_120000.mp4</t>
  </si>
  <si>
    <t>videos/ANU-25-summer-16_20260331_120000.mp4</t>
  </si>
  <si>
    <t>bee_count_output/runs/selected/ANU-25-summer-16_20260331_120000_preview.mp4</t>
  </si>
  <si>
    <t>bee_count_output/runs/selected/ANU-25-summer-16_20260331_120000_frame_flux.csv</t>
  </si>
  <si>
    <t>bee_count_output/runs/selected/ANU-25-summer-16_20260331_120000_window_3sec.csv</t>
  </si>
  <si>
    <t>ANU-25-summer-16_20260331_130000.mp4</t>
  </si>
  <si>
    <t>videos/ANU-25-summer-16_20260331_130000.mp4</t>
  </si>
  <si>
    <t>bee_count_output/runs/selected/ANU-25-summer-16_20260331_130000_preview.mp4</t>
  </si>
  <si>
    <t>bee_count_output/runs/selected/ANU-25-summer-16_20260331_130000_frame_flux.csv</t>
  </si>
  <si>
    <t>bee_count_output/runs/selected/ANU-25-summer-16_20260331_130000_window_3sec.csv</t>
  </si>
  <si>
    <t>ANU-25-summer-16_20260331_140000.mp4</t>
  </si>
  <si>
    <t>videos/ANU-25-summer-16_20260331_140000.mp4</t>
  </si>
  <si>
    <t>bee_count_output/runs/selected/ANU-25-summer-16_20260331_140000_preview.mp4</t>
  </si>
  <si>
    <t>bee_count_output/runs/selected/ANU-25-summer-16_20260331_140000_frame_flux.csv</t>
  </si>
  <si>
    <t>bee_count_output/runs/selected/ANU-25-summer-16_20260331_140000_window_3sec.csv</t>
  </si>
  <si>
    <t>ANU-25-summer-16_20260331_150000.mp4</t>
  </si>
  <si>
    <t>videos/ANU-25-summer-16_20260331_150000.mp4</t>
  </si>
  <si>
    <t>bee_count_output/runs/selected/ANU-25-summer-16_20260331_150000_preview.mp4</t>
  </si>
  <si>
    <t>bee_count_output/runs/selected/ANU-25-summer-16_20260331_150000_frame_flux.csv</t>
  </si>
  <si>
    <t>bee_count_output/runs/selected/ANU-25-summer-16_20260331_150000_window_3sec.csv</t>
  </si>
  <si>
    <t>ANU-25-summer-16_20260331_160000.mp4</t>
  </si>
  <si>
    <t>videos/ANU-25-summer-16_20260331_160000.mp4</t>
  </si>
  <si>
    <t>bee_count_output/runs/selected/ANU-25-summer-16_20260331_160000_preview.mp4</t>
  </si>
  <si>
    <t>bee_count_output/runs/selected/ANU-25-summer-16_20260331_160000_frame_flux.csv</t>
  </si>
  <si>
    <t>bee_count_output/runs/selected/ANU-25-summer-16_20260331_160000_window_3sec.csv</t>
  </si>
  <si>
    <t>ANU-25-summer-16_20260331_170000.mp4</t>
  </si>
  <si>
    <t>videos/ANU-25-summer-16_20260331_170000.mp4</t>
  </si>
  <si>
    <t>bee_count_output/runs/selected/ANU-25-summer-16_20260331_170000_preview.mp4</t>
  </si>
  <si>
    <t>bee_count_output/runs/selected/ANU-25-summer-16_20260331_170000_frame_flux.csv</t>
  </si>
  <si>
    <t>bee_count_output/runs/selected/ANU-25-summer-16_20260331_170000_window_3sec.csv</t>
  </si>
  <si>
    <t>ANU-25-summer-16_20260331_180000.mp4</t>
  </si>
  <si>
    <t>videos/ANU-25-summer-16_20260331_180000.mp4</t>
  </si>
  <si>
    <t>bee_count_output/runs/selected/ANU-25-summer-16_20260331_180000_preview.mp4</t>
  </si>
  <si>
    <t>bee_count_output/runs/selected/ANU-25-summer-16_20260331_180000_frame_flux.csv</t>
  </si>
  <si>
    <t>bee_count_output/runs/selected/ANU-25-summer-16_20260331_180000_window_3sec.csv</t>
  </si>
  <si>
    <t>ANU-25-summer-16_20260331_190000.mp4</t>
  </si>
  <si>
    <t>videos/ANU-25-summer-16_20260331_190000.mp4</t>
  </si>
  <si>
    <t>bee_count_output/runs/selected/ANU-25-summer-16_20260331_190000_preview.mp4</t>
  </si>
  <si>
    <t>bee_count_output/runs/selected/ANU-25-summer-16_20260331_190000_frame_flux.csv</t>
  </si>
  <si>
    <t>bee_count_output/runs/selected/ANU-25-summer-16_20260331_190000_window_3sec.csv</t>
  </si>
  <si>
    <t>ANU-25-summer-16_20260401_060000.mp4</t>
  </si>
  <si>
    <t>videos/ANU-25-summer-16_20260401_060000.mp4</t>
  </si>
  <si>
    <t>bee_count_output/runs/selected/ANU-25-summer-16_20260401_060000_preview.mp4</t>
  </si>
  <si>
    <t>bee_count_output/runs/selected/ANU-25-summer-16_20260401_060000_frame_flux.csv</t>
  </si>
  <si>
    <t>bee_count_output/runs/selected/ANU-25-summer-16_20260401_060000_window_3sec.csv</t>
  </si>
  <si>
    <t>ANU-25-summer-16_20260401_070000.mp4</t>
  </si>
  <si>
    <t>videos/ANU-25-summer-16_20260401_070000.mp4</t>
  </si>
  <si>
    <t>bee_count_output/runs/selected/ANU-25-summer-16_20260401_070000_preview.mp4</t>
  </si>
  <si>
    <t>bee_count_output/runs/selected/ANU-25-summer-16_20260401_070000_frame_flux.csv</t>
  </si>
  <si>
    <t>bee_count_output/runs/selected/ANU-25-summer-16_20260401_070000_window_3sec.csv</t>
  </si>
  <si>
    <t>ANU-25-summer-16_20260401_080000.mp4</t>
  </si>
  <si>
    <t>videos/ANU-25-summer-16_20260401_080000.mp4</t>
  </si>
  <si>
    <t>bee_count_output/runs/selected/ANU-25-summer-16_20260401_080000_preview.mp4</t>
  </si>
  <si>
    <t>bee_count_output/runs/selected/ANU-25-summer-16_20260401_080000_frame_flux.csv</t>
  </si>
  <si>
    <t>bee_count_output/runs/selected/ANU-25-summer-16_20260401_080000_window_3sec.csv</t>
  </si>
  <si>
    <t>ANU-25-summer-16_20260401_090000.mp4</t>
  </si>
  <si>
    <t>videos/ANU-25-summer-16_20260401_090000.mp4</t>
  </si>
  <si>
    <t>bee_count_output/runs/selected/ANU-25-summer-16_20260401_090000_preview.mp4</t>
  </si>
  <si>
    <t>bee_count_output/runs/selected/ANU-25-summer-16_20260401_090000_frame_flux.csv</t>
  </si>
  <si>
    <t>bee_count_output/runs/selected/ANU-25-summer-16_20260401_090000_window_3sec.csv</t>
  </si>
  <si>
    <t>ANU-25-summer-16_20260401_100000.mp4</t>
  </si>
  <si>
    <t>videos/ANU-25-summer-16_20260401_100000.mp4</t>
  </si>
  <si>
    <t>bee_count_output/runs/selected/ANU-25-summer-16_20260401_100000_preview.mp4</t>
  </si>
  <si>
    <t>bee_count_output/runs/selected/ANU-25-summer-16_20260401_100000_frame_flux.csv</t>
  </si>
  <si>
    <t>bee_count_output/runs/selected/ANU-25-summer-16_20260401_100000_window_3sec.csv</t>
  </si>
  <si>
    <t>ANU-25-summer-16_20260401_110000.mp4</t>
  </si>
  <si>
    <t>videos/ANU-25-summer-16_20260401_110000.mp4</t>
  </si>
  <si>
    <t>bee_count_output/runs/selected/ANU-25-summer-16_20260401_110000_preview.mp4</t>
  </si>
  <si>
    <t>bee_count_output/runs/selected/ANU-25-summer-16_20260401_110000_frame_flux.csv</t>
  </si>
  <si>
    <t>bee_count_output/runs/selected/ANU-25-summer-16_20260401_110000_window_3sec.csv</t>
  </si>
  <si>
    <t>ANU-25-summer-16_20260401_120000.mp4</t>
  </si>
  <si>
    <t>videos/ANU-25-summer-16_20260401_120000.mp4</t>
  </si>
  <si>
    <t>bee_count_output/runs/selected/ANU-25-summer-16_20260401_120000_preview.mp4</t>
  </si>
  <si>
    <t>bee_count_output/runs/selected/ANU-25-summer-16_20260401_120000_frame_flux.csv</t>
  </si>
  <si>
    <t>bee_count_output/runs/selected/ANU-25-summer-16_20260401_120000_window_3sec.csv</t>
  </si>
  <si>
    <t>ANU-25-summer-16_20260401_130000.mp4</t>
  </si>
  <si>
    <t>videos/ANU-25-summer-16_20260401_130000.mp4</t>
  </si>
  <si>
    <t>bee_count_output/runs/selected/ANU-25-summer-16_20260401_130000_preview.mp4</t>
  </si>
  <si>
    <t>bee_count_output/runs/selected/ANU-25-summer-16_20260401_130000_frame_flux.csv</t>
  </si>
  <si>
    <t>bee_count_output/runs/selected/ANU-25-summer-16_20260401_130000_window_3sec.csv</t>
  </si>
  <si>
    <t>ANU-25-summer-16_20260401_140000.mp4</t>
  </si>
  <si>
    <t>videos/ANU-25-summer-16_20260401_140000.mp4</t>
  </si>
  <si>
    <t>bee_count_output/runs/selected/ANU-25-summer-16_20260401_140000_preview.mp4</t>
  </si>
  <si>
    <t>bee_count_output/runs/selected/ANU-25-summer-16_20260401_140000_frame_flux.csv</t>
  </si>
  <si>
    <t>bee_count_output/runs/selected/ANU-25-summer-16_20260401_140000_window_3sec.csv</t>
  </si>
  <si>
    <t>ANU-25-summer-16_20260401_150000.mp4</t>
  </si>
  <si>
    <t>videos/ANU-25-summer-16_20260401_150000.mp4</t>
  </si>
  <si>
    <t>bee_count_output/runs/selected/ANU-25-summer-16_20260401_150000_preview.mp4</t>
  </si>
  <si>
    <t>bee_count_output/runs/selected/ANU-25-summer-16_20260401_150000_frame_flux.csv</t>
  </si>
  <si>
    <t>bee_count_output/runs/selected/ANU-25-summer-16_20260401_150000_window_3sec.csv</t>
  </si>
  <si>
    <t>ANU-25-summer-16_20260401_160000.mp4</t>
  </si>
  <si>
    <t>videos/ANU-25-summer-16_20260401_160000.mp4</t>
  </si>
  <si>
    <t>bee_count_output/runs/selected/ANU-25-summer-16_20260401_160000_preview.mp4</t>
  </si>
  <si>
    <t>bee_count_output/runs/selected/ANU-25-summer-16_20260401_160000_frame_flux.csv</t>
  </si>
  <si>
    <t>bee_count_output/runs/selected/ANU-25-summer-16_20260401_160000_window_3sec.csv</t>
  </si>
  <si>
    <t>ANU-25-summer-16_20260401_170000.mp4</t>
  </si>
  <si>
    <t>videos/ANU-25-summer-16_20260401_170000.mp4</t>
  </si>
  <si>
    <t>bee_count_output/runs/selected/ANU-25-summer-16_20260401_170000_preview.mp4</t>
  </si>
  <si>
    <t>bee_count_output/runs/selected/ANU-25-summer-16_20260401_170000_frame_flux.csv</t>
  </si>
  <si>
    <t>bee_count_output/runs/selected/ANU-25-summer-16_20260401_170000_window_3sec.csv</t>
  </si>
  <si>
    <t>ANU-25-summer-16_20260401_180000.mp4</t>
  </si>
  <si>
    <t>videos/ANU-25-summer-16_20260401_180000.mp4</t>
  </si>
  <si>
    <t>bee_count_output/runs/selected/ANU-25-summer-16_20260401_180000_preview.mp4</t>
  </si>
  <si>
    <t>bee_count_output/runs/selected/ANU-25-summer-16_20260401_180000_frame_flux.csv</t>
  </si>
  <si>
    <t>bee_count_output/runs/selected/ANU-25-summer-16_20260401_180000_window_3sec.csv</t>
  </si>
  <si>
    <t>ANU-25-summer-16_20260401_190000.mp4</t>
  </si>
  <si>
    <t>videos/ANU-25-summer-16_20260401_190000.mp4</t>
  </si>
  <si>
    <t>bee_count_output/runs/selected/ANU-25-summer-16_20260401_190000_preview.mp4</t>
  </si>
  <si>
    <t>bee_count_output/runs/selected/ANU-25-summer-16_20260401_190000_frame_flux.csv</t>
  </si>
  <si>
    <t>bee_count_output/runs/selected/ANU-25-summer-16_20260401_190000_window_3sec.csv</t>
  </si>
  <si>
    <t>ANU-25-summer-16_20260402_060000.mp4</t>
  </si>
  <si>
    <t>videos/ANU-25-summer-16_20260402_060000.mp4</t>
  </si>
  <si>
    <t>bee_count_output/runs/selected/ANU-25-summer-16_20260402_060000_preview.mp4</t>
  </si>
  <si>
    <t>bee_count_output/runs/selected/ANU-25-summer-16_20260402_060000_frame_flux.csv</t>
  </si>
  <si>
    <t>bee_count_output/runs/selected/ANU-25-summer-16_20260402_060000_window_3sec.csv</t>
  </si>
  <si>
    <t>ANU-25-summer-16_20260402_070000.mp4</t>
  </si>
  <si>
    <t>videos/ANU-25-summer-16_20260402_070000.mp4</t>
  </si>
  <si>
    <t>bee_count_output/runs/selected/ANU-25-summer-16_20260402_070000_preview.mp4</t>
  </si>
  <si>
    <t>bee_count_output/runs/selected/ANU-25-summer-16_20260402_070000_frame_flux.csv</t>
  </si>
  <si>
    <t>bee_count_output/runs/selected/ANU-25-summer-16_20260402_070000_window_3sec.csv</t>
  </si>
  <si>
    <t>ANU-25-summer-16_20260402_080000.mp4</t>
  </si>
  <si>
    <t>videos/ANU-25-summer-16_20260402_080000.mp4</t>
  </si>
  <si>
    <t>bee_count_output/runs/selected/ANU-25-summer-16_20260402_080000_preview.mp4</t>
  </si>
  <si>
    <t>bee_count_output/runs/selected/ANU-25-summer-16_20260402_080000_frame_flux.csv</t>
  </si>
  <si>
    <t>bee_count_output/runs/selected/ANU-25-summer-16_20260402_080000_window_3sec.csv</t>
  </si>
  <si>
    <t>ANU-25-summer-16_20260402_090000.mp4</t>
  </si>
  <si>
    <t>videos/ANU-25-summer-16_20260402_090000.mp4</t>
  </si>
  <si>
    <t>bee_count_output/runs/selected/ANU-25-summer-16_20260402_090000_preview.mp4</t>
  </si>
  <si>
    <t>bee_count_output/runs/selected/ANU-25-summer-16_20260402_090000_frame_flux.csv</t>
  </si>
  <si>
    <t>bee_count_output/runs/selected/ANU-25-summer-16_20260402_090000_window_3sec.csv</t>
  </si>
  <si>
    <t>ANU-25-summer-16_20260402_100000.mp4</t>
  </si>
  <si>
    <t>videos/ANU-25-summer-16_20260402_100000.mp4</t>
  </si>
  <si>
    <t>bee_count_output/runs/selected/ANU-25-summer-16_20260402_100000_preview.mp4</t>
  </si>
  <si>
    <t>bee_count_output/runs/selected/ANU-25-summer-16_20260402_100000_frame_flux.csv</t>
  </si>
  <si>
    <t>bee_count_output/runs/selected/ANU-25-summer-16_20260402_100000_window_3sec.csv</t>
  </si>
  <si>
    <t>ANU-25-summer-16_20260402_110000.mp4</t>
  </si>
  <si>
    <t>videos/ANU-25-summer-16_20260402_110000.mp4</t>
  </si>
  <si>
    <t>bee_count_output/runs/selected/ANU-25-summer-16_20260402_110000_preview.mp4</t>
  </si>
  <si>
    <t>bee_count_output/runs/selected/ANU-25-summer-16_20260402_110000_frame_flux.csv</t>
  </si>
  <si>
    <t>bee_count_output/runs/selected/ANU-25-summer-16_20260402_110000_window_3sec.csv</t>
  </si>
  <si>
    <t>ANU-25-summer-16_20260402_120000.mp4</t>
  </si>
  <si>
    <t>videos/ANU-25-summer-16_20260402_120000.mp4</t>
  </si>
  <si>
    <t>bee_count_output/runs/selected/ANU-25-summer-16_20260402_120000_preview.mp4</t>
  </si>
  <si>
    <t>bee_count_output/runs/selected/ANU-25-summer-16_20260402_120000_frame_flux.csv</t>
  </si>
  <si>
    <t>bee_count_output/runs/selected/ANU-25-summer-16_20260402_120000_window_3sec.csv</t>
  </si>
  <si>
    <t>ANU-25-summer-16_20260402_130000.mp4</t>
  </si>
  <si>
    <t>videos/ANU-25-summer-16_20260402_130000.mp4</t>
  </si>
  <si>
    <t>bee_count_output/runs/selected/ANU-25-summer-16_20260402_130000_preview.mp4</t>
  </si>
  <si>
    <t>bee_count_output/runs/selected/ANU-25-summer-16_20260402_130000_frame_flux.csv</t>
  </si>
  <si>
    <t>bee_count_output/runs/selected/ANU-25-summer-16_20260402_130000_window_3sec.csv</t>
  </si>
  <si>
    <t>ANU-25-summer-16_20260402_140000.mp4</t>
  </si>
  <si>
    <t>videos/ANU-25-summer-16_20260402_140000.mp4</t>
  </si>
  <si>
    <t>bee_count_output/runs/selected/ANU-25-summer-16_20260402_140000_preview.mp4</t>
  </si>
  <si>
    <t>bee_count_output/runs/selected/ANU-25-summer-16_20260402_140000_frame_flux.csv</t>
  </si>
  <si>
    <t>bee_count_output/runs/selected/ANU-25-summer-16_20260402_140000_window_3sec.csv</t>
  </si>
  <si>
    <t>ANU-25-summer-16_20260402_150000.mp4</t>
  </si>
  <si>
    <t>videos/ANU-25-summer-16_20260402_150000.mp4</t>
  </si>
  <si>
    <t>bee_count_output/runs/selected/ANU-25-summer-16_20260402_150000_preview.mp4</t>
  </si>
  <si>
    <t>bee_count_output/runs/selected/ANU-25-summer-16_20260402_150000_frame_flux.csv</t>
  </si>
  <si>
    <t>bee_count_output/runs/selected/ANU-25-summer-16_20260402_150000_window_3sec.csv</t>
  </si>
  <si>
    <t>ANU-25-summer-16_20260402_160000.mp4</t>
  </si>
  <si>
    <t>videos/ANU-25-summer-16_20260402_160000.mp4</t>
  </si>
  <si>
    <t>bee_count_output/runs/selected/ANU-25-summer-16_20260402_160000_preview.mp4</t>
  </si>
  <si>
    <t>bee_count_output/runs/selected/ANU-25-summer-16_20260402_160000_frame_flux.csv</t>
  </si>
  <si>
    <t>bee_count_output/runs/selected/ANU-25-summer-16_20260402_160000_window_3sec.csv</t>
  </si>
  <si>
    <t>ANU-25-summer-16_20260402_170000.mp4</t>
  </si>
  <si>
    <t>videos/ANU-25-summer-16_20260402_170000.mp4</t>
  </si>
  <si>
    <t>bee_count_output/runs/selected/ANU-25-summer-16_20260402_170000_preview.mp4</t>
  </si>
  <si>
    <t>bee_count_output/runs/selected/ANU-25-summer-16_20260402_170000_frame_flux.csv</t>
  </si>
  <si>
    <t>bee_count_output/runs/selected/ANU-25-summer-16_20260402_170000_window_3sec.csv</t>
  </si>
  <si>
    <t>ANU-25-summer-16_20260402_180000.mp4</t>
  </si>
  <si>
    <t>videos/ANU-25-summer-16_20260402_180000.mp4</t>
  </si>
  <si>
    <t>bee_count_output/runs/selected/ANU-25-summer-16_20260402_180000_preview.mp4</t>
  </si>
  <si>
    <t>bee_count_output/runs/selected/ANU-25-summer-16_20260402_180000_frame_flux.csv</t>
  </si>
  <si>
    <t>bee_count_output/runs/selected/ANU-25-summer-16_20260402_180000_window_3sec.csv</t>
  </si>
  <si>
    <t>ANU-25-summer-16_20260402_190000.mp4</t>
  </si>
  <si>
    <t>videos/ANU-25-summer-16_20260402_190000.mp4</t>
  </si>
  <si>
    <t>bee_count_output/runs/selected/ANU-25-summer-16_20260402_190000_preview.mp4</t>
  </si>
  <si>
    <t>bee_count_output/runs/selected/ANU-25-summer-16_20260402_190000_frame_flux.csv</t>
  </si>
  <si>
    <t>bee_count_output/runs/selected/ANU-25-summer-16_20260402_190000_window_3sec.csv</t>
  </si>
  <si>
    <t>ANU-25-summer-16_20260403_060000.mp4</t>
  </si>
  <si>
    <t>videos/ANU-25-summer-16_20260403_060000.mp4</t>
  </si>
  <si>
    <t>bee_count_output/runs/selected/ANU-25-summer-16_20260403_060000_preview.mp4</t>
  </si>
  <si>
    <t>bee_count_output/runs/selected/ANU-25-summer-16_20260403_060000_frame_flux.csv</t>
  </si>
  <si>
    <t>bee_count_output/runs/selected/ANU-25-summer-16_20260403_060000_window_3sec.csv</t>
  </si>
  <si>
    <t>ANU-25-summer-16_20260403_070000.mp4</t>
  </si>
  <si>
    <t>videos/ANU-25-summer-16_20260403_070000.mp4</t>
  </si>
  <si>
    <t>bee_count_output/runs/selected/ANU-25-summer-16_20260403_070000_preview.mp4</t>
  </si>
  <si>
    <t>bee_count_output/runs/selected/ANU-25-summer-16_20260403_070000_frame_flux.csv</t>
  </si>
  <si>
    <t>bee_count_output/runs/selected/ANU-25-summer-16_20260403_070000_window_3sec.csv</t>
  </si>
  <si>
    <t>ANU-25-summer-16_20260403_080000.mp4</t>
  </si>
  <si>
    <t>videos/ANU-25-summer-16_20260403_080000.mp4</t>
  </si>
  <si>
    <t>bee_count_output/runs/selected/ANU-25-summer-16_20260403_080000_preview.mp4</t>
  </si>
  <si>
    <t>bee_count_output/runs/selected/ANU-25-summer-16_20260403_080000_frame_flux.csv</t>
  </si>
  <si>
    <t>bee_count_output/runs/selected/ANU-25-summer-16_20260403_080000_window_3sec.csv</t>
  </si>
  <si>
    <t>ANU-25-summer-16_20260403_090000.mp4</t>
  </si>
  <si>
    <t>videos/ANU-25-summer-16_20260403_090000.mp4</t>
  </si>
  <si>
    <t>bee_count_output/runs/selected/ANU-25-summer-16_20260403_090000_preview.mp4</t>
  </si>
  <si>
    <t>bee_count_output/runs/selected/ANU-25-summer-16_20260403_090000_frame_flux.csv</t>
  </si>
  <si>
    <t>bee_count_output/runs/selected/ANU-25-summer-16_20260403_090000_window_3sec.csv</t>
  </si>
  <si>
    <t>ANU-25-summer-16_20260403_100000.mp4</t>
  </si>
  <si>
    <t>videos/ANU-25-summer-16_20260403_100000.mp4</t>
  </si>
  <si>
    <t>bee_count_output/runs/selected/ANU-25-summer-16_20260403_100000_preview.mp4</t>
  </si>
  <si>
    <t>bee_count_output/runs/selected/ANU-25-summer-16_20260403_100000_frame_flux.csv</t>
  </si>
  <si>
    <t>bee_count_output/runs/selected/ANU-25-summer-16_20260403_100000_window_3sec.csv</t>
  </si>
  <si>
    <t>ANU-25-summer-16_20260403_110000.mp4</t>
  </si>
  <si>
    <t>videos/ANU-25-summer-16_20260403_110000.mp4</t>
  </si>
  <si>
    <t>bee_count_output/runs/selected/ANU-25-summer-16_20260403_110000_preview.mp4</t>
  </si>
  <si>
    <t>bee_count_output/runs/selected/ANU-25-summer-16_20260403_110000_frame_flux.csv</t>
  </si>
  <si>
    <t>bee_count_output/runs/selected/ANU-25-summer-16_20260403_110000_window_3sec.csv</t>
  </si>
  <si>
    <t>ANU-25-summer-16_20260403_120000.mp4</t>
  </si>
  <si>
    <t>videos/ANU-25-summer-16_20260403_120000.mp4</t>
  </si>
  <si>
    <t>bee_count_output/runs/selected/ANU-25-summer-16_20260403_120000_preview.mp4</t>
  </si>
  <si>
    <t>bee_count_output/runs/selected/ANU-25-summer-16_20260403_120000_frame_flux.csv</t>
  </si>
  <si>
    <t>bee_count_output/runs/selected/ANU-25-summer-16_20260403_120000_window_3sec.csv</t>
  </si>
  <si>
    <t>ANU-25-summer-16_20260403_130000.mp4</t>
  </si>
  <si>
    <t>videos/ANU-25-summer-16_20260403_130000.mp4</t>
  </si>
  <si>
    <t>bee_count_output/runs/selected/ANU-25-summer-16_20260403_130000_preview.mp4</t>
  </si>
  <si>
    <t>bee_count_output/runs/selected/ANU-25-summer-16_20260403_130000_frame_flux.csv</t>
  </si>
  <si>
    <t>bee_count_output/runs/selected/ANU-25-summer-16_20260403_130000_window_3sec.csv</t>
  </si>
  <si>
    <t>ANU-25-summer-16_20260403_140000.mp4</t>
  </si>
  <si>
    <t>videos/ANU-25-summer-16_20260403_140000.mp4</t>
  </si>
  <si>
    <t>bee_count_output/runs/selected/ANU-25-summer-16_20260403_140000_preview.mp4</t>
  </si>
  <si>
    <t>bee_count_output/runs/selected/ANU-25-summer-16_20260403_140000_frame_flux.csv</t>
  </si>
  <si>
    <t>bee_count_output/runs/selected/ANU-25-summer-16_20260403_140000_window_3sec.csv</t>
  </si>
  <si>
    <t>ANU-25-summer-16_20260403_150000.mp4</t>
  </si>
  <si>
    <t>videos/ANU-25-summer-16_20260403_150000.mp4</t>
  </si>
  <si>
    <t>bee_count_output/runs/selected/ANU-25-summer-16_20260403_150000_preview.mp4</t>
  </si>
  <si>
    <t>bee_count_output/runs/selected/ANU-25-summer-16_20260403_150000_frame_flux.csv</t>
  </si>
  <si>
    <t>bee_count_output/runs/selected/ANU-25-summer-16_20260403_150000_window_3sec.csv</t>
  </si>
  <si>
    <t>ANU-25-summer-16_20260403_160000.mp4</t>
  </si>
  <si>
    <t>videos/ANU-25-summer-16_20260403_160000.mp4</t>
  </si>
  <si>
    <t>bee_count_output/runs/selected/ANU-25-summer-16_20260403_160000_preview.mp4</t>
  </si>
  <si>
    <t>bee_count_output/runs/selected/ANU-25-summer-16_20260403_160000_frame_flux.csv</t>
  </si>
  <si>
    <t>bee_count_output/runs/selected/ANU-25-summer-16_20260403_160000_window_3sec.csv</t>
  </si>
  <si>
    <t>ANU-25-summer-16_20260403_170000.mp4</t>
  </si>
  <si>
    <t>videos/ANU-25-summer-16_20260403_170000.mp4</t>
  </si>
  <si>
    <t>bee_count_output/runs/selected/ANU-25-summer-16_20260403_170000_preview.mp4</t>
  </si>
  <si>
    <t>bee_count_output/runs/selected/ANU-25-summer-16_20260403_170000_frame_flux.csv</t>
  </si>
  <si>
    <t>bee_count_output/runs/selected/ANU-25-summer-16_20260403_170000_window_3sec.csv</t>
  </si>
  <si>
    <t>ANU-25-summer-16_20260403_180000.mp4</t>
  </si>
  <si>
    <t>videos/ANU-25-summer-16_20260403_180000.mp4</t>
  </si>
  <si>
    <t>bee_count_output/runs/selected/ANU-25-summer-16_20260403_180000_preview.mp4</t>
  </si>
  <si>
    <t>bee_count_output/runs/selected/ANU-25-summer-16_20260403_180000_frame_flux.csv</t>
  </si>
  <si>
    <t>bee_count_output/runs/selected/ANU-25-summer-16_20260403_180000_window_3sec.csv</t>
  </si>
  <si>
    <t>ANU-25-summer-16_20260403_190000.mp4</t>
  </si>
  <si>
    <t>videos/ANU-25-summer-16_20260403_190000.mp4</t>
  </si>
  <si>
    <t>bee_count_output/runs/selected/ANU-25-summer-16_20260403_190000_preview.mp4</t>
  </si>
  <si>
    <t>bee_count_output/runs/selected/ANU-25-summer-16_20260403_190000_frame_flux.csv</t>
  </si>
  <si>
    <t>bee_count_output/runs/selected/ANU-25-summer-16_20260403_190000_window_3sec.csv</t>
  </si>
  <si>
    <t>ANU-25-summer-16_20260404_060000.mp4</t>
  </si>
  <si>
    <t>videos/ANU-25-summer-16_20260404_060000.mp4</t>
  </si>
  <si>
    <t>bee_count_output/runs/selected/ANU-25-summer-16_20260404_060000_preview.mp4</t>
  </si>
  <si>
    <t>bee_count_output/runs/selected/ANU-25-summer-16_20260404_060000_frame_flux.csv</t>
  </si>
  <si>
    <t>bee_count_output/runs/selected/ANU-25-summer-16_20260404_060000_window_3sec.csv</t>
  </si>
  <si>
    <t>ANU-25-summer-16_20260404_070000.mp4</t>
  </si>
  <si>
    <t>videos/ANU-25-summer-16_20260404_070000.mp4</t>
  </si>
  <si>
    <t>bee_count_output/runs/selected/ANU-25-summer-16_20260404_070000_preview.mp4</t>
  </si>
  <si>
    <t>bee_count_output/runs/selected/ANU-25-summer-16_20260404_070000_frame_flux.csv</t>
  </si>
  <si>
    <t>bee_count_output/runs/selected/ANU-25-summer-16_20260404_070000_window_3sec.csv</t>
  </si>
  <si>
    <t>ANU-25-summer-16_20260404_080000.mp4</t>
  </si>
  <si>
    <t>videos/ANU-25-summer-16_20260404_080000.mp4</t>
  </si>
  <si>
    <t>bee_count_output/runs/selected/ANU-25-summer-16_20260404_080000_preview.mp4</t>
  </si>
  <si>
    <t>bee_count_output/runs/selected/ANU-25-summer-16_20260404_080000_frame_flux.csv</t>
  </si>
  <si>
    <t>bee_count_output/runs/selected/ANU-25-summer-16_20260404_080000_window_3sec.csv</t>
  </si>
  <si>
    <t>ANU-25-summer-16_20260404_090000.mp4</t>
  </si>
  <si>
    <t>videos/ANU-25-summer-16_20260404_090000.mp4</t>
  </si>
  <si>
    <t>bee_count_output/runs/selected/ANU-25-summer-16_20260404_090000_preview.mp4</t>
  </si>
  <si>
    <t>bee_count_output/runs/selected/ANU-25-summer-16_20260404_090000_frame_flux.csv</t>
  </si>
  <si>
    <t>bee_count_output/runs/selected/ANU-25-summer-16_20260404_090000_window_3sec.csv</t>
  </si>
  <si>
    <t>ANU-25-summer-16_20260404_100000.mp4</t>
  </si>
  <si>
    <t>videos/ANU-25-summer-16_20260404_100000.mp4</t>
  </si>
  <si>
    <t>bee_count_output/runs/selected/ANU-25-summer-16_20260404_100000_preview.mp4</t>
  </si>
  <si>
    <t>bee_count_output/runs/selected/ANU-25-summer-16_20260404_100000_frame_flux.csv</t>
  </si>
  <si>
    <t>bee_count_output/runs/selected/ANU-25-summer-16_20260404_100000_window_3sec.csv</t>
  </si>
  <si>
    <t>ANU-25-summer-16_20260404_110000.mp4</t>
  </si>
  <si>
    <t>videos/ANU-25-summer-16_20260404_110000.mp4</t>
  </si>
  <si>
    <t>bee_count_output/runs/selected/ANU-25-summer-16_20260404_110000_preview.mp4</t>
  </si>
  <si>
    <t>bee_count_output/runs/selected/ANU-25-summer-16_20260404_110000_frame_flux.csv</t>
  </si>
  <si>
    <t>bee_count_output/runs/selected/ANU-25-summer-16_20260404_110000_window_3sec.csv</t>
  </si>
  <si>
    <t>ANU-25-summer-16_20260404_120000.mp4</t>
  </si>
  <si>
    <t>videos/ANU-25-summer-16_20260404_120000.mp4</t>
  </si>
  <si>
    <t>bee_count_output/runs/selected/ANU-25-summer-16_20260404_120000_preview.mp4</t>
  </si>
  <si>
    <t>bee_count_output/runs/selected/ANU-25-summer-16_20260404_120000_frame_flux.csv</t>
  </si>
  <si>
    <t>bee_count_output/runs/selected/ANU-25-summer-16_20260404_120000_window_3sec.csv</t>
  </si>
  <si>
    <t>ANU-25-summer-16_20260404_130000.mp4</t>
  </si>
  <si>
    <t>videos/ANU-25-summer-16_20260404_130000.mp4</t>
  </si>
  <si>
    <t>bee_count_output/runs/selected/ANU-25-summer-16_20260404_130000_preview.mp4</t>
  </si>
  <si>
    <t>bee_count_output/runs/selected/ANU-25-summer-16_20260404_130000_frame_flux.csv</t>
  </si>
  <si>
    <t>bee_count_output/runs/selected/ANU-25-summer-16_20260404_130000_window_3sec.csv</t>
  </si>
  <si>
    <t>ANU-25-summer-16_20260404_140000.mp4</t>
  </si>
  <si>
    <t>videos/ANU-25-summer-16_20260404_140000.mp4</t>
  </si>
  <si>
    <t>bee_count_output/runs/selected/ANU-25-summer-16_20260404_140000_preview.mp4</t>
  </si>
  <si>
    <t>bee_count_output/runs/selected/ANU-25-summer-16_20260404_140000_frame_flux.csv</t>
  </si>
  <si>
    <t>bee_count_output/runs/selected/ANU-25-summer-16_20260404_140000_window_3sec.csv</t>
  </si>
  <si>
    <t>ANU-25-summer-16_20260404_150000.mp4</t>
  </si>
  <si>
    <t>videos/ANU-25-summer-16_20260404_150000.mp4</t>
  </si>
  <si>
    <t>bee_count_output/runs/selected/ANU-25-summer-16_20260404_150000_preview.mp4</t>
  </si>
  <si>
    <t>bee_count_output/runs/selected/ANU-25-summer-16_20260404_150000_frame_flux.csv</t>
  </si>
  <si>
    <t>bee_count_output/runs/selected/ANU-25-summer-16_20260404_150000_window_3sec.csv</t>
  </si>
  <si>
    <t>ANU-25-summer-16_20260404_160000.mp4</t>
  </si>
  <si>
    <t>videos/ANU-25-summer-16_20260404_160000.mp4</t>
  </si>
  <si>
    <t>bee_count_output/runs/selected/ANU-25-summer-16_20260404_160000_preview.mp4</t>
  </si>
  <si>
    <t>bee_count_output/runs/selected/ANU-25-summer-16_20260404_160000_frame_flux.csv</t>
  </si>
  <si>
    <t>bee_count_output/runs/selected/ANU-25-summer-16_20260404_160000_window_3sec.csv</t>
  </si>
  <si>
    <t>ANU-25-summer-16_20260404_170000.mp4</t>
  </si>
  <si>
    <t>videos/ANU-25-summer-16_20260404_170000.mp4</t>
  </si>
  <si>
    <t>bee_count_output/runs/selected/ANU-25-summer-16_20260404_170000_preview.mp4</t>
  </si>
  <si>
    <t>bee_count_output/runs/selected/ANU-25-summer-16_20260404_170000_frame_flux.csv</t>
  </si>
  <si>
    <t>bee_count_output/runs/selected/ANU-25-summer-16_20260404_170000_window_3sec.csv</t>
  </si>
  <si>
    <t>ANU-25-summer-16_20260404_180000.mp4</t>
  </si>
  <si>
    <t>videos/ANU-25-summer-16_20260404_180000.mp4</t>
  </si>
  <si>
    <t>bee_count_output/runs/selected/ANU-25-summer-16_20260404_180000_preview.mp4</t>
  </si>
  <si>
    <t>bee_count_output/runs/selected/ANU-25-summer-16_20260404_180000_frame_flux.csv</t>
  </si>
  <si>
    <t>bee_count_output/runs/selected/ANU-25-summer-16_20260404_180000_window_3sec.csv</t>
  </si>
  <si>
    <t>ANU-25-summer-16_20260404_190000.mp4</t>
  </si>
  <si>
    <t>videos/ANU-25-summer-16_20260404_190000.mp4</t>
  </si>
  <si>
    <t>bee_count_output/runs/selected/ANU-25-summer-16_20260404_190000_preview.mp4</t>
  </si>
  <si>
    <t>bee_count_output/runs/selected/ANU-25-summer-16_20260404_190000_frame_flux.csv</t>
  </si>
  <si>
    <t>bee_count_output/runs/selected/ANU-25-summer-16_20260404_190000_window_3sec.csv</t>
  </si>
  <si>
    <t>ANU-25-summer-16_20260405_060000.mp4</t>
  </si>
  <si>
    <t>videos/ANU-25-summer-16_20260405_060000.mp4</t>
  </si>
  <si>
    <t>bee_count_output/runs/selected/ANU-25-summer-16_20260405_060000_preview.mp4</t>
  </si>
  <si>
    <t>bee_count_output/runs/selected/ANU-25-summer-16_20260405_060000_frame_flux.csv</t>
  </si>
  <si>
    <t>bee_count_output/runs/selected/ANU-25-summer-16_20260405_060000_window_3sec.csv</t>
  </si>
  <si>
    <t>ANU-25-summer-16_20260405_070000.mp4</t>
  </si>
  <si>
    <t>videos/ANU-25-summer-16_20260405_070000.mp4</t>
  </si>
  <si>
    <t>bee_count_output/runs/selected/ANU-25-summer-16_20260405_070000_preview.mp4</t>
  </si>
  <si>
    <t>bee_count_output/runs/selected/ANU-25-summer-16_20260405_070000_frame_flux.csv</t>
  </si>
  <si>
    <t>bee_count_output/runs/selected/ANU-25-summer-16_20260405_070000_window_3sec.csv</t>
  </si>
  <si>
    <t>ANU-25-summer-16_20260405_080000.mp4</t>
  </si>
  <si>
    <t>videos/ANU-25-summer-16_20260405_080000.mp4</t>
  </si>
  <si>
    <t>bee_count_output/runs/selected/ANU-25-summer-16_20260405_080000_preview.mp4</t>
  </si>
  <si>
    <t>bee_count_output/runs/selected/ANU-25-summer-16_20260405_080000_frame_flux.csv</t>
  </si>
  <si>
    <t>bee_count_output/runs/selected/ANU-25-summer-16_20260405_080000_window_3sec.csv</t>
  </si>
  <si>
    <t>ANU-25-summer-16_20260405_090000.mp4</t>
  </si>
  <si>
    <t>videos/ANU-25-summer-16_20260405_090000.mp4</t>
  </si>
  <si>
    <t>bee_count_output/runs/selected/ANU-25-summer-16_20260405_090000_preview.mp4</t>
  </si>
  <si>
    <t>bee_count_output/runs/selected/ANU-25-summer-16_20260405_090000_frame_flux.csv</t>
  </si>
  <si>
    <t>bee_count_output/runs/selected/ANU-25-summer-16_20260405_090000_window_3sec.csv</t>
  </si>
  <si>
    <t>ANU-25-summer-16_20260405_100000.mp4</t>
  </si>
  <si>
    <t>videos/ANU-25-summer-16_20260405_100000.mp4</t>
  </si>
  <si>
    <t>bee_count_output/runs/selected/ANU-25-summer-16_20260405_100000_preview.mp4</t>
  </si>
  <si>
    <t>bee_count_output/runs/selected/ANU-25-summer-16_20260405_100000_frame_flux.csv</t>
  </si>
  <si>
    <t>bee_count_output/runs/selected/ANU-25-summer-16_20260405_100000_window_3sec.csv</t>
  </si>
  <si>
    <t>ANU-25-summer-16_20260405_110000.mp4</t>
  </si>
  <si>
    <t>videos/ANU-25-summer-16_20260405_110000.mp4</t>
  </si>
  <si>
    <t>bee_count_output/runs/selected/ANU-25-summer-16_20260405_110000_preview.mp4</t>
  </si>
  <si>
    <t>bee_count_output/runs/selected/ANU-25-summer-16_20260405_110000_frame_flux.csv</t>
  </si>
  <si>
    <t>bee_count_output/runs/selected/ANU-25-summer-16_20260405_110000_window_3sec.csv</t>
  </si>
  <si>
    <t>ANU-25-summer-16_20260405_120000.mp4</t>
  </si>
  <si>
    <t>videos/ANU-25-summer-16_20260405_120000.mp4</t>
  </si>
  <si>
    <t>bee_count_output/runs/selected/ANU-25-summer-16_20260405_120000_preview.mp4</t>
  </si>
  <si>
    <t>bee_count_output/runs/selected/ANU-25-summer-16_20260405_120000_frame_flux.csv</t>
  </si>
  <si>
    <t>bee_count_output/runs/selected/ANU-25-summer-16_20260405_120000_window_3sec.csv</t>
  </si>
  <si>
    <t>ANU-25-summer-16_20260405_130000.mp4</t>
  </si>
  <si>
    <t>videos/ANU-25-summer-16_20260405_130000.mp4</t>
  </si>
  <si>
    <t>bee_count_output/runs/selected/ANU-25-summer-16_20260405_130000_preview.mp4</t>
  </si>
  <si>
    <t>bee_count_output/runs/selected/ANU-25-summer-16_20260405_130000_frame_flux.csv</t>
  </si>
  <si>
    <t>bee_count_output/runs/selected/ANU-25-summer-16_20260405_130000_window_3sec.csv</t>
  </si>
  <si>
    <t>ANU-25-summer-16_20260405_140000.mp4</t>
  </si>
  <si>
    <t>videos/ANU-25-summer-16_20260405_140000.mp4</t>
  </si>
  <si>
    <t>bee_count_output/runs/selected/ANU-25-summer-16_20260405_140000_preview.mp4</t>
  </si>
  <si>
    <t>bee_count_output/runs/selected/ANU-25-summer-16_20260405_140000_frame_flux.csv</t>
  </si>
  <si>
    <t>bee_count_output/runs/selected/ANU-25-summer-16_20260405_140000_window_3sec.csv</t>
  </si>
  <si>
    <t>ANU-25-summer-16_20260405_150000.mp4</t>
  </si>
  <si>
    <t>videos/ANU-25-summer-16_20260405_150000.mp4</t>
  </si>
  <si>
    <t>bee_count_output/runs/selected/ANU-25-summer-16_20260405_150000_preview.mp4</t>
  </si>
  <si>
    <t>bee_count_output/runs/selected/ANU-25-summer-16_20260405_150000_frame_flux.csv</t>
  </si>
  <si>
    <t>bee_count_output/runs/selected/ANU-25-summer-16_20260405_150000_window_3sec.csv</t>
  </si>
  <si>
    <t>ANU-25-summer-16_20260405_160000.mp4</t>
  </si>
  <si>
    <t>videos/ANU-25-summer-16_20260405_160000.mp4</t>
  </si>
  <si>
    <t>bee_count_output/runs/selected/ANU-25-summer-16_20260405_160000_preview.mp4</t>
  </si>
  <si>
    <t>bee_count_output/runs/selected/ANU-25-summer-16_20260405_160000_frame_flux.csv</t>
  </si>
  <si>
    <t>bee_count_output/runs/selected/ANU-25-summer-16_20260405_160000_window_3sec.csv</t>
  </si>
  <si>
    <t>ANU-25-summer-16_20260405_170000.mp4</t>
  </si>
  <si>
    <t>videos/ANU-25-summer-16_20260405_170000.mp4</t>
  </si>
  <si>
    <t>bee_count_output/runs/selected/ANU-25-summer-16_20260405_170000_preview.mp4</t>
  </si>
  <si>
    <t>bee_count_output/runs/selected/ANU-25-summer-16_20260405_170000_frame_flux.csv</t>
  </si>
  <si>
    <t>bee_count_output/runs/selected/ANU-25-summer-16_20260405_170000_window_3sec.csv</t>
  </si>
  <si>
    <t>ANU-25-summer-16_20260405_180000.mp4</t>
  </si>
  <si>
    <t>videos/ANU-25-summer-16_20260405_180000.mp4</t>
  </si>
  <si>
    <t>bee_count_output/runs/selected/ANU-25-summer-16_20260405_180000_preview.mp4</t>
  </si>
  <si>
    <t>bee_count_output/runs/selected/ANU-25-summer-16_20260405_180000_frame_flux.csv</t>
  </si>
  <si>
    <t>bee_count_output/runs/selected/ANU-25-summer-16_20260405_180000_window_3sec.csv</t>
  </si>
  <si>
    <t>ANU-25-summer-16_20260405_190000.mp4</t>
  </si>
  <si>
    <t>videos/ANU-25-summer-16_20260405_190000.mp4</t>
  </si>
  <si>
    <t>bee_count_output/runs/selected/ANU-25-summer-16_20260405_190000_preview.mp4</t>
  </si>
  <si>
    <t>bee_count_output/runs/selected/ANU-25-summer-16_20260405_190000_frame_flux.csv</t>
  </si>
  <si>
    <t>bee_count_output/runs/selected/ANU-25-summer-16_20260405_190000_window_3sec.csv</t>
  </si>
  <si>
    <t>ANU-25-summer-16_20260406_060000.mp4</t>
  </si>
  <si>
    <t>videos/ANU-25-summer-16_20260406_060000.mp4</t>
  </si>
  <si>
    <t>bee_count_output/runs/selected/ANU-25-summer-16_20260406_060000_preview.mp4</t>
  </si>
  <si>
    <t>bee_count_output/runs/selected/ANU-25-summer-16_20260406_060000_frame_flux.csv</t>
  </si>
  <si>
    <t>bee_count_output/runs/selected/ANU-25-summer-16_20260406_060000_window_3sec.csv</t>
  </si>
  <si>
    <t>ANU-25-summer-16_20260406_070000.mp4</t>
  </si>
  <si>
    <t>videos/ANU-25-summer-16_20260406_070000.mp4</t>
  </si>
  <si>
    <t>bee_count_output/runs/selected/ANU-25-summer-16_20260406_070000_preview.mp4</t>
  </si>
  <si>
    <t>bee_count_output/runs/selected/ANU-25-summer-16_20260406_070000_frame_flux.csv</t>
  </si>
  <si>
    <t>bee_count_output/runs/selected/ANU-25-summer-16_20260406_070000_window_3sec.csv</t>
  </si>
  <si>
    <t>ANU-25-summer-16_20260406_080000.mp4</t>
  </si>
  <si>
    <t>videos/ANU-25-summer-16_20260406_080000.mp4</t>
  </si>
  <si>
    <t>bee_count_output/runs/selected/ANU-25-summer-16_20260406_080000_preview.mp4</t>
  </si>
  <si>
    <t>bee_count_output/runs/selected/ANU-25-summer-16_20260406_080000_frame_flux.csv</t>
  </si>
  <si>
    <t>bee_count_output/runs/selected/ANU-25-summer-16_20260406_080000_window_3sec.csv</t>
  </si>
  <si>
    <t>ANU-25-summer-16_20260406_090000.mp4</t>
  </si>
  <si>
    <t>videos/ANU-25-summer-16_20260406_090000.mp4</t>
  </si>
  <si>
    <t>bee_count_output/runs/selected/ANU-25-summer-16_20260406_090000_preview.mp4</t>
  </si>
  <si>
    <t>bee_count_output/runs/selected/ANU-25-summer-16_20260406_090000_frame_flux.csv</t>
  </si>
  <si>
    <t>bee_count_output/runs/selected/ANU-25-summer-16_20260406_090000_window_3sec.csv</t>
  </si>
  <si>
    <t>ANU-25-summer-16_20260406_100000.mp4</t>
  </si>
  <si>
    <t>videos/ANU-25-summer-16_20260406_100000.mp4</t>
  </si>
  <si>
    <t>bee_count_output/runs/selected/ANU-25-summer-16_20260406_100000_preview.mp4</t>
  </si>
  <si>
    <t>bee_count_output/runs/selected/ANU-25-summer-16_20260406_100000_frame_flux.csv</t>
  </si>
  <si>
    <t>bee_count_output/runs/selected/ANU-25-summer-16_20260406_100000_window_3sec.csv</t>
  </si>
  <si>
    <t>ANU-25-summer-16_20260406_110000.mp4</t>
  </si>
  <si>
    <t>videos/ANU-25-summer-16_20260406_110000.mp4</t>
  </si>
  <si>
    <t>bee_count_output/runs/selected/ANU-25-summer-16_20260406_110000_preview.mp4</t>
  </si>
  <si>
    <t>bee_count_output/runs/selected/ANU-25-summer-16_20260406_110000_frame_flux.csv</t>
  </si>
  <si>
    <t>bee_count_output/runs/selected/ANU-25-summer-16_20260406_110000_window_3sec.csv</t>
  </si>
  <si>
    <t>ANU-25-summer-16_20260406_120000.mp4</t>
  </si>
  <si>
    <t>videos/ANU-25-summer-16_20260406_120000.mp4</t>
  </si>
  <si>
    <t>bee_count_output/runs/selected/ANU-25-summer-16_20260406_120000_preview.mp4</t>
  </si>
  <si>
    <t>bee_count_output/runs/selected/ANU-25-summer-16_20260406_120000_frame_flux.csv</t>
  </si>
  <si>
    <t>bee_count_output/runs/selected/ANU-25-summer-16_20260406_120000_window_3sec.csv</t>
  </si>
  <si>
    <t>ANU-25-summer-16_20260406_130000.mp4</t>
  </si>
  <si>
    <t>videos/ANU-25-summer-16_20260406_130000.mp4</t>
  </si>
  <si>
    <t>bee_count_output/runs/selected/ANU-25-summer-16_20260406_130000_preview.mp4</t>
  </si>
  <si>
    <t>bee_count_output/runs/selected/ANU-25-summer-16_20260406_130000_frame_flux.csv</t>
  </si>
  <si>
    <t>bee_count_output/runs/selected/ANU-25-summer-16_20260406_130000_window_3sec.csv</t>
  </si>
  <si>
    <t>ANU-25-summer-16_20260406_140000.mp4</t>
  </si>
  <si>
    <t>videos/ANU-25-summer-16_20260406_140000.mp4</t>
  </si>
  <si>
    <t>bee_count_output/runs/selected/ANU-25-summer-16_20260406_140000_preview.mp4</t>
  </si>
  <si>
    <t>bee_count_output/runs/selected/ANU-25-summer-16_20260406_140000_frame_flux.csv</t>
  </si>
  <si>
    <t>bee_count_output/runs/selected/ANU-25-summer-16_20260406_140000_window_3sec.csv</t>
  </si>
  <si>
    <t>ANU-25-summer-16_20260406_150000.mp4</t>
  </si>
  <si>
    <t>videos/ANU-25-summer-16_20260406_150000.mp4</t>
  </si>
  <si>
    <t>bee_count_output/runs/selected/ANU-25-summer-16_20260406_150000_preview.mp4</t>
  </si>
  <si>
    <t>bee_count_output/runs/selected/ANU-25-summer-16_20260406_150000_frame_flux.csv</t>
  </si>
  <si>
    <t>bee_count_output/runs/selected/ANU-25-summer-16_20260406_150000_window_3sec.csv</t>
  </si>
  <si>
    <t>ANU-25-summer-16_20260406_160000.mp4</t>
  </si>
  <si>
    <t>videos/ANU-25-summer-16_20260406_160000.mp4</t>
  </si>
  <si>
    <t>bee_count_output/runs/selected/ANU-25-summer-16_20260406_160000_preview.mp4</t>
  </si>
  <si>
    <t>bee_count_output/runs/selected/ANU-25-summer-16_20260406_160000_frame_flux.csv</t>
  </si>
  <si>
    <t>bee_count_output/runs/selected/ANU-25-summer-16_20260406_160000_window_3sec.csv</t>
  </si>
  <si>
    <t>ANU-25-summer-16_20260406_170000.mp4</t>
  </si>
  <si>
    <t>videos/ANU-25-summer-16_20260406_170000.mp4</t>
  </si>
  <si>
    <t>bee_count_output/runs/selected/ANU-25-summer-16_20260406_170000_preview.mp4</t>
  </si>
  <si>
    <t>bee_count_output/runs/selected/ANU-25-summer-16_20260406_170000_frame_flux.csv</t>
  </si>
  <si>
    <t>bee_count_output/runs/selected/ANU-25-summer-16_20260406_170000_window_3sec.csv</t>
  </si>
  <si>
    <t>ANU-25-summer-16_20260406_180000.mp4</t>
  </si>
  <si>
    <t>videos/ANU-25-summer-16_20260406_180000.mp4</t>
  </si>
  <si>
    <t>bee_count_output/runs/selected/ANU-25-summer-16_20260406_180000_preview.mp4</t>
  </si>
  <si>
    <t>bee_count_output/runs/selected/ANU-25-summer-16_20260406_180000_frame_flux.csv</t>
  </si>
  <si>
    <t>bee_count_output/runs/selected/ANU-25-summer-16_20260406_180000_window_3sec.csv</t>
  </si>
  <si>
    <t>ANU-25-summer-16_20260406_190000.mp4</t>
  </si>
  <si>
    <t>videos/ANU-25-summer-16_20260406_190000.mp4</t>
  </si>
  <si>
    <t>bee_count_output/runs/selected/ANU-25-summer-16_20260406_190000_preview.mp4</t>
  </si>
  <si>
    <t>bee_count_output/runs/selected/ANU-25-summer-16_20260406_190000_frame_flux.csv</t>
  </si>
  <si>
    <t>bee_count_output/runs/selected/ANU-25-summer-16_20260406_190000_window_3sec.csv</t>
  </si>
  <si>
    <t>ANU-25-summer-16_20260407_060000.mp4</t>
  </si>
  <si>
    <t>videos/ANU-25-summer-16_20260407_060000.mp4</t>
  </si>
  <si>
    <t>bee_count_output/runs/selected/ANU-25-summer-16_20260407_060000_preview.mp4</t>
  </si>
  <si>
    <t>bee_count_output/runs/selected/ANU-25-summer-16_20260407_060000_frame_flux.csv</t>
  </si>
  <si>
    <t>bee_count_output/runs/selected/ANU-25-summer-16_20260407_060000_window_3sec.csv</t>
  </si>
  <si>
    <t>ANU-25-summer-16_20260407_070000.mp4</t>
  </si>
  <si>
    <t>videos/ANU-25-summer-16_20260407_070000.mp4</t>
  </si>
  <si>
    <t>bee_count_output/runs/selected/ANU-25-summer-16_20260407_070000_preview.mp4</t>
  </si>
  <si>
    <t>bee_count_output/runs/selected/ANU-25-summer-16_20260407_070000_frame_flux.csv</t>
  </si>
  <si>
    <t>bee_count_output/runs/selected/ANU-25-summer-16_20260407_070000_window_3sec.csv</t>
  </si>
  <si>
    <t>ANU-25-summer-16_20260407_080000.mp4</t>
  </si>
  <si>
    <t>videos/ANU-25-summer-16_20260407_080000.mp4</t>
  </si>
  <si>
    <t>bee_count_output/runs/selected/ANU-25-summer-16_20260407_080000_preview.mp4</t>
  </si>
  <si>
    <t>bee_count_output/runs/selected/ANU-25-summer-16_20260407_080000_frame_flux.csv</t>
  </si>
  <si>
    <t>bee_count_output/runs/selected/ANU-25-summer-16_20260407_080000_window_3sec.csv</t>
  </si>
  <si>
    <t>ANU-25-summer-16_20260407_090000.mp4</t>
  </si>
  <si>
    <t>videos/ANU-25-summer-16_20260407_090000.mp4</t>
  </si>
  <si>
    <t>bee_count_output/runs/selected/ANU-25-summer-16_20260407_090000_preview.mp4</t>
  </si>
  <si>
    <t>bee_count_output/runs/selected/ANU-25-summer-16_20260407_090000_frame_flux.csv</t>
  </si>
  <si>
    <t>bee_count_output/runs/selected/ANU-25-summer-16_20260407_090000_window_3sec.csv</t>
  </si>
  <si>
    <t>ANU-25-summer-16_20260407_100000.mp4</t>
  </si>
  <si>
    <t>videos/ANU-25-summer-16_20260407_100000.mp4</t>
  </si>
  <si>
    <t>bee_count_output/runs/selected/ANU-25-summer-16_20260407_100000_preview.mp4</t>
  </si>
  <si>
    <t>bee_count_output/runs/selected/ANU-25-summer-16_20260407_100000_frame_flux.csv</t>
  </si>
  <si>
    <t>bee_count_output/runs/selected/ANU-25-summer-16_20260407_100000_window_3sec.csv</t>
  </si>
  <si>
    <t>ANU-25-summer-16_20260407_110000.mp4</t>
  </si>
  <si>
    <t>videos/ANU-25-summer-16_20260407_110000.mp4</t>
  </si>
  <si>
    <t>bee_count_output/runs/selected/ANU-25-summer-16_20260407_110000_preview.mp4</t>
  </si>
  <si>
    <t>bee_count_output/runs/selected/ANU-25-summer-16_20260407_110000_frame_flux.csv</t>
  </si>
  <si>
    <t>bee_count_output/runs/selected/ANU-25-summer-16_20260407_110000_window_3sec.csv</t>
  </si>
  <si>
    <t>ANU-25-summer-16_20260407_120000.mp4</t>
  </si>
  <si>
    <t>videos/ANU-25-summer-16_20260407_120000.mp4</t>
  </si>
  <si>
    <t>bee_count_output/runs/selected/ANU-25-summer-16_20260407_120000_preview.mp4</t>
  </si>
  <si>
    <t>bee_count_output/runs/selected/ANU-25-summer-16_20260407_120000_frame_flux.csv</t>
  </si>
  <si>
    <t>bee_count_output/runs/selected/ANU-25-summer-16_20260407_120000_window_3sec.csv</t>
  </si>
  <si>
    <t>ANU-25-summer-16_20260407_130000.mp4</t>
  </si>
  <si>
    <t>videos/ANU-25-summer-16_20260407_130000.mp4</t>
  </si>
  <si>
    <t>bee_count_output/runs/selected/ANU-25-summer-16_20260407_130000_preview.mp4</t>
  </si>
  <si>
    <t>bee_count_output/runs/selected/ANU-25-summer-16_20260407_130000_frame_flux.csv</t>
  </si>
  <si>
    <t>bee_count_output/runs/selected/ANU-25-summer-16_20260407_130000_window_3sec.csv</t>
  </si>
  <si>
    <t>ANU-25-summer-16_20260407_140000.mp4</t>
  </si>
  <si>
    <t>videos/ANU-25-summer-16_20260407_140000.mp4</t>
  </si>
  <si>
    <t>bee_count_output/runs/selected/ANU-25-summer-16_20260407_140000_preview.mp4</t>
  </si>
  <si>
    <t>bee_count_output/runs/selected/ANU-25-summer-16_20260407_140000_frame_flux.csv</t>
  </si>
  <si>
    <t>bee_count_output/runs/selected/ANU-25-summer-16_20260407_140000_window_3sec.csv</t>
  </si>
  <si>
    <t>ANU-25-summer-16_20260407_150000.mp4</t>
  </si>
  <si>
    <t>videos/ANU-25-summer-16_20260407_150000.mp4</t>
  </si>
  <si>
    <t>bee_count_output/runs/selected/ANU-25-summer-16_20260407_150000_preview.mp4</t>
  </si>
  <si>
    <t>bee_count_output/runs/selected/ANU-25-summer-16_20260407_150000_frame_flux.csv</t>
  </si>
  <si>
    <t>bee_count_output/runs/selected/ANU-25-summer-16_20260407_150000_window_3sec.csv</t>
  </si>
  <si>
    <t>ANU-25-summer-16_20260407_160000.mp4</t>
  </si>
  <si>
    <t>videos/ANU-25-summer-16_20260407_160000.mp4</t>
  </si>
  <si>
    <t>bee_count_output/runs/selected/ANU-25-summer-16_20260407_160000_preview.mp4</t>
  </si>
  <si>
    <t>bee_count_output/runs/selected/ANU-25-summer-16_20260407_160000_frame_flux.csv</t>
  </si>
  <si>
    <t>bee_count_output/runs/selected/ANU-25-summer-16_20260407_160000_window_3sec.csv</t>
  </si>
  <si>
    <t>ANU-25-summer-16_20260407_170000.mp4</t>
  </si>
  <si>
    <t>videos/ANU-25-summer-16_20260407_170000.mp4</t>
  </si>
  <si>
    <t>bee_count_output/runs/selected/ANU-25-summer-16_20260407_170000_preview.mp4</t>
  </si>
  <si>
    <t>bee_count_output/runs/selected/ANU-25-summer-16_20260407_170000_frame_flux.csv</t>
  </si>
  <si>
    <t>bee_count_output/runs/selected/ANU-25-summer-16_20260407_170000_window_3sec.csv</t>
  </si>
  <si>
    <t>ANU-25-summer-16_20260407_180000.mp4</t>
  </si>
  <si>
    <t>videos/ANU-25-summer-16_20260407_180000.mp4</t>
  </si>
  <si>
    <t>bee_count_output/runs/selected/ANU-25-summer-16_20260407_180000_preview.mp4</t>
  </si>
  <si>
    <t>bee_count_output/runs/selected/ANU-25-summer-16_20260407_180000_frame_flux.csv</t>
  </si>
  <si>
    <t>bee_count_output/runs/selected/ANU-25-summer-16_20260407_180000_window_3sec.csv</t>
  </si>
  <si>
    <t>ANU-25-summer-16_20260407_190000.mp4</t>
  </si>
  <si>
    <t>videos/ANU-25-summer-16_20260407_190000.mp4</t>
  </si>
  <si>
    <t>bee_count_output/runs/selected/ANU-25-summer-16_20260407_190000_preview.mp4</t>
  </si>
  <si>
    <t>bee_count_output/runs/selected/ANU-25-summer-16_20260407_190000_frame_flux.csv</t>
  </si>
  <si>
    <t>bee_count_output/runs/selected/ANU-25-summer-16_20260407_190000_window_3sec.csv</t>
  </si>
  <si>
    <t>ANU-25-summer-16_20260408_060000.mp4</t>
  </si>
  <si>
    <t>videos/ANU-25-summer-16_20260408_060000.mp4</t>
  </si>
  <si>
    <t>bee_count_output/runs/selected/ANU-25-summer-16_20260408_060000_preview.mp4</t>
  </si>
  <si>
    <t>bee_count_output/runs/selected/ANU-25-summer-16_20260408_060000_frame_flux.csv</t>
  </si>
  <si>
    <t>bee_count_output/runs/selected/ANU-25-summer-16_20260408_060000_window_3sec.csv</t>
  </si>
  <si>
    <t>ANU-25-summer-16_20260408_070000.mp4</t>
  </si>
  <si>
    <t>videos/ANU-25-summer-16_20260408_070000.mp4</t>
  </si>
  <si>
    <t>bee_count_output/runs/selected/ANU-25-summer-16_20260408_070000_preview.mp4</t>
  </si>
  <si>
    <t>bee_count_output/runs/selected/ANU-25-summer-16_20260408_070000_frame_flux.csv</t>
  </si>
  <si>
    <t>bee_count_output/runs/selected/ANU-25-summer-16_20260408_070000_window_3sec.csv</t>
  </si>
  <si>
    <t>ANU-25-summer-16_20260408_080000.mp4</t>
  </si>
  <si>
    <t>videos/ANU-25-summer-16_20260408_080000.mp4</t>
  </si>
  <si>
    <t>bee_count_output/runs/selected/ANU-25-summer-16_20260408_080000_preview.mp4</t>
  </si>
  <si>
    <t>bee_count_output/runs/selected/ANU-25-summer-16_20260408_080000_frame_flux.csv</t>
  </si>
  <si>
    <t>bee_count_output/runs/selected/ANU-25-summer-16_20260408_080000_window_3sec.csv</t>
  </si>
  <si>
    <t>ANU-25-summer-16_20260408_090000.mp4</t>
  </si>
  <si>
    <t>videos/ANU-25-summer-16_20260408_090000.mp4</t>
  </si>
  <si>
    <t>bee_count_output/runs/selected/ANU-25-summer-16_20260408_090000_preview.mp4</t>
  </si>
  <si>
    <t>bee_count_output/runs/selected/ANU-25-summer-16_20260408_090000_frame_flux.csv</t>
  </si>
  <si>
    <t>bee_count_output/runs/selected/ANU-25-summer-16_20260408_090000_window_3sec.csv</t>
  </si>
  <si>
    <t>ANU-25-summer-16_20260408_100000.mp4</t>
  </si>
  <si>
    <t>videos/ANU-25-summer-16_20260408_100000.mp4</t>
  </si>
  <si>
    <t>bee_count_output/runs/selected/ANU-25-summer-16_20260408_100000_preview.mp4</t>
  </si>
  <si>
    <t>bee_count_output/runs/selected/ANU-25-summer-16_20260408_100000_frame_flux.csv</t>
  </si>
  <si>
    <t>bee_count_output/runs/selected/ANU-25-summer-16_20260408_100000_window_3sec.csv</t>
  </si>
  <si>
    <t>ANU-25-summer-16_20260408_110000.mp4</t>
  </si>
  <si>
    <t>videos/ANU-25-summer-16_20260408_110000.mp4</t>
  </si>
  <si>
    <t>bee_count_output/runs/selected/ANU-25-summer-16_20260408_110000_preview.mp4</t>
  </si>
  <si>
    <t>bee_count_output/runs/selected/ANU-25-summer-16_20260408_110000_frame_flux.csv</t>
  </si>
  <si>
    <t>bee_count_output/runs/selected/ANU-25-summer-16_20260408_110000_window_3sec.csv</t>
  </si>
  <si>
    <t>ANU-25-summer-16_20260408_120000.mp4</t>
  </si>
  <si>
    <t>videos/ANU-25-summer-16_20260408_120000.mp4</t>
  </si>
  <si>
    <t>bee_count_output/runs/selected/ANU-25-summer-16_20260408_120000_preview.mp4</t>
  </si>
  <si>
    <t>bee_count_output/runs/selected/ANU-25-summer-16_20260408_120000_frame_flux.csv</t>
  </si>
  <si>
    <t>bee_count_output/runs/selected/ANU-25-summer-16_20260408_120000_window_3sec.csv</t>
  </si>
  <si>
    <t>ANU-25-summer-16_20260408_130000.mp4</t>
  </si>
  <si>
    <t>videos/ANU-25-summer-16_20260408_130000.mp4</t>
  </si>
  <si>
    <t>bee_count_output/runs/selected/ANU-25-summer-16_20260408_130000_preview.mp4</t>
  </si>
  <si>
    <t>bee_count_output/runs/selected/ANU-25-summer-16_20260408_130000_frame_flux.csv</t>
  </si>
  <si>
    <t>bee_count_output/runs/selected/ANU-25-summer-16_20260408_130000_window_3sec.csv</t>
  </si>
  <si>
    <t>ANU-25-summer-16_20260408_140000.mp4</t>
  </si>
  <si>
    <t>videos/ANU-25-summer-16_20260408_140000.mp4</t>
  </si>
  <si>
    <t>bee_count_output/runs/selected/ANU-25-summer-16_20260408_140000_preview.mp4</t>
  </si>
  <si>
    <t>bee_count_output/runs/selected/ANU-25-summer-16_20260408_140000_frame_flux.csv</t>
  </si>
  <si>
    <t>bee_count_output/runs/selected/ANU-25-summer-16_20260408_140000_window_3sec.csv</t>
  </si>
  <si>
    <t>ANU-25-summer-16_20260408_150000.mp4</t>
  </si>
  <si>
    <t>videos/ANU-25-summer-16_20260408_150000.mp4</t>
  </si>
  <si>
    <t>bee_count_output/runs/selected/ANU-25-summer-16_20260408_150000_preview.mp4</t>
  </si>
  <si>
    <t>bee_count_output/runs/selected/ANU-25-summer-16_20260408_150000_frame_flux.csv</t>
  </si>
  <si>
    <t>bee_count_output/runs/selected/ANU-25-summer-16_20260408_150000_window_3sec.csv</t>
  </si>
  <si>
    <t>ANU-25-summer-16_20260408_160000.mp4</t>
  </si>
  <si>
    <t>videos/ANU-25-summer-16_20260408_160000.mp4</t>
  </si>
  <si>
    <t>bee_count_output/runs/selected/ANU-25-summer-16_20260408_160000_preview.mp4</t>
  </si>
  <si>
    <t>bee_count_output/runs/selected/ANU-25-summer-16_20260408_160000_frame_flux.csv</t>
  </si>
  <si>
    <t>bee_count_output/runs/selected/ANU-25-summer-16_20260408_160000_window_3sec.csv</t>
  </si>
  <si>
    <t>ANU-25-summer-16_20260408_170000.mp4</t>
  </si>
  <si>
    <t>videos/ANU-25-summer-16_20260408_170000.mp4</t>
  </si>
  <si>
    <t>bee_count_output/runs/selected/ANU-25-summer-16_20260408_170000_preview.mp4</t>
  </si>
  <si>
    <t>bee_count_output/runs/selected/ANU-25-summer-16_20260408_170000_frame_flux.csv</t>
  </si>
  <si>
    <t>bee_count_output/runs/selected/ANU-25-summer-16_20260408_170000_window_3sec.csv</t>
  </si>
  <si>
    <t>ANU-25-summer-16_20260408_180000.mp4</t>
  </si>
  <si>
    <t>videos/ANU-25-summer-16_20260408_180000.mp4</t>
  </si>
  <si>
    <t>bee_count_output/runs/selected/ANU-25-summer-16_20260408_180000_preview.mp4</t>
  </si>
  <si>
    <t>bee_count_output/runs/selected/ANU-25-summer-16_20260408_180000_frame_flux.csv</t>
  </si>
  <si>
    <t>bee_count_output/runs/selected/ANU-25-summer-16_20260408_180000_window_3sec.csv</t>
  </si>
  <si>
    <t>ANU-25-summer-16_20260408_190000.mp4</t>
  </si>
  <si>
    <t>videos/ANU-25-summer-16_20260408_190000.mp4</t>
  </si>
  <si>
    <t>bee_count_output/runs/selected/ANU-25-summer-16_20260408_190000_preview.mp4</t>
  </si>
  <si>
    <t>bee_count_output/runs/selected/ANU-25-summer-16_20260408_190000_frame_flux.csv</t>
  </si>
  <si>
    <t>bee_count_output/runs/selected/ANU-25-summer-16_20260408_190000_window_3sec.csv</t>
  </si>
  <si>
    <t>ANU-25-summer-16_20260409_060000.mp4</t>
  </si>
  <si>
    <t>videos/ANU-25-summer-16_20260409_060000.mp4</t>
  </si>
  <si>
    <t>bee_count_output/runs/selected/ANU-25-summer-16_20260409_060000_preview.mp4</t>
  </si>
  <si>
    <t>bee_count_output/runs/selected/ANU-25-summer-16_20260409_060000_frame_flux.csv</t>
  </si>
  <si>
    <t>bee_count_output/runs/selected/ANU-25-summer-16_20260409_060000_window_3sec.csv</t>
  </si>
  <si>
    <t>ANU-25-summer-16_20260409_070000.mp4</t>
  </si>
  <si>
    <t>videos/ANU-25-summer-16_20260409_070000.mp4</t>
  </si>
  <si>
    <t>bee_count_output/runs/selected/ANU-25-summer-16_20260409_070000_preview.mp4</t>
  </si>
  <si>
    <t>bee_count_output/runs/selected/ANU-25-summer-16_20260409_070000_frame_flux.csv</t>
  </si>
  <si>
    <t>bee_count_output/runs/selected/ANU-25-summer-16_20260409_070000_window_3sec.csv</t>
  </si>
  <si>
    <t>ANU-25-summer-16_20260409_080000.mp4</t>
  </si>
  <si>
    <t>videos/ANU-25-summer-16_20260409_080000.mp4</t>
  </si>
  <si>
    <t>bee_count_output/runs/selected/ANU-25-summer-16_20260409_080000_preview.mp4</t>
  </si>
  <si>
    <t>bee_count_output/runs/selected/ANU-25-summer-16_20260409_080000_frame_flux.csv</t>
  </si>
  <si>
    <t>bee_count_output/runs/selected/ANU-25-summer-16_20260409_080000_window_3sec.csv</t>
  </si>
  <si>
    <t>ANU-25-summer-16_20260409_090000.mp4</t>
  </si>
  <si>
    <t>videos/ANU-25-summer-16_20260409_090000.mp4</t>
  </si>
  <si>
    <t>bee_count_output/runs/selected/ANU-25-summer-16_20260409_090000_preview.mp4</t>
  </si>
  <si>
    <t>bee_count_output/runs/selected/ANU-25-summer-16_20260409_090000_frame_flux.csv</t>
  </si>
  <si>
    <t>bee_count_output/runs/selected/ANU-25-summer-16_20260409_090000_window_3sec.csv</t>
  </si>
  <si>
    <t>ANU-25-summer-16_20260409_100000.mp4</t>
  </si>
  <si>
    <t>videos/ANU-25-summer-16_20260409_100000.mp4</t>
  </si>
  <si>
    <t>bee_count_output/runs/selected/ANU-25-summer-16_20260409_100000_preview.mp4</t>
  </si>
  <si>
    <t>bee_count_output/runs/selected/ANU-25-summer-16_20260409_100000_frame_flux.csv</t>
  </si>
  <si>
    <t>bee_count_output/runs/selected/ANU-25-summer-16_20260409_100000_window_3sec.csv</t>
  </si>
  <si>
    <t>ANU-25-summer-16_20260409_110000.mp4</t>
  </si>
  <si>
    <t>videos/ANU-25-summer-16_20260409_110000.mp4</t>
  </si>
  <si>
    <t>bee_count_output/runs/selected/ANU-25-summer-16_20260409_110000_preview.mp4</t>
  </si>
  <si>
    <t>bee_count_output/runs/selected/ANU-25-summer-16_20260409_110000_frame_flux.csv</t>
  </si>
  <si>
    <t>bee_count_output/runs/selected/ANU-25-summer-16_20260409_110000_window_3sec.csv</t>
  </si>
  <si>
    <t>ANU-25-summer-16_20260409_120000.mp4</t>
  </si>
  <si>
    <t>videos/ANU-25-summer-16_20260409_120000.mp4</t>
  </si>
  <si>
    <t>bee_count_output/runs/selected/ANU-25-summer-16_20260409_120000_preview.mp4</t>
  </si>
  <si>
    <t>bee_count_output/runs/selected/ANU-25-summer-16_20260409_120000_frame_flux.csv</t>
  </si>
  <si>
    <t>bee_count_output/runs/selected/ANU-25-summer-16_20260409_120000_window_3sec.csv</t>
  </si>
  <si>
    <t>ANU-25-summer-16_20260409_130000.mp4</t>
  </si>
  <si>
    <t>videos/ANU-25-summer-16_20260409_130000.mp4</t>
  </si>
  <si>
    <t>bee_count_output/runs/selected/ANU-25-summer-16_20260409_130000_preview.mp4</t>
  </si>
  <si>
    <t>bee_count_output/runs/selected/ANU-25-summer-16_20260409_130000_frame_flux.csv</t>
  </si>
  <si>
    <t>bee_count_output/runs/selected/ANU-25-summer-16_20260409_130000_window_3sec.csv</t>
  </si>
  <si>
    <t>ANU-25-summer-16_20260409_140000.mp4</t>
  </si>
  <si>
    <t>videos/ANU-25-summer-16_20260409_140000.mp4</t>
  </si>
  <si>
    <t>bee_count_output/runs/selected/ANU-25-summer-16_20260409_140000_preview.mp4</t>
  </si>
  <si>
    <t>bee_count_output/runs/selected/ANU-25-summer-16_20260409_140000_frame_flux.csv</t>
  </si>
  <si>
    <t>bee_count_output/runs/selected/ANU-25-summer-16_20260409_140000_window_3sec.csv</t>
  </si>
  <si>
    <t>ANU-25-summer-16_20260409_150000.mp4</t>
  </si>
  <si>
    <t>videos/ANU-25-summer-16_20260409_150000.mp4</t>
  </si>
  <si>
    <t>bee_count_output/runs/selected/ANU-25-summer-16_20260409_150000_preview.mp4</t>
  </si>
  <si>
    <t>bee_count_output/runs/selected/ANU-25-summer-16_20260409_150000_frame_flux.csv</t>
  </si>
  <si>
    <t>bee_count_output/runs/selected/ANU-25-summer-16_20260409_150000_window_3sec.csv</t>
  </si>
  <si>
    <t>ANU-25-summer-16_20260409_160000.mp4</t>
  </si>
  <si>
    <t>videos/ANU-25-summer-16_20260409_160000.mp4</t>
  </si>
  <si>
    <t>bee_count_output/runs/selected/ANU-25-summer-16_20260409_160000_preview.mp4</t>
  </si>
  <si>
    <t>bee_count_output/runs/selected/ANU-25-summer-16_20260409_160000_frame_flux.csv</t>
  </si>
  <si>
    <t>bee_count_output/runs/selected/ANU-25-summer-16_20260409_160000_window_3sec.csv</t>
  </si>
  <si>
    <t>ANU-25-summer-16_20260409_170000.mp4</t>
  </si>
  <si>
    <t>videos/ANU-25-summer-16_20260409_170000.mp4</t>
  </si>
  <si>
    <t>bee_count_output/runs/selected/ANU-25-summer-16_20260409_170000_preview.mp4</t>
  </si>
  <si>
    <t>bee_count_output/runs/selected/ANU-25-summer-16_20260409_170000_frame_flux.csv</t>
  </si>
  <si>
    <t>bee_count_output/runs/selected/ANU-25-summer-16_20260409_170000_window_3sec.csv</t>
  </si>
  <si>
    <t>ANU-25-summer-16_20260409_180000.mp4</t>
  </si>
  <si>
    <t>videos/ANU-25-summer-16_20260409_180000.mp4</t>
  </si>
  <si>
    <t>bee_count_output/runs/selected/ANU-25-summer-16_20260409_180000_preview.mp4</t>
  </si>
  <si>
    <t>bee_count_output/runs/selected/ANU-25-summer-16_20260409_180000_frame_flux.csv</t>
  </si>
  <si>
    <t>bee_count_output/runs/selected/ANU-25-summer-16_20260409_180000_window_3sec.csv</t>
  </si>
  <si>
    <t>ANU-25-summer-16_20260409_190000.mp4</t>
  </si>
  <si>
    <t>videos/ANU-25-summer-16_20260409_190000.mp4</t>
  </si>
  <si>
    <t>bee_count_output/runs/selected/ANU-25-summer-16_20260409_190000_preview.mp4</t>
  </si>
  <si>
    <t>bee_count_output/runs/selected/ANU-25-summer-16_20260409_190000_frame_flux.csv</t>
  </si>
  <si>
    <t>bee_count_output/runs/selected/ANU-25-summer-16_20260409_190000_window_3sec.csv</t>
  </si>
  <si>
    <t>ANU-25-summer-16_20260410_060000.mp4</t>
  </si>
  <si>
    <t>videos/ANU-25-summer-16_20260410_060000.mp4</t>
  </si>
  <si>
    <t>bee_count_output/runs/selected/ANU-25-summer-16_20260410_060000_preview.mp4</t>
  </si>
  <si>
    <t>bee_count_output/runs/selected/ANU-25-summer-16_20260410_060000_frame_flux.csv</t>
  </si>
  <si>
    <t>bee_count_output/runs/selected/ANU-25-summer-16_20260410_060000_window_3sec.csv</t>
  </si>
  <si>
    <t>ANU-25-summer-16_20260410_070000.mp4</t>
  </si>
  <si>
    <t>videos/ANU-25-summer-16_20260410_070000.mp4</t>
  </si>
  <si>
    <t>bee_count_output/runs/selected/ANU-25-summer-16_20260410_070000_preview.mp4</t>
  </si>
  <si>
    <t>bee_count_output/runs/selected/ANU-25-summer-16_20260410_070000_frame_flux.csv</t>
  </si>
  <si>
    <t>bee_count_output/runs/selected/ANU-25-summer-16_20260410_070000_window_3sec.csv</t>
  </si>
  <si>
    <t>ANU-25-summer-16_20260410_080000.mp4</t>
  </si>
  <si>
    <t>videos/ANU-25-summer-16_20260410_080000.mp4</t>
  </si>
  <si>
    <t>bee_count_output/runs/selected/ANU-25-summer-16_20260410_080000_preview.mp4</t>
  </si>
  <si>
    <t>bee_count_output/runs/selected/ANU-25-summer-16_20260410_080000_frame_flux.csv</t>
  </si>
  <si>
    <t>bee_count_output/runs/selected/ANU-25-summer-16_20260410_080000_window_3sec.csv</t>
  </si>
  <si>
    <t>ANU-25-summer-16_20260410_090000.mp4</t>
  </si>
  <si>
    <t>videos/ANU-25-summer-16_20260410_090000.mp4</t>
  </si>
  <si>
    <t>bee_count_output/runs/selected/ANU-25-summer-16_20260410_090000_preview.mp4</t>
  </si>
  <si>
    <t>bee_count_output/runs/selected/ANU-25-summer-16_20260410_090000_frame_flux.csv</t>
  </si>
  <si>
    <t>bee_count_output/runs/selected/ANU-25-summer-16_20260410_090000_window_3sec.csv</t>
  </si>
  <si>
    <t>ANU-25-summer-16_20260410_100000.mp4</t>
  </si>
  <si>
    <t>videos/ANU-25-summer-16_20260410_100000.mp4</t>
  </si>
  <si>
    <t>bee_count_output/runs/selected/ANU-25-summer-16_20260410_100000_preview.mp4</t>
  </si>
  <si>
    <t>bee_count_output/runs/selected/ANU-25-summer-16_20260410_100000_frame_flux.csv</t>
  </si>
  <si>
    <t>bee_count_output/runs/selected/ANU-25-summer-16_20260410_100000_window_3sec.csv</t>
  </si>
  <si>
    <t>ANU-25-summer-16_20260410_110000.mp4</t>
  </si>
  <si>
    <t>videos/ANU-25-summer-16_20260410_110000.mp4</t>
  </si>
  <si>
    <t>bee_count_output/runs/selected/ANU-25-summer-16_20260410_110000_preview.mp4</t>
  </si>
  <si>
    <t>bee_count_output/runs/selected/ANU-25-summer-16_20260410_110000_frame_flux.csv</t>
  </si>
  <si>
    <t>bee_count_output/runs/selected/ANU-25-summer-16_20260410_110000_window_3sec.csv</t>
  </si>
  <si>
    <t>ANU-25-summer-16_20260410_120000.mp4</t>
  </si>
  <si>
    <t>videos/ANU-25-summer-16_20260410_120000.mp4</t>
  </si>
  <si>
    <t>bee_count_output/runs/selected/ANU-25-summer-16_20260410_120000_preview.mp4</t>
  </si>
  <si>
    <t>bee_count_output/runs/selected/ANU-25-summer-16_20260410_120000_frame_flux.csv</t>
  </si>
  <si>
    <t>bee_count_output/runs/selected/ANU-25-summer-16_20260410_120000_window_3sec.csv</t>
  </si>
  <si>
    <t>ANU-25-summer-16_20260410_130000.mp4</t>
  </si>
  <si>
    <t>videos/ANU-25-summer-16_20260410_130000.mp4</t>
  </si>
  <si>
    <t>bee_count_output/runs/selected/ANU-25-summer-16_20260410_130000_preview.mp4</t>
  </si>
  <si>
    <t>bee_count_output/runs/selected/ANU-25-summer-16_20260410_130000_frame_flux.csv</t>
  </si>
  <si>
    <t>bee_count_output/runs/selected/ANU-25-summer-16_20260410_130000_window_3sec.csv</t>
  </si>
  <si>
    <t>ANU-25-summer-16_20260410_140000.mp4</t>
  </si>
  <si>
    <t>videos/ANU-25-summer-16_20260410_140000.mp4</t>
  </si>
  <si>
    <t>bee_count_output/runs/selected/ANU-25-summer-16_20260410_140000_preview.mp4</t>
  </si>
  <si>
    <t>bee_count_output/runs/selected/ANU-25-summer-16_20260410_140000_frame_flux.csv</t>
  </si>
  <si>
    <t>bee_count_output/runs/selected/ANU-25-summer-16_20260410_140000_window_3sec.csv</t>
  </si>
  <si>
    <t>ANU-25-summer-16_20260410_150000.mp4</t>
  </si>
  <si>
    <t>videos/ANU-25-summer-16_20260410_150000.mp4</t>
  </si>
  <si>
    <t>bee_count_output/runs/selected/ANU-25-summer-16_20260410_150000_preview.mp4</t>
  </si>
  <si>
    <t>bee_count_output/runs/selected/ANU-25-summer-16_20260410_150000_frame_flux.csv</t>
  </si>
  <si>
    <t>bee_count_output/runs/selected/ANU-25-summer-16_20260410_150000_window_3sec.csv</t>
  </si>
  <si>
    <t>ANU-25-summer-16_20260410_160000.mp4</t>
  </si>
  <si>
    <t>videos/ANU-25-summer-16_20260410_160000.mp4</t>
  </si>
  <si>
    <t>bee_count_output/runs/selected/ANU-25-summer-16_20260410_160000_preview.mp4</t>
  </si>
  <si>
    <t>bee_count_output/runs/selected/ANU-25-summer-16_20260410_160000_frame_flux.csv</t>
  </si>
  <si>
    <t>bee_count_output/runs/selected/ANU-25-summer-16_20260410_160000_window_3sec.csv</t>
  </si>
  <si>
    <t>ANU-25-summer-16_20260410_170000.mp4</t>
  </si>
  <si>
    <t>videos/ANU-25-summer-16_20260410_170000.mp4</t>
  </si>
  <si>
    <t>bee_count_output/runs/selected/ANU-25-summer-16_20260410_170000_preview.mp4</t>
  </si>
  <si>
    <t>bee_count_output/runs/selected/ANU-25-summer-16_20260410_170000_frame_flux.csv</t>
  </si>
  <si>
    <t>bee_count_output/runs/selected/ANU-25-summer-16_20260410_170000_window_3sec.csv</t>
  </si>
  <si>
    <t>ANU-25-summer-16_20260410_180000.mp4</t>
  </si>
  <si>
    <t>videos/ANU-25-summer-16_20260410_180000.mp4</t>
  </si>
  <si>
    <t>bee_count_output/runs/selected/ANU-25-summer-16_20260410_180000_preview.mp4</t>
  </si>
  <si>
    <t>bee_count_output/runs/selected/ANU-25-summer-16_20260410_180000_frame_flux.csv</t>
  </si>
  <si>
    <t>bee_count_output/runs/selected/ANU-25-summer-16_20260410_180000_window_3sec.csv</t>
  </si>
  <si>
    <t>ANU-25-summer-16_20260410_190000.mp4</t>
  </si>
  <si>
    <t>videos/ANU-25-summer-16_20260410_190000.mp4</t>
  </si>
  <si>
    <t>bee_count_output/runs/selected/ANU-25-summer-16_20260410_190000_preview.mp4</t>
  </si>
  <si>
    <t>bee_count_output/runs/selected/ANU-25-summer-16_20260410_190000_frame_flux.csv</t>
  </si>
  <si>
    <t>bee_count_output/runs/selected/ANU-25-summer-16_20260410_190000_window_3sec.csv</t>
  </si>
  <si>
    <t>ANU-25-summer-16_20260411_060000.mp4</t>
  </si>
  <si>
    <t>videos/ANU-25-summer-16_20260411_060000.mp4</t>
  </si>
  <si>
    <t>bee_count_output/runs/selected/ANU-25-summer-16_20260411_060000_preview.mp4</t>
  </si>
  <si>
    <t>bee_count_output/runs/selected/ANU-25-summer-16_20260411_060000_frame_flux.csv</t>
  </si>
  <si>
    <t>bee_count_output/runs/selected/ANU-25-summer-16_20260411_060000_window_3sec.csv</t>
  </si>
  <si>
    <t>ANU-25-summer-16_20260411_070000.mp4</t>
  </si>
  <si>
    <t>videos/ANU-25-summer-16_20260411_070000.mp4</t>
  </si>
  <si>
    <t>bee_count_output/runs/selected/ANU-25-summer-16_20260411_070000_preview.mp4</t>
  </si>
  <si>
    <t>bee_count_output/runs/selected/ANU-25-summer-16_20260411_070000_frame_flux.csv</t>
  </si>
  <si>
    <t>bee_count_output/runs/selected/ANU-25-summer-16_20260411_070000_window_3sec.csv</t>
  </si>
  <si>
    <t>ANU-25-summer-16_20260411_080000.mp4</t>
  </si>
  <si>
    <t>videos/ANU-25-summer-16_20260411_080000.mp4</t>
  </si>
  <si>
    <t>bee_count_output/runs/selected/ANU-25-summer-16_20260411_080000_preview.mp4</t>
  </si>
  <si>
    <t>bee_count_output/runs/selected/ANU-25-summer-16_20260411_080000_frame_flux.csv</t>
  </si>
  <si>
    <t>bee_count_output/runs/selected/ANU-25-summer-16_20260411_080000_window_3sec.csv</t>
  </si>
  <si>
    <t>ANU-25-summer-16_20260411_090000.mp4</t>
  </si>
  <si>
    <t>videos/ANU-25-summer-16_20260411_090000.mp4</t>
  </si>
  <si>
    <t>bee_count_output/runs/selected/ANU-25-summer-16_20260411_090000_preview.mp4</t>
  </si>
  <si>
    <t>bee_count_output/runs/selected/ANU-25-summer-16_20260411_090000_frame_flux.csv</t>
  </si>
  <si>
    <t>bee_count_output/runs/selected/ANU-25-summer-16_20260411_090000_window_3sec.csv</t>
  </si>
  <si>
    <t>ANU-25-summer-16_20260411_100000.mp4</t>
  </si>
  <si>
    <t>videos/ANU-25-summer-16_20260411_100000.mp4</t>
  </si>
  <si>
    <t>bee_count_output/runs/selected/ANU-25-summer-16_20260411_100000_preview.mp4</t>
  </si>
  <si>
    <t>bee_count_output/runs/selected/ANU-25-summer-16_20260411_100000_frame_flux.csv</t>
  </si>
  <si>
    <t>bee_count_output/runs/selected/ANU-25-summer-16_20260411_100000_window_3sec.csv</t>
  </si>
  <si>
    <t>ANU-25-summer-16_20260411_110000.mp4</t>
  </si>
  <si>
    <t>videos/ANU-25-summer-16_20260411_110000.mp4</t>
  </si>
  <si>
    <t>bee_count_output/runs/selected/ANU-25-summer-16_20260411_110000_preview.mp4</t>
  </si>
  <si>
    <t>bee_count_output/runs/selected/ANU-25-summer-16_20260411_110000_frame_flux.csv</t>
  </si>
  <si>
    <t>bee_count_output/runs/selected/ANU-25-summer-16_20260411_110000_window_3sec.csv</t>
  </si>
  <si>
    <t>ANU-25-summer-16_20260411_120000.mp4</t>
  </si>
  <si>
    <t>videos/ANU-25-summer-16_20260411_120000.mp4</t>
  </si>
  <si>
    <t>bee_count_output/runs/selected/ANU-25-summer-16_20260411_120000_preview.mp4</t>
  </si>
  <si>
    <t>bee_count_output/runs/selected/ANU-25-summer-16_20260411_120000_frame_flux.csv</t>
  </si>
  <si>
    <t>bee_count_output/runs/selected/ANU-25-summer-16_20260411_120000_window_3sec.csv</t>
  </si>
  <si>
    <t>ANU-25-summer-16_20260411_130000.mp4</t>
  </si>
  <si>
    <t>videos/ANU-25-summer-16_20260411_130000.mp4</t>
  </si>
  <si>
    <t>bee_count_output/runs/selected/ANU-25-summer-16_20260411_130000_preview.mp4</t>
  </si>
  <si>
    <t>bee_count_output/runs/selected/ANU-25-summer-16_20260411_130000_frame_flux.csv</t>
  </si>
  <si>
    <t>bee_count_output/runs/selected/ANU-25-summer-16_20260411_130000_window_3sec.csv</t>
  </si>
  <si>
    <t>ANU-25-summer-16_20260411_140000.mp4</t>
  </si>
  <si>
    <t>videos/ANU-25-summer-16_20260411_140000.mp4</t>
  </si>
  <si>
    <t>bee_count_output/runs/selected/ANU-25-summer-16_20260411_140000_preview.mp4</t>
  </si>
  <si>
    <t>bee_count_output/runs/selected/ANU-25-summer-16_20260411_140000_frame_flux.csv</t>
  </si>
  <si>
    <t>bee_count_output/runs/selected/ANU-25-summer-16_20260411_140000_window_3sec.csv</t>
  </si>
  <si>
    <t>ANU-25-summer-16_20260411_150000.mp4</t>
  </si>
  <si>
    <t>videos/ANU-25-summer-16_20260411_150000.mp4</t>
  </si>
  <si>
    <t>bee_count_output/runs/selected/ANU-25-summer-16_20260411_150000_preview.mp4</t>
  </si>
  <si>
    <t>bee_count_output/runs/selected/ANU-25-summer-16_20260411_150000_frame_flux.csv</t>
  </si>
  <si>
    <t>bee_count_output/runs/selected/ANU-25-summer-16_20260411_150000_window_3sec.csv</t>
  </si>
  <si>
    <t>ANU-25-summer-16_20260411_160000.mp4</t>
  </si>
  <si>
    <t>videos/ANU-25-summer-16_20260411_160000.mp4</t>
  </si>
  <si>
    <t>bee_count_output/runs/selected/ANU-25-summer-16_20260411_160000_preview.mp4</t>
  </si>
  <si>
    <t>bee_count_output/runs/selected/ANU-25-summer-16_20260411_160000_frame_flux.csv</t>
  </si>
  <si>
    <t>bee_count_output/runs/selected/ANU-25-summer-16_20260411_160000_window_3sec.csv</t>
  </si>
  <si>
    <t>ANU-25-summer-16_20260411_170000.mp4</t>
  </si>
  <si>
    <t>videos/ANU-25-summer-16_20260411_170000.mp4</t>
  </si>
  <si>
    <t>bee_count_output/runs/selected/ANU-25-summer-16_20260411_170000_preview.mp4</t>
  </si>
  <si>
    <t>bee_count_output/runs/selected/ANU-25-summer-16_20260411_170000_frame_flux.csv</t>
  </si>
  <si>
    <t>bee_count_output/runs/selected/ANU-25-summer-16_20260411_170000_window_3sec.csv</t>
  </si>
  <si>
    <t>ANU-25-summer-16_20260411_180000.mp4</t>
  </si>
  <si>
    <t>videos/ANU-25-summer-16_20260411_180000.mp4</t>
  </si>
  <si>
    <t>bee_count_output/runs/selected/ANU-25-summer-16_20260411_180000_preview.mp4</t>
  </si>
  <si>
    <t>bee_count_output/runs/selected/ANU-25-summer-16_20260411_180000_frame_flux.csv</t>
  </si>
  <si>
    <t>bee_count_output/runs/selected/ANU-25-summer-16_20260411_180000_window_3sec.csv</t>
  </si>
  <si>
    <t>ANU-25-summer-16_20260411_190000.mp4</t>
  </si>
  <si>
    <t>videos/ANU-25-summer-16_20260411_190000.mp4</t>
  </si>
  <si>
    <t>bee_count_output/runs/selected/ANU-25-summer-16_20260411_190000_preview.mp4</t>
  </si>
  <si>
    <t>bee_count_output/runs/selected/ANU-25-summer-16_20260411_190000_frame_flux.csv</t>
  </si>
  <si>
    <t>bee_count_output/runs/selected/ANU-25-summer-16_20260411_190000_window_3sec.csv</t>
  </si>
  <si>
    <t>ANU-25-summer-16_20260412_060000.mp4</t>
  </si>
  <si>
    <t>videos/ANU-25-summer-16_20260412_060000.mp4</t>
  </si>
  <si>
    <t>bee_count_output/runs/selected/ANU-25-summer-16_20260412_060000_preview.mp4</t>
  </si>
  <si>
    <t>bee_count_output/runs/selected/ANU-25-summer-16_20260412_060000_frame_flux.csv</t>
  </si>
  <si>
    <t>bee_count_output/runs/selected/ANU-25-summer-16_20260412_060000_window_3sec.csv</t>
  </si>
  <si>
    <t>ANU-25-summer-16_20260412_070000.mp4</t>
  </si>
  <si>
    <t>videos/ANU-25-summer-16_20260412_070000.mp4</t>
  </si>
  <si>
    <t>bee_count_output/runs/selected/ANU-25-summer-16_20260412_070000_preview.mp4</t>
  </si>
  <si>
    <t>bee_count_output/runs/selected/ANU-25-summer-16_20260412_070000_frame_flux.csv</t>
  </si>
  <si>
    <t>bee_count_output/runs/selected/ANU-25-summer-16_20260412_070000_window_3sec.csv</t>
  </si>
  <si>
    <t>ANU-25-summer-16_20260412_080000.mp4</t>
  </si>
  <si>
    <t>videos/ANU-25-summer-16_20260412_080000.mp4</t>
  </si>
  <si>
    <t>bee_count_output/runs/selected/ANU-25-summer-16_20260412_080000_preview.mp4</t>
  </si>
  <si>
    <t>bee_count_output/runs/selected/ANU-25-summer-16_20260412_080000_frame_flux.csv</t>
  </si>
  <si>
    <t>bee_count_output/runs/selected/ANU-25-summer-16_20260412_080000_window_3sec.csv</t>
  </si>
  <si>
    <t>ANU-25-summer-16_20260412_090000.mp4</t>
  </si>
  <si>
    <t>videos/ANU-25-summer-16_20260412_090000.mp4</t>
  </si>
  <si>
    <t>bee_count_output/runs/selected/ANU-25-summer-16_20260412_090000_preview.mp4</t>
  </si>
  <si>
    <t>bee_count_output/runs/selected/ANU-25-summer-16_20260412_090000_frame_flux.csv</t>
  </si>
  <si>
    <t>bee_count_output/runs/selected/ANU-25-summer-16_20260412_090000_window_3sec.csv</t>
  </si>
  <si>
    <t>ANU-25-summer-16_20260412_100000.mp4</t>
  </si>
  <si>
    <t>videos/ANU-25-summer-16_20260412_100000.mp4</t>
  </si>
  <si>
    <t>bee_count_output/runs/selected/ANU-25-summer-16_20260412_100000_preview.mp4</t>
  </si>
  <si>
    <t>bee_count_output/runs/selected/ANU-25-summer-16_20260412_100000_frame_flux.csv</t>
  </si>
  <si>
    <t>bee_count_output/runs/selected/ANU-25-summer-16_20260412_100000_window_3sec.csv</t>
  </si>
  <si>
    <t>ANU-25-summer-16_20260412_110000.mp4</t>
  </si>
  <si>
    <t>videos/ANU-25-summer-16_20260412_110000.mp4</t>
  </si>
  <si>
    <t>bee_count_output/runs/selected/ANU-25-summer-16_20260412_110000_preview.mp4</t>
  </si>
  <si>
    <t>bee_count_output/runs/selected/ANU-25-summer-16_20260412_110000_frame_flux.csv</t>
  </si>
  <si>
    <t>bee_count_output/runs/selected/ANU-25-summer-16_20260412_110000_window_3sec.csv</t>
  </si>
  <si>
    <t>ANU-25-summer-16_20260412_120000.mp4</t>
  </si>
  <si>
    <t>videos/ANU-25-summer-16_20260412_120000.mp4</t>
  </si>
  <si>
    <t>bee_count_output/runs/selected/ANU-25-summer-16_20260412_120000_preview.mp4</t>
  </si>
  <si>
    <t>bee_count_output/runs/selected/ANU-25-summer-16_20260412_120000_frame_flux.csv</t>
  </si>
  <si>
    <t>bee_count_output/runs/selected/ANU-25-summer-16_20260412_120000_window_3sec.csv</t>
  </si>
  <si>
    <t>ANU-25-summer-16_20260412_130000.mp4</t>
  </si>
  <si>
    <t>videos/ANU-25-summer-16_20260412_130000.mp4</t>
  </si>
  <si>
    <t>bee_count_output/runs/selected/ANU-25-summer-16_20260412_130000_preview.mp4</t>
  </si>
  <si>
    <t>bee_count_output/runs/selected/ANU-25-summer-16_20260412_130000_frame_flux.csv</t>
  </si>
  <si>
    <t>bee_count_output/runs/selected/ANU-25-summer-16_20260412_130000_window_3sec.csv</t>
  </si>
  <si>
    <t>ANU-25-summer-16_20260412_140000.mp4</t>
  </si>
  <si>
    <t>videos/ANU-25-summer-16_20260412_140000.mp4</t>
  </si>
  <si>
    <t>bee_count_output/runs/selected/ANU-25-summer-16_20260412_140000_preview.mp4</t>
  </si>
  <si>
    <t>bee_count_output/runs/selected/ANU-25-summer-16_20260412_140000_frame_flux.csv</t>
  </si>
  <si>
    <t>bee_count_output/runs/selected/ANU-25-summer-16_20260412_140000_window_3sec.csv</t>
  </si>
  <si>
    <t>ANU-25-summer-16_20260412_150000.mp4</t>
  </si>
  <si>
    <t>videos/ANU-25-summer-16_20260412_150000.mp4</t>
  </si>
  <si>
    <t>bee_count_output/runs/selected/ANU-25-summer-16_20260412_150000_preview.mp4</t>
  </si>
  <si>
    <t>bee_count_output/runs/selected/ANU-25-summer-16_20260412_150000_frame_flux.csv</t>
  </si>
  <si>
    <t>bee_count_output/runs/selected/ANU-25-summer-16_20260412_150000_window_3sec.csv</t>
  </si>
  <si>
    <t>ANU-25-summer-16_20260412_160000.mp4</t>
  </si>
  <si>
    <t>videos/ANU-25-summer-16_20260412_160000.mp4</t>
  </si>
  <si>
    <t>bee_count_output/runs/selected/ANU-25-summer-16_20260412_160000_preview.mp4</t>
  </si>
  <si>
    <t>bee_count_output/runs/selected/ANU-25-summer-16_20260412_160000_frame_flux.csv</t>
  </si>
  <si>
    <t>bee_count_output/runs/selected/ANU-25-summer-16_20260412_160000_window_3sec.csv</t>
  </si>
  <si>
    <t>ANU-25-summer-16_20260412_170000.mp4</t>
  </si>
  <si>
    <t>videos/ANU-25-summer-16_20260412_170000.mp4</t>
  </si>
  <si>
    <t>bee_count_output/runs/selected/ANU-25-summer-16_20260412_170000_preview.mp4</t>
  </si>
  <si>
    <t>bee_count_output/runs/selected/ANU-25-summer-16_20260412_170000_frame_flux.csv</t>
  </si>
  <si>
    <t>bee_count_output/runs/selected/ANU-25-summer-16_20260412_170000_window_3sec.csv</t>
  </si>
  <si>
    <t>ANU-25-summer-16_20260412_180000.mp4</t>
  </si>
  <si>
    <t>videos/ANU-25-summer-16_20260412_180000.mp4</t>
  </si>
  <si>
    <t>bee_count_output/runs/selected/ANU-25-summer-16_20260412_180000_preview.mp4</t>
  </si>
  <si>
    <t>bee_count_output/runs/selected/ANU-25-summer-16_20260412_180000_frame_flux.csv</t>
  </si>
  <si>
    <t>bee_count_output/runs/selected/ANU-25-summer-16_20260412_180000_window_3sec.csv</t>
  </si>
  <si>
    <t>ANU-25-summer-16_20260412_190000.mp4</t>
  </si>
  <si>
    <t>videos/ANU-25-summer-16_20260412_190000.mp4</t>
  </si>
  <si>
    <t>bee_count_output/runs/selected/ANU-25-summer-16_20260412_190000_preview.mp4</t>
  </si>
  <si>
    <t>bee_count_output/runs/selected/ANU-25-summer-16_20260412_190000_frame_flux.csv</t>
  </si>
  <si>
    <t>bee_count_output/runs/selected/ANU-25-summer-16_20260412_190000_window_3sec.csv</t>
  </si>
  <si>
    <t>ANU-25-summer-16_20260413_060000.mp4</t>
  </si>
  <si>
    <t>videos/ANU-25-summer-16_20260413_060000.mp4</t>
  </si>
  <si>
    <t>bee_count_output/runs/selected/ANU-25-summer-16_20260413_060000_preview.mp4</t>
  </si>
  <si>
    <t>bee_count_output/runs/selected/ANU-25-summer-16_20260413_060000_frame_flux.csv</t>
  </si>
  <si>
    <t>bee_count_output/runs/selected/ANU-25-summer-16_20260413_060000_window_3sec.csv</t>
  </si>
  <si>
    <t>ANU-25-summer-16_20260413_070000.mp4</t>
  </si>
  <si>
    <t>videos/ANU-25-summer-16_20260413_070000.mp4</t>
  </si>
  <si>
    <t>bee_count_output/runs/selected/ANU-25-summer-16_20260413_070000_preview.mp4</t>
  </si>
  <si>
    <t>bee_count_output/runs/selected/ANU-25-summer-16_20260413_070000_frame_flux.csv</t>
  </si>
  <si>
    <t>bee_count_output/runs/selected/ANU-25-summer-16_20260413_070000_window_3sec.csv</t>
  </si>
  <si>
    <t>ANU-25-summer-16_20260413_080000.mp4</t>
  </si>
  <si>
    <t>videos/ANU-25-summer-16_20260413_080000.mp4</t>
  </si>
  <si>
    <t>bee_count_output/runs/selected/ANU-25-summer-16_20260413_080000_preview.mp4</t>
  </si>
  <si>
    <t>bee_count_output/runs/selected/ANU-25-summer-16_20260413_080000_frame_flux.csv</t>
  </si>
  <si>
    <t>bee_count_output/runs/selected/ANU-25-summer-16_20260413_080000_window_3sec.csv</t>
  </si>
  <si>
    <t>ANU-25-summer-16_20260413_090000.mp4</t>
  </si>
  <si>
    <t>videos/ANU-25-summer-16_20260413_090000.mp4</t>
  </si>
  <si>
    <t>bee_count_output/runs/selected/ANU-25-summer-16_20260413_090000_preview.mp4</t>
  </si>
  <si>
    <t>bee_count_output/runs/selected/ANU-25-summer-16_20260413_090000_frame_flux.csv</t>
  </si>
  <si>
    <t>bee_count_output/runs/selected/ANU-25-summer-16_20260413_090000_window_3sec.csv</t>
  </si>
  <si>
    <t>ANU-25-summer-16_20260413_100000.mp4</t>
  </si>
  <si>
    <t>videos/ANU-25-summer-16_20260413_100000.mp4</t>
  </si>
  <si>
    <t>bee_count_output/runs/selected/ANU-25-summer-16_20260413_100000_preview.mp4</t>
  </si>
  <si>
    <t>bee_count_output/runs/selected/ANU-25-summer-16_20260413_100000_frame_flux.csv</t>
  </si>
  <si>
    <t>bee_count_output/runs/selected/ANU-25-summer-16_20260413_100000_window_3sec.csv</t>
  </si>
  <si>
    <t>ANU-25-summer-16_20260413_110000.mp4</t>
  </si>
  <si>
    <t>videos/ANU-25-summer-16_20260413_110000.mp4</t>
  </si>
  <si>
    <t>bee_count_output/runs/selected/ANU-25-summer-16_20260413_110000_preview.mp4</t>
  </si>
  <si>
    <t>bee_count_output/runs/selected/ANU-25-summer-16_20260413_110000_frame_flux.csv</t>
  </si>
  <si>
    <t>bee_count_output/runs/selected/ANU-25-summer-16_20260413_110000_window_3sec.csv</t>
  </si>
  <si>
    <t>ANU-25-summer-16_20260413_120000.mp4</t>
  </si>
  <si>
    <t>videos/ANU-25-summer-16_20260413_120000.mp4</t>
  </si>
  <si>
    <t>bee_count_output/runs/selected/ANU-25-summer-16_20260413_120000_preview.mp4</t>
  </si>
  <si>
    <t>bee_count_output/runs/selected/ANU-25-summer-16_20260413_120000_frame_flux.csv</t>
  </si>
  <si>
    <t>bee_count_output/runs/selected/ANU-25-summer-16_20260413_120000_window_3sec.csv</t>
  </si>
  <si>
    <t>ANU-25-summer-16_20260413_130000.mp4</t>
  </si>
  <si>
    <t>videos/ANU-25-summer-16_20260413_130000.mp4</t>
  </si>
  <si>
    <t>bee_count_output/runs/selected/ANU-25-summer-16_20260413_130000_preview.mp4</t>
  </si>
  <si>
    <t>bee_count_output/runs/selected/ANU-25-summer-16_20260413_130000_frame_flux.csv</t>
  </si>
  <si>
    <t>bee_count_output/runs/selected/ANU-25-summer-16_20260413_130000_window_3sec.csv</t>
  </si>
  <si>
    <t>ANU-25-summer-16_20260413_140000.mp4</t>
  </si>
  <si>
    <t>videos/ANU-25-summer-16_20260413_140000.mp4</t>
  </si>
  <si>
    <t>bee_count_output/runs/selected/ANU-25-summer-16_20260413_140000_preview.mp4</t>
  </si>
  <si>
    <t>bee_count_output/runs/selected/ANU-25-summer-16_20260413_140000_frame_flux.csv</t>
  </si>
  <si>
    <t>bee_count_output/runs/selected/ANU-25-summer-16_20260413_140000_window_3sec.csv</t>
  </si>
  <si>
    <t>ANU-25-summer-16_20260413_150000.mp4</t>
  </si>
  <si>
    <t>videos/ANU-25-summer-16_20260413_150000.mp4</t>
  </si>
  <si>
    <t>bee_count_output/runs/selected/ANU-25-summer-16_20260413_150000_preview.mp4</t>
  </si>
  <si>
    <t>bee_count_output/runs/selected/ANU-25-summer-16_20260413_150000_frame_flux.csv</t>
  </si>
  <si>
    <t>bee_count_output/runs/selected/ANU-25-summer-16_20260413_150000_window_3sec.csv</t>
  </si>
  <si>
    <t>ANU-25-summer-16_20260413_160000.mp4</t>
  </si>
  <si>
    <t>videos/ANU-25-summer-16_20260413_160000.mp4</t>
  </si>
  <si>
    <t>bee_count_output/runs/selected/ANU-25-summer-16_20260413_160000_preview.mp4</t>
  </si>
  <si>
    <t>bee_count_output/runs/selected/ANU-25-summer-16_20260413_160000_frame_flux.csv</t>
  </si>
  <si>
    <t>bee_count_output/runs/selected/ANU-25-summer-16_20260413_160000_window_3sec.csv</t>
  </si>
  <si>
    <t>ANU-25-summer-16_20260413_170000.mp4</t>
  </si>
  <si>
    <t>videos/ANU-25-summer-16_20260413_170000.mp4</t>
  </si>
  <si>
    <t>bee_count_output/runs/selected/ANU-25-summer-16_20260413_170000_preview.mp4</t>
  </si>
  <si>
    <t>bee_count_output/runs/selected/ANU-25-summer-16_20260413_170000_frame_flux.csv</t>
  </si>
  <si>
    <t>bee_count_output/runs/selected/ANU-25-summer-16_20260413_170000_window_3sec.csv</t>
  </si>
  <si>
    <t>ANU-25-summer-16_20260413_180000.mp4</t>
  </si>
  <si>
    <t>videos/ANU-25-summer-16_20260413_180000.mp4</t>
  </si>
  <si>
    <t>bee_count_output/runs/selected/ANU-25-summer-16_20260413_180000_preview.mp4</t>
  </si>
  <si>
    <t>bee_count_output/runs/selected/ANU-25-summer-16_20260413_180000_frame_flux.csv</t>
  </si>
  <si>
    <t>bee_count_output/runs/selected/ANU-25-summer-16_20260413_180000_window_3sec.csv</t>
  </si>
  <si>
    <t>ANU-25-summer-16_20260413_190000.mp4</t>
  </si>
  <si>
    <t>videos/ANU-25-summer-16_20260413_190000.mp4</t>
  </si>
  <si>
    <t>bee_count_output/runs/selected/ANU-25-summer-16_20260413_190000_preview.mp4</t>
  </si>
  <si>
    <t>bee_count_output/runs/selected/ANU-25-summer-16_20260413_190000_frame_flux.csv</t>
  </si>
  <si>
    <t>bee_count_output/runs/selected/ANU-25-summer-16_20260413_190000_window_3sec.csv</t>
  </si>
  <si>
    <t>ANU-25-summer-16_20260414_060000.mp4</t>
  </si>
  <si>
    <t>videos/ANU-25-summer-16_20260414_060000.mp4</t>
  </si>
  <si>
    <t>bee_count_output/runs/selected/ANU-25-summer-16_20260414_060000_preview.mp4</t>
  </si>
  <si>
    <t>bee_count_output/runs/selected/ANU-25-summer-16_20260414_060000_frame_flux.csv</t>
  </si>
  <si>
    <t>bee_count_output/runs/selected/ANU-25-summer-16_20260414_060000_window_3sec.csv</t>
  </si>
  <si>
    <t>ANU-25-summer-16_20260414_070000.mp4</t>
  </si>
  <si>
    <t>videos/ANU-25-summer-16_20260414_070000.mp4</t>
  </si>
  <si>
    <t>bee_count_output/runs/selected/ANU-25-summer-16_20260414_070000_preview.mp4</t>
  </si>
  <si>
    <t>bee_count_output/runs/selected/ANU-25-summer-16_20260414_070000_frame_flux.csv</t>
  </si>
  <si>
    <t>bee_count_output/runs/selected/ANU-25-summer-16_20260414_070000_window_3sec.csv</t>
  </si>
  <si>
    <t>ANU-25-summer-16_20260414_080000.mp4</t>
  </si>
  <si>
    <t>videos/ANU-25-summer-16_20260414_080000.mp4</t>
  </si>
  <si>
    <t>bee_count_output/runs/selected/ANU-25-summer-16_20260414_080000_preview.mp4</t>
  </si>
  <si>
    <t>bee_count_output/runs/selected/ANU-25-summer-16_20260414_080000_frame_flux.csv</t>
  </si>
  <si>
    <t>bee_count_output/runs/selected/ANU-25-summer-16_20260414_080000_window_3sec.csv</t>
  </si>
  <si>
    <t>ANU-25-summer-16_20260414_090000.mp4</t>
  </si>
  <si>
    <t>videos/ANU-25-summer-16_20260414_090000.mp4</t>
  </si>
  <si>
    <t>bee_count_output/runs/selected/ANU-25-summer-16_20260414_090000_preview.mp4</t>
  </si>
  <si>
    <t>bee_count_output/runs/selected/ANU-25-summer-16_20260414_090000_frame_flux.csv</t>
  </si>
  <si>
    <t>bee_count_output/runs/selected/ANU-25-summer-16_20260414_090000_window_3sec.csv</t>
  </si>
  <si>
    <t>ANU-25-summer-16_20260414_100000.mp4</t>
  </si>
  <si>
    <t>videos/ANU-25-summer-16_20260414_100000.mp4</t>
  </si>
  <si>
    <t>bee_count_output/runs/selected/ANU-25-summer-16_20260414_100000_preview.mp4</t>
  </si>
  <si>
    <t>bee_count_output/runs/selected/ANU-25-summer-16_20260414_100000_frame_flux.csv</t>
  </si>
  <si>
    <t>bee_count_output/runs/selected/ANU-25-summer-16_20260414_100000_window_3sec.csv</t>
  </si>
  <si>
    <t>ANU-25-summer-16_20260414_110000.mp4</t>
  </si>
  <si>
    <t>videos/ANU-25-summer-16_20260414_110000.mp4</t>
  </si>
  <si>
    <t>bee_count_output/runs/selected/ANU-25-summer-16_20260414_110000_preview.mp4</t>
  </si>
  <si>
    <t>bee_count_output/runs/selected/ANU-25-summer-16_20260414_110000_frame_flux.csv</t>
  </si>
  <si>
    <t>bee_count_output/runs/selected/ANU-25-summer-16_20260414_110000_window_3sec.csv</t>
  </si>
  <si>
    <t>ANU-25-summer-16_20260414_120000.mp4</t>
  </si>
  <si>
    <t>videos/ANU-25-summer-16_20260414_120000.mp4</t>
  </si>
  <si>
    <t>bee_count_output/runs/selected/ANU-25-summer-16_20260414_120000_preview.mp4</t>
  </si>
  <si>
    <t>bee_count_output/runs/selected/ANU-25-summer-16_20260414_120000_frame_flux.csv</t>
  </si>
  <si>
    <t>bee_count_output/runs/selected/ANU-25-summer-16_20260414_120000_window_3sec.csv</t>
  </si>
  <si>
    <t>ANU-25-summer-16_20260414_130000.mp4</t>
  </si>
  <si>
    <t>videos/ANU-25-summer-16_20260414_130000.mp4</t>
  </si>
  <si>
    <t>bee_count_output/runs/selected/ANU-25-summer-16_20260414_130000_preview.mp4</t>
  </si>
  <si>
    <t>bee_count_output/runs/selected/ANU-25-summer-16_20260414_130000_frame_flux.csv</t>
  </si>
  <si>
    <t>bee_count_output/runs/selected/ANU-25-summer-16_20260414_130000_window_3sec.csv</t>
  </si>
  <si>
    <t>ANU-25-summer-16_20260414_140000.mp4</t>
  </si>
  <si>
    <t>videos/ANU-25-summer-16_20260414_140000.mp4</t>
  </si>
  <si>
    <t>bee_count_output/runs/selected/ANU-25-summer-16_20260414_140000_preview.mp4</t>
  </si>
  <si>
    <t>bee_count_output/runs/selected/ANU-25-summer-16_20260414_140000_frame_flux.csv</t>
  </si>
  <si>
    <t>bee_count_output/runs/selected/ANU-25-summer-16_20260414_140000_window_3sec.csv</t>
  </si>
  <si>
    <t>ANU-25-summer-16_20260414_150000.mp4</t>
  </si>
  <si>
    <t>videos/ANU-25-summer-16_20260414_150000.mp4</t>
  </si>
  <si>
    <t>bee_count_output/runs/selected/ANU-25-summer-16_20260414_150000_preview.mp4</t>
  </si>
  <si>
    <t>bee_count_output/runs/selected/ANU-25-summer-16_20260414_150000_frame_flux.csv</t>
  </si>
  <si>
    <t>bee_count_output/runs/selected/ANU-25-summer-16_20260414_150000_window_3sec.csv</t>
  </si>
  <si>
    <t>ANU-25-summer-16_20260414_160000.mp4</t>
  </si>
  <si>
    <t>videos/ANU-25-summer-16_20260414_160000.mp4</t>
  </si>
  <si>
    <t>bee_count_output/runs/selected/ANU-25-summer-16_20260414_160000_preview.mp4</t>
  </si>
  <si>
    <t>bee_count_output/runs/selected/ANU-25-summer-16_20260414_160000_frame_flux.csv</t>
  </si>
  <si>
    <t>bee_count_output/runs/selected/ANU-25-summer-16_20260414_160000_window_3sec.csv</t>
  </si>
  <si>
    <t>ANU-25-summer-16_20260414_170000.mp4</t>
  </si>
  <si>
    <t>videos/ANU-25-summer-16_20260414_170000.mp4</t>
  </si>
  <si>
    <t>bee_count_output/runs/selected/ANU-25-summer-16_20260414_170000_preview.mp4</t>
  </si>
  <si>
    <t>bee_count_output/runs/selected/ANU-25-summer-16_20260414_170000_frame_flux.csv</t>
  </si>
  <si>
    <t>bee_count_output/runs/selected/ANU-25-summer-16_20260414_170000_window_3sec.csv</t>
  </si>
  <si>
    <t>ANU-25-summer-16_20260414_180000.mp4</t>
  </si>
  <si>
    <t>videos/ANU-25-summer-16_20260414_180000.mp4</t>
  </si>
  <si>
    <t>bee_count_output/runs/selected/ANU-25-summer-16_20260414_180000_preview.mp4</t>
  </si>
  <si>
    <t>bee_count_output/runs/selected/ANU-25-summer-16_20260414_180000_frame_flux.csv</t>
  </si>
  <si>
    <t>bee_count_output/runs/selected/ANU-25-summer-16_20260414_180000_window_3sec.csv</t>
  </si>
  <si>
    <t>device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</si>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</sst>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3E44B0-C71C-F246-A347-6C19D9900C22}" autoFormatId="16" applyNumberFormats="0" applyBorderFormats="0" applyFontFormats="0" applyPatternFormats="0" applyAlignmentFormats="0" applyWidthHeightFormats="0">
  <queryTableRefresh nextId="38" unboundColumnsRight="3">
    <queryTableFields count="37">
      <queryTableField id="1" name="video" tableColumnId="1"/>
      <queryTableField id="2" name="video_path" tableColumnId="2"/>
      <queryTableField id="3" name="duration_sec" tableColumnId="3"/>
      <queryTableField id="4" name="processed_frame_pairs" tableColumnId="4"/>
      <queryTableField id="5" name="preprocessing_time_sec" tableColumnId="5"/>
      <queryTableField id="6" name="optical_flow_time_sec" tableColumnId="6"/>
      <queryTableField id="7" name="preprocessing_time_per_pair_sec" tableColumnId="7"/>
      <queryTableField id="8" name="optical_flow_time_per_pair_sec" tableColumnId="8"/>
      <queryTableField id="9" name="blur_kernel" tableColumnId="9"/>
      <queryTableField id="10" name="use_persistence_filter" tableColumnId="10"/>
      <queryTableField id="11" name="persist_decay" tableColumnId="11"/>
      <queryTableField id="12" name="persist_threshold" tableColumnId="12"/>
      <queryTableField id="13" name="use_component_area_filter" tableColumnId="13"/>
      <queryTableField id="14" name="min_flow_component_area" tableColumnId="14"/>
      <queryTableField id="15" name="use_global_flow_compensation" tableColumnId="15"/>
      <queryTableField id="16" name="use_bidirectional_balance_filter" tableColumnId="16"/>
      <queryTableField id="17" name="balance_ratio_threshold" tableColumnId="17"/>
      <queryTableField id="18" name="total_raw_in_flux" tableColumnId="18"/>
      <queryTableField id="19" name="total_raw_out_flux" tableColumnId="19"/>
      <queryTableField id="20" name="total_filtered_in_flux" tableColumnId="20"/>
      <queryTableField id="21" name="total_filtered_out_flux" tableColumnId="21"/>
      <queryTableField id="22" name="total_raw_traffic_flux" tableColumnId="22"/>
      <queryTableField id="23" name="total_filtered_traffic_flux" tableColumnId="23"/>
      <queryTableField id="24" name="mean_raw_traffic_flux_per_sec" tableColumnId="24"/>
      <queryTableField id="25" name="mean_filtered_traffic_flux_per_sec" tableColumnId="25"/>
      <queryTableField id="26" name="max_window_filtered_traffic_count_est" tableColumnId="26"/>
      <queryTableField id="27" name="mean_window_filtered_traffic_count_est" tableColumnId="27"/>
      <queryTableField id="28" name="total_filtered_in_count_est" tableColumnId="28"/>
      <queryTableField id="29" name="total_filtered_out_count_est" tableColumnId="29"/>
      <queryTableField id="30" name="total_filtered_traffic_count_est" tableColumnId="30"/>
      <queryTableField id="31" name="raw_to_filtered_reduction_ratio" tableColumnId="31"/>
      <queryTableField id="32" name="preview_video" tableColumnId="32"/>
      <queryTableField id="33" name="frame_csv" tableColumnId="33"/>
      <queryTableField id="34" name="window_csv" tableColumnId="34"/>
      <queryTableField id="35" dataBound="0" tableColumnId="35"/>
      <queryTableField id="36" dataBound="0" tableColumnId="36"/>
      <queryTableField id="37" dataBound="0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BC706-7109-6744-924E-B770E96D1B8D}" name="batch_summary" displayName="batch_summary" ref="A1:AK978" tableType="queryTable" totalsRowShown="0">
  <autoFilter ref="A1:AK978" xr:uid="{B5FBC706-7109-6744-924E-B770E96D1B8D}"/>
  <sortState xmlns:xlrd2="http://schemas.microsoft.com/office/spreadsheetml/2017/richdata2" ref="A2:AK978">
    <sortCondition ref="A1:A978"/>
  </sortState>
  <tableColumns count="37">
    <tableColumn id="1" xr3:uid="{283E4E34-AA2A-3648-8AFA-912B6CC5B0C5}" uniqueName="1" name="video" queryTableFieldId="1" dataDxfId="7"/>
    <tableColumn id="2" xr3:uid="{6EEEF07C-2CF0-F748-85C8-0D7931BCA706}" uniqueName="2" name="video_path" queryTableFieldId="2" dataDxfId="6"/>
    <tableColumn id="3" xr3:uid="{A65FE5EA-8FD9-9444-8B8B-0DD6DD663E4C}" uniqueName="3" name="duration_sec" queryTableFieldId="3"/>
    <tableColumn id="4" xr3:uid="{622651C2-0465-BC4D-9351-F4C148ED588B}" uniqueName="4" name="processed_frame_pairs" queryTableFieldId="4"/>
    <tableColumn id="5" xr3:uid="{283D163B-D5AE-3E46-8AB1-311FBECB3DAB}" uniqueName="5" name="preprocessing_time_sec" queryTableFieldId="5"/>
    <tableColumn id="6" xr3:uid="{1AE67F19-2A02-B346-B6E5-D7B8FB2AFDAF}" uniqueName="6" name="optical_flow_time_sec" queryTableFieldId="6"/>
    <tableColumn id="7" xr3:uid="{668B8AED-5C88-5848-B478-CCA46CC0754A}" uniqueName="7" name="preprocessing_time_per_pair_sec" queryTableFieldId="7"/>
    <tableColumn id="8" xr3:uid="{261AD827-941A-F741-8C56-8DF245BDA1D2}" uniqueName="8" name="optical_flow_time_per_pair_sec" queryTableFieldId="8"/>
    <tableColumn id="9" xr3:uid="{621CA4C3-6C1A-9A4C-92C1-73F1C2625BDE}" uniqueName="9" name="blur_kernel" queryTableFieldId="9"/>
    <tableColumn id="10" xr3:uid="{4401752B-76AF-8947-9792-F28E12F2ECC2}" uniqueName="10" name="use_persistence_filter" queryTableFieldId="10"/>
    <tableColumn id="11" xr3:uid="{0A0AE8C5-85BD-AB47-B64A-9776AE7EC423}" uniqueName="11" name="persist_decay" queryTableFieldId="11"/>
    <tableColumn id="12" xr3:uid="{A22E3786-15F8-F44E-91B3-1A0F40EADE34}" uniqueName="12" name="persist_threshold" queryTableFieldId="12"/>
    <tableColumn id="13" xr3:uid="{60C3C1B8-FD6D-1143-ADF7-FCF5130F8CE5}" uniqueName="13" name="use_component_area_filter" queryTableFieldId="13"/>
    <tableColumn id="14" xr3:uid="{B5D2AE6D-5D17-2B4F-98BA-0257536155C3}" uniqueName="14" name="min_flow_component_area" queryTableFieldId="14"/>
    <tableColumn id="15" xr3:uid="{3AEFABC4-827C-1E4B-9EAF-040EC65ED5C0}" uniqueName="15" name="use_global_flow_compensation" queryTableFieldId="15"/>
    <tableColumn id="16" xr3:uid="{96C3BE73-96ED-CA4C-989B-F4093264C93A}" uniqueName="16" name="use_bidirectional_balance_filter" queryTableFieldId="16"/>
    <tableColumn id="17" xr3:uid="{DE9362E8-6E0A-7047-AE04-D940463EBCFF}" uniqueName="17" name="balance_ratio_threshold" queryTableFieldId="17"/>
    <tableColumn id="18" xr3:uid="{A1DFAD05-9639-DE49-B51F-344ACC78825A}" uniqueName="18" name="total_raw_in_flux" queryTableFieldId="18"/>
    <tableColumn id="19" xr3:uid="{05A91785-BED2-C14C-A690-3A9D0F1234D2}" uniqueName="19" name="total_raw_out_flux" queryTableFieldId="19"/>
    <tableColumn id="20" xr3:uid="{76F13B6B-13DB-294C-802E-1ED9E5945F4A}" uniqueName="20" name="total_filtered_in_flux" queryTableFieldId="20"/>
    <tableColumn id="21" xr3:uid="{9F59E3D0-AC95-D44E-8A0B-3272D1F5DAD5}" uniqueName="21" name="total_filtered_out_flux" queryTableFieldId="21"/>
    <tableColumn id="22" xr3:uid="{38958EA5-E779-234E-A6EB-D3786D59C223}" uniqueName="22" name="total_raw_traffic_flux" queryTableFieldId="22"/>
    <tableColumn id="23" xr3:uid="{B5237F09-C819-7545-9E3D-3841BA4CA53F}" uniqueName="23" name="total_filtered_traffic_flux" queryTableFieldId="23"/>
    <tableColumn id="24" xr3:uid="{D4484C3C-519D-BC48-9C92-0DB4C02A67A3}" uniqueName="24" name="mean_raw_traffic_flux_per_sec" queryTableFieldId="24"/>
    <tableColumn id="25" xr3:uid="{7B632EC6-744B-7546-9A08-3BC9533A7E05}" uniqueName="25" name="mean_filtered_traffic_flux_per_sec" queryTableFieldId="25"/>
    <tableColumn id="26" xr3:uid="{9B8B7771-0A81-8C4F-BB9A-2BB672DFBEC3}" uniqueName="26" name="max_window_filtered_traffic_count_est" queryTableFieldId="26"/>
    <tableColumn id="27" xr3:uid="{897F3B54-1591-B049-A53D-C76A837BBC20}" uniqueName="27" name="mean_window_filtered_traffic_count_est" queryTableFieldId="27"/>
    <tableColumn id="28" xr3:uid="{1DCF2044-2674-214D-9F83-CC212A9432FA}" uniqueName="28" name="total_filtered_in_count_est" queryTableFieldId="28"/>
    <tableColumn id="29" xr3:uid="{9F6B35CF-901A-5046-8A64-324D0EF4F6E6}" uniqueName="29" name="total_filtered_out_count_est" queryTableFieldId="29"/>
    <tableColumn id="30" xr3:uid="{35EB3799-C16C-CC40-86B1-BAD97DCC8B94}" uniqueName="30" name="total_filtered_traffic_count_est" queryTableFieldId="30"/>
    <tableColumn id="31" xr3:uid="{20AD56D7-3223-224D-BA1F-0F7C9E926458}" uniqueName="31" name="raw_to_filtered_reduction_ratio" queryTableFieldId="31"/>
    <tableColumn id="32" xr3:uid="{ABE15CA2-D47F-ED43-89E1-D417B07CDE92}" uniqueName="32" name="preview_video" queryTableFieldId="32" dataDxfId="5"/>
    <tableColumn id="33" xr3:uid="{18D4A025-9723-E641-8A57-CAA87EDFA2A5}" uniqueName="33" name="frame_csv" queryTableFieldId="33" dataDxfId="4"/>
    <tableColumn id="34" xr3:uid="{20E0FDCA-E89C-E748-92D7-9124CDC2EC7C}" uniqueName="34" name="window_csv" queryTableFieldId="34" dataDxfId="3"/>
    <tableColumn id="35" xr3:uid="{9EA08D7F-1935-C84D-A5A1-CF5C27C11F67}" uniqueName="35" name="device" queryTableFieldId="35" dataDxfId="0">
      <calculatedColumnFormula>_xlfn.TEXTAFTER(_xlfn.TEXTBEFORE(batch_summary[[#This Row],[video]],"_",1),"-",3)</calculatedColumnFormula>
    </tableColumn>
    <tableColumn id="36" xr3:uid="{1055E80E-5B09-8746-87DF-DF585C438F20}" uniqueName="36" name="date" queryTableFieldId="36" dataDxfId="2">
      <calculatedColumnFormula>_xlfn.TEXTBEFORE(_xlfn.TEXTAFTER(batch_summary[[#This Row],[video]],"_",1),"_",1)</calculatedColumnFormula>
    </tableColumn>
    <tableColumn id="37" xr3:uid="{76378E2E-A7CA-CE45-9A64-46D986EC2F62}" uniqueName="37" name="time" queryTableFieldId="37" dataDxfId="1">
      <calculatedColumnFormula>_xlfn.TEXTBEFORE(_xlfn.TEXTAFTER(batch_summary[[#This Row],[video]],"_",2),".",1)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175-9573-D042-850F-D2CE3893D016}">
  <dimension ref="A1:AK978"/>
  <sheetViews>
    <sheetView tabSelected="1" zoomScale="87" workbookViewId="0">
      <selection activeCell="AM9" sqref="AM9"/>
    </sheetView>
  </sheetViews>
  <sheetFormatPr baseColWidth="10" defaultRowHeight="16" x14ac:dyDescent="0.2"/>
  <cols>
    <col min="1" max="1" width="37.6640625" bestFit="1" customWidth="1"/>
    <col min="2" max="2" width="43.6640625" hidden="1" customWidth="1"/>
    <col min="3" max="3" width="14.33203125" hidden="1" customWidth="1"/>
    <col min="4" max="4" width="23.33203125" hidden="1" customWidth="1"/>
    <col min="5" max="5" width="24.33203125" hidden="1" customWidth="1"/>
    <col min="6" max="6" width="22.33203125" hidden="1" customWidth="1"/>
    <col min="7" max="7" width="32" hidden="1" customWidth="1"/>
    <col min="8" max="8" width="30.1640625" hidden="1" customWidth="1"/>
    <col min="9" max="9" width="12.83203125" hidden="1" customWidth="1"/>
    <col min="10" max="10" width="22.33203125" hidden="1" customWidth="1"/>
    <col min="11" max="11" width="15.1640625" hidden="1" customWidth="1"/>
    <col min="12" max="12" width="18.1640625" hidden="1" customWidth="1"/>
    <col min="13" max="13" width="26.5" hidden="1" customWidth="1"/>
    <col min="14" max="14" width="26.1640625" hidden="1" customWidth="1"/>
    <col min="15" max="15" width="30" hidden="1" customWidth="1"/>
    <col min="16" max="16" width="30.5" hidden="1" customWidth="1"/>
    <col min="17" max="17" width="23.6640625" hidden="1" customWidth="1"/>
    <col min="18" max="18" width="17.5" bestFit="1" customWidth="1"/>
    <col min="19" max="19" width="18.83203125" bestFit="1" customWidth="1"/>
    <col min="20" max="20" width="20.6640625" bestFit="1" customWidth="1"/>
    <col min="21" max="21" width="21.83203125" bestFit="1" customWidth="1"/>
    <col min="22" max="22" width="21.33203125" hidden="1" customWidth="1"/>
    <col min="23" max="23" width="24.5" hidden="1" customWidth="1"/>
    <col min="24" max="24" width="29.83203125" hidden="1" customWidth="1"/>
    <col min="25" max="25" width="32.83203125" hidden="1" customWidth="1"/>
    <col min="26" max="26" width="36.6640625" hidden="1" customWidth="1"/>
    <col min="27" max="27" width="37.83203125" hidden="1" customWidth="1"/>
    <col min="28" max="28" width="26" hidden="1" customWidth="1"/>
    <col min="29" max="29" width="27.1640625" hidden="1" customWidth="1"/>
    <col min="30" max="31" width="29.83203125" hidden="1" customWidth="1"/>
    <col min="32" max="32" width="73.1640625" hidden="1" customWidth="1"/>
    <col min="33" max="33" width="74.33203125" hidden="1" customWidth="1"/>
    <col min="34" max="34" width="76.83203125" hidden="1" customWidth="1"/>
    <col min="35" max="35" width="18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4919</v>
      </c>
      <c r="AJ1" t="s">
        <v>4920</v>
      </c>
      <c r="AK1" t="s">
        <v>4921</v>
      </c>
    </row>
    <row r="2" spans="1:37" x14ac:dyDescent="0.2">
      <c r="A2" s="1" t="s">
        <v>2334</v>
      </c>
      <c r="B2" s="1" t="s">
        <v>2335</v>
      </c>
      <c r="C2">
        <v>119.95833333333333</v>
      </c>
      <c r="D2">
        <v>2879</v>
      </c>
      <c r="E2">
        <v>0.37670911848545074</v>
      </c>
      <c r="F2">
        <v>36.90328009519726</v>
      </c>
      <c r="G2">
        <v>1.308472103110284E-4</v>
      </c>
      <c r="H2">
        <v>1.2818089647515548E-2</v>
      </c>
      <c r="I2">
        <v>5</v>
      </c>
      <c r="J2" t="b">
        <v>1</v>
      </c>
      <c r="K2">
        <v>0.65</v>
      </c>
      <c r="L2">
        <v>1.3</v>
      </c>
      <c r="M2" t="b">
        <v>1</v>
      </c>
      <c r="N2">
        <v>200</v>
      </c>
      <c r="O2" t="b">
        <v>0</v>
      </c>
      <c r="P2" t="b">
        <v>0</v>
      </c>
      <c r="Q2">
        <v>0.7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 t="s">
        <v>2336</v>
      </c>
      <c r="AG2" s="1" t="s">
        <v>2337</v>
      </c>
      <c r="AH2" s="1" t="s">
        <v>2338</v>
      </c>
      <c r="AI2" s="1" t="str">
        <f>_xlfn.TEXTAFTER(_xlfn.TEXTBEFORE(batch_summary[[#This Row],[video]],"_",1),"-",3)</f>
        <v>16</v>
      </c>
      <c r="AJ2" s="1" t="str">
        <f>_xlfn.TEXTBEFORE(_xlfn.TEXTAFTER(batch_summary[[#This Row],[video]],"_",1),"_",1)</f>
        <v>20260309</v>
      </c>
      <c r="AK2" s="1" t="str">
        <f>_xlfn.TEXTBEFORE(_xlfn.TEXTAFTER(batch_summary[[#This Row],[video]],"_",2),".",1)</f>
        <v>060000</v>
      </c>
    </row>
    <row r="3" spans="1:37" x14ac:dyDescent="0.2">
      <c r="A3" s="1" t="s">
        <v>2339</v>
      </c>
      <c r="B3" s="1" t="s">
        <v>2340</v>
      </c>
      <c r="C3">
        <v>119.95833333333333</v>
      </c>
      <c r="D3">
        <v>2879</v>
      </c>
      <c r="E3">
        <v>0.38162183202803135</v>
      </c>
      <c r="F3">
        <v>37.285745745524764</v>
      </c>
      <c r="G3">
        <v>1.3255360612297024E-4</v>
      </c>
      <c r="H3">
        <v>1.2950936347872444E-2</v>
      </c>
      <c r="I3">
        <v>5</v>
      </c>
      <c r="J3" t="b">
        <v>1</v>
      </c>
      <c r="K3">
        <v>0.65</v>
      </c>
      <c r="L3">
        <v>1.3</v>
      </c>
      <c r="M3" t="b">
        <v>1</v>
      </c>
      <c r="N3">
        <v>200</v>
      </c>
      <c r="O3" t="b">
        <v>0</v>
      </c>
      <c r="P3" t="b">
        <v>0</v>
      </c>
      <c r="Q3">
        <v>0.7</v>
      </c>
      <c r="R3">
        <v>7048.38301217556</v>
      </c>
      <c r="S3">
        <v>6058.9702970385551</v>
      </c>
      <c r="T3">
        <v>0</v>
      </c>
      <c r="U3">
        <v>0</v>
      </c>
      <c r="V3">
        <v>13107.353309214115</v>
      </c>
      <c r="W3">
        <v>0</v>
      </c>
      <c r="X3">
        <v>109.26588378643237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13107353309.214115</v>
      </c>
      <c r="AF3" s="1" t="s">
        <v>2341</v>
      </c>
      <c r="AG3" s="1" t="s">
        <v>2342</v>
      </c>
      <c r="AH3" s="1" t="s">
        <v>2343</v>
      </c>
      <c r="AI3" s="1" t="str">
        <f>_xlfn.TEXTAFTER(_xlfn.TEXTBEFORE(batch_summary[[#This Row],[video]],"_",1),"-",3)</f>
        <v>16</v>
      </c>
      <c r="AJ3" s="1" t="str">
        <f>_xlfn.TEXTBEFORE(_xlfn.TEXTAFTER(batch_summary[[#This Row],[video]],"_",1),"_",1)</f>
        <v>20260309</v>
      </c>
      <c r="AK3" s="1" t="str">
        <f>_xlfn.TEXTBEFORE(_xlfn.TEXTAFTER(batch_summary[[#This Row],[video]],"_",2),".",1)</f>
        <v>070000</v>
      </c>
    </row>
    <row r="4" spans="1:37" x14ac:dyDescent="0.2">
      <c r="A4" s="1" t="s">
        <v>2344</v>
      </c>
      <c r="B4" s="1" t="s">
        <v>2345</v>
      </c>
      <c r="C4">
        <v>119.95833333333333</v>
      </c>
      <c r="D4">
        <v>2879</v>
      </c>
      <c r="E4">
        <v>0.37935872562229633</v>
      </c>
      <c r="F4">
        <v>37.049270621500909</v>
      </c>
      <c r="G4">
        <v>1.3176753234536169E-4</v>
      </c>
      <c r="H4">
        <v>1.2868798409691181E-2</v>
      </c>
      <c r="I4">
        <v>5</v>
      </c>
      <c r="J4" t="b">
        <v>1</v>
      </c>
      <c r="K4">
        <v>0.65</v>
      </c>
      <c r="L4">
        <v>1.3</v>
      </c>
      <c r="M4" t="b">
        <v>1</v>
      </c>
      <c r="N4">
        <v>200</v>
      </c>
      <c r="O4" t="b">
        <v>0</v>
      </c>
      <c r="P4" t="b">
        <v>0</v>
      </c>
      <c r="Q4">
        <v>0.7</v>
      </c>
      <c r="R4">
        <v>2225.6156357526779</v>
      </c>
      <c r="S4">
        <v>2057.1672422289848</v>
      </c>
      <c r="T4">
        <v>0</v>
      </c>
      <c r="U4">
        <v>0</v>
      </c>
      <c r="V4">
        <v>4282.7828779816628</v>
      </c>
      <c r="W4">
        <v>0</v>
      </c>
      <c r="X4">
        <v>35.702253932462632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4282782877.9816628</v>
      </c>
      <c r="AF4" s="1" t="s">
        <v>2346</v>
      </c>
      <c r="AG4" s="1" t="s">
        <v>2347</v>
      </c>
      <c r="AH4" s="1" t="s">
        <v>2348</v>
      </c>
      <c r="AI4" s="1" t="str">
        <f>_xlfn.TEXTAFTER(_xlfn.TEXTBEFORE(batch_summary[[#This Row],[video]],"_",1),"-",3)</f>
        <v>16</v>
      </c>
      <c r="AJ4" s="1" t="str">
        <f>_xlfn.TEXTBEFORE(_xlfn.TEXTAFTER(batch_summary[[#This Row],[video]],"_",1),"_",1)</f>
        <v>20260309</v>
      </c>
      <c r="AK4" s="1" t="str">
        <f>_xlfn.TEXTBEFORE(_xlfn.TEXTAFTER(batch_summary[[#This Row],[video]],"_",2),".",1)</f>
        <v>080000</v>
      </c>
    </row>
    <row r="5" spans="1:37" x14ac:dyDescent="0.2">
      <c r="A5" s="1" t="s">
        <v>2349</v>
      </c>
      <c r="B5" s="1" t="s">
        <v>2350</v>
      </c>
      <c r="C5">
        <v>119.95833333333333</v>
      </c>
      <c r="D5">
        <v>2879</v>
      </c>
      <c r="E5">
        <v>0.38144348468631506</v>
      </c>
      <c r="F5">
        <v>36.944792539812624</v>
      </c>
      <c r="G5">
        <v>1.3249165845304449E-4</v>
      </c>
      <c r="H5">
        <v>1.2832508697399313E-2</v>
      </c>
      <c r="I5">
        <v>5</v>
      </c>
      <c r="J5" t="b">
        <v>1</v>
      </c>
      <c r="K5">
        <v>0.65</v>
      </c>
      <c r="L5">
        <v>1.3</v>
      </c>
      <c r="M5" t="b">
        <v>1</v>
      </c>
      <c r="N5">
        <v>200</v>
      </c>
      <c r="O5" t="b">
        <v>0</v>
      </c>
      <c r="P5" t="b">
        <v>0</v>
      </c>
      <c r="Q5">
        <v>0.7</v>
      </c>
      <c r="R5">
        <v>1870.332458615303</v>
      </c>
      <c r="S5">
        <v>2907.1362175941467</v>
      </c>
      <c r="T5">
        <v>0</v>
      </c>
      <c r="U5">
        <v>0</v>
      </c>
      <c r="V5">
        <v>4777.4686762094498</v>
      </c>
      <c r="W5">
        <v>0</v>
      </c>
      <c r="X5">
        <v>39.826067464059328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4777468676.2094498</v>
      </c>
      <c r="AF5" s="1" t="s">
        <v>2351</v>
      </c>
      <c r="AG5" s="1" t="s">
        <v>2352</v>
      </c>
      <c r="AH5" s="1" t="s">
        <v>2353</v>
      </c>
      <c r="AI5" s="1" t="str">
        <f>_xlfn.TEXTAFTER(_xlfn.TEXTBEFORE(batch_summary[[#This Row],[video]],"_",1),"-",3)</f>
        <v>16</v>
      </c>
      <c r="AJ5" s="1" t="str">
        <f>_xlfn.TEXTBEFORE(_xlfn.TEXTAFTER(batch_summary[[#This Row],[video]],"_",1),"_",1)</f>
        <v>20260309</v>
      </c>
      <c r="AK5" s="1" t="str">
        <f>_xlfn.TEXTBEFORE(_xlfn.TEXTAFTER(batch_summary[[#This Row],[video]],"_",2),".",1)</f>
        <v>090000</v>
      </c>
    </row>
    <row r="6" spans="1:37" x14ac:dyDescent="0.2">
      <c r="A6" s="1" t="s">
        <v>2354</v>
      </c>
      <c r="B6" s="1" t="s">
        <v>2355</v>
      </c>
      <c r="C6">
        <v>119.95833333333333</v>
      </c>
      <c r="D6">
        <v>2879</v>
      </c>
      <c r="E6">
        <v>0.37358494102954865</v>
      </c>
      <c r="F6">
        <v>36.839235693216324</v>
      </c>
      <c r="G6">
        <v>1.2976204968028783E-4</v>
      </c>
      <c r="H6">
        <v>1.2795844283854229E-2</v>
      </c>
      <c r="I6">
        <v>5</v>
      </c>
      <c r="J6" t="b">
        <v>1</v>
      </c>
      <c r="K6">
        <v>0.65</v>
      </c>
      <c r="L6">
        <v>1.3</v>
      </c>
      <c r="M6" t="b">
        <v>1</v>
      </c>
      <c r="N6">
        <v>200</v>
      </c>
      <c r="O6" t="b">
        <v>0</v>
      </c>
      <c r="P6" t="b">
        <v>0</v>
      </c>
      <c r="Q6">
        <v>0.7</v>
      </c>
      <c r="R6">
        <v>6504.6891841888428</v>
      </c>
      <c r="S6">
        <v>7243.4120074510574</v>
      </c>
      <c r="T6">
        <v>0</v>
      </c>
      <c r="U6">
        <v>0</v>
      </c>
      <c r="V6">
        <v>13748.1011916399</v>
      </c>
      <c r="W6">
        <v>0</v>
      </c>
      <c r="X6">
        <v>114.60730413315652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13748101191.6399</v>
      </c>
      <c r="AF6" s="1" t="s">
        <v>2356</v>
      </c>
      <c r="AG6" s="1" t="s">
        <v>2357</v>
      </c>
      <c r="AH6" s="1" t="s">
        <v>2358</v>
      </c>
      <c r="AI6" s="1" t="str">
        <f>_xlfn.TEXTAFTER(_xlfn.TEXTBEFORE(batch_summary[[#This Row],[video]],"_",1),"-",3)</f>
        <v>16</v>
      </c>
      <c r="AJ6" s="1" t="str">
        <f>_xlfn.TEXTBEFORE(_xlfn.TEXTAFTER(batch_summary[[#This Row],[video]],"_",1),"_",1)</f>
        <v>20260309</v>
      </c>
      <c r="AK6" s="1" t="str">
        <f>_xlfn.TEXTBEFORE(_xlfn.TEXTAFTER(batch_summary[[#This Row],[video]],"_",2),".",1)</f>
        <v>100000</v>
      </c>
    </row>
    <row r="7" spans="1:37" x14ac:dyDescent="0.2">
      <c r="A7" s="1" t="s">
        <v>2359</v>
      </c>
      <c r="B7" s="1" t="s">
        <v>2360</v>
      </c>
      <c r="C7">
        <v>119.95833333333333</v>
      </c>
      <c r="D7">
        <v>2879</v>
      </c>
      <c r="E7">
        <v>0.37681413069367409</v>
      </c>
      <c r="F7">
        <v>36.92597690038383</v>
      </c>
      <c r="G7">
        <v>1.3088368554834112E-4</v>
      </c>
      <c r="H7">
        <v>1.2825973220001331E-2</v>
      </c>
      <c r="I7">
        <v>5</v>
      </c>
      <c r="J7" t="b">
        <v>1</v>
      </c>
      <c r="K7">
        <v>0.65</v>
      </c>
      <c r="L7">
        <v>1.3</v>
      </c>
      <c r="M7" t="b">
        <v>1</v>
      </c>
      <c r="N7">
        <v>200</v>
      </c>
      <c r="O7" t="b">
        <v>0</v>
      </c>
      <c r="P7" t="b">
        <v>0</v>
      </c>
      <c r="Q7">
        <v>0.7</v>
      </c>
      <c r="R7">
        <v>5695.2453656196594</v>
      </c>
      <c r="S7">
        <v>5580.9243457317352</v>
      </c>
      <c r="T7">
        <v>922.0201416015625</v>
      </c>
      <c r="U7">
        <v>1589.5731811523438</v>
      </c>
      <c r="V7">
        <v>11276.169711351395</v>
      </c>
      <c r="W7">
        <v>2511.5933227539062</v>
      </c>
      <c r="X7">
        <v>94.000720066840387</v>
      </c>
      <c r="Y7">
        <v>20.937214222331974</v>
      </c>
      <c r="Z7">
        <v>25.115933227539063</v>
      </c>
      <c r="AA7">
        <v>0.62789833068847656</v>
      </c>
      <c r="AB7">
        <v>9.2202014160156249</v>
      </c>
      <c r="AC7">
        <v>15.895731811523438</v>
      </c>
      <c r="AD7">
        <v>25.115933227539063</v>
      </c>
      <c r="AE7">
        <v>4.4896479096334456</v>
      </c>
      <c r="AF7" s="1" t="s">
        <v>2361</v>
      </c>
      <c r="AG7" s="1" t="s">
        <v>2362</v>
      </c>
      <c r="AH7" s="1" t="s">
        <v>2363</v>
      </c>
      <c r="AI7" s="1" t="str">
        <f>_xlfn.TEXTAFTER(_xlfn.TEXTBEFORE(batch_summary[[#This Row],[video]],"_",1),"-",3)</f>
        <v>16</v>
      </c>
      <c r="AJ7" s="1" t="str">
        <f>_xlfn.TEXTBEFORE(_xlfn.TEXTAFTER(batch_summary[[#This Row],[video]],"_",1),"_",1)</f>
        <v>20260309</v>
      </c>
      <c r="AK7" s="1" t="str">
        <f>_xlfn.TEXTBEFORE(_xlfn.TEXTAFTER(batch_summary[[#This Row],[video]],"_",2),".",1)</f>
        <v>110000</v>
      </c>
    </row>
    <row r="8" spans="1:37" x14ac:dyDescent="0.2">
      <c r="A8" s="1" t="s">
        <v>2364</v>
      </c>
      <c r="B8" s="1" t="s">
        <v>2365</v>
      </c>
      <c r="C8">
        <v>119.95833333333333</v>
      </c>
      <c r="D8">
        <v>2879</v>
      </c>
      <c r="E8">
        <v>0.38054775632917881</v>
      </c>
      <c r="F8">
        <v>37.226363958790898</v>
      </c>
      <c r="G8">
        <v>1.3218053363292073E-4</v>
      </c>
      <c r="H8">
        <v>1.2930310510173983E-2</v>
      </c>
      <c r="I8">
        <v>5</v>
      </c>
      <c r="J8" t="b">
        <v>1</v>
      </c>
      <c r="K8">
        <v>0.65</v>
      </c>
      <c r="L8">
        <v>1.3</v>
      </c>
      <c r="M8" t="b">
        <v>1</v>
      </c>
      <c r="N8">
        <v>200</v>
      </c>
      <c r="O8" t="b">
        <v>0</v>
      </c>
      <c r="P8" t="b">
        <v>0</v>
      </c>
      <c r="Q8">
        <v>0.7</v>
      </c>
      <c r="R8">
        <v>521780.23948019743</v>
      </c>
      <c r="S8">
        <v>657302.93206846714</v>
      </c>
      <c r="T8">
        <v>402968.11554694176</v>
      </c>
      <c r="U8">
        <v>537814.02746915817</v>
      </c>
      <c r="V8">
        <v>1179083.1715486646</v>
      </c>
      <c r="W8">
        <v>940782.14301609993</v>
      </c>
      <c r="X8">
        <v>9829.1059802597956</v>
      </c>
      <c r="Y8">
        <v>7842.5743078799578</v>
      </c>
      <c r="Z8">
        <v>2067.0958456224203</v>
      </c>
      <c r="AA8">
        <v>235.19553575402497</v>
      </c>
      <c r="AB8">
        <v>4029.6811554694177</v>
      </c>
      <c r="AC8">
        <v>5378.1402746915819</v>
      </c>
      <c r="AD8">
        <v>9407.8214301609987</v>
      </c>
      <c r="AE8">
        <v>1.2533009690942725</v>
      </c>
      <c r="AF8" s="1" t="s">
        <v>2366</v>
      </c>
      <c r="AG8" s="1" t="s">
        <v>2367</v>
      </c>
      <c r="AH8" s="1" t="s">
        <v>2368</v>
      </c>
      <c r="AI8" s="1" t="str">
        <f>_xlfn.TEXTAFTER(_xlfn.TEXTBEFORE(batch_summary[[#This Row],[video]],"_",1),"-",3)</f>
        <v>16</v>
      </c>
      <c r="AJ8" s="1" t="str">
        <f>_xlfn.TEXTBEFORE(_xlfn.TEXTAFTER(batch_summary[[#This Row],[video]],"_",1),"_",1)</f>
        <v>20260309</v>
      </c>
      <c r="AK8" s="1" t="str">
        <f>_xlfn.TEXTBEFORE(_xlfn.TEXTAFTER(batch_summary[[#This Row],[video]],"_",2),".",1)</f>
        <v>120000</v>
      </c>
    </row>
    <row r="9" spans="1:37" x14ac:dyDescent="0.2">
      <c r="A9" s="1" t="s">
        <v>2369</v>
      </c>
      <c r="B9" s="1" t="s">
        <v>2370</v>
      </c>
      <c r="C9">
        <v>119.95833333333333</v>
      </c>
      <c r="D9">
        <v>2879</v>
      </c>
      <c r="E9">
        <v>0.37111811712384224</v>
      </c>
      <c r="F9">
        <v>36.722874557599425</v>
      </c>
      <c r="G9">
        <v>1.2890521609025435E-4</v>
      </c>
      <c r="H9">
        <v>1.2755427078012999E-2</v>
      </c>
      <c r="I9">
        <v>5</v>
      </c>
      <c r="J9" t="b">
        <v>1</v>
      </c>
      <c r="K9">
        <v>0.65</v>
      </c>
      <c r="L9">
        <v>1.3</v>
      </c>
      <c r="M9" t="b">
        <v>1</v>
      </c>
      <c r="N9">
        <v>200</v>
      </c>
      <c r="O9" t="b">
        <v>0</v>
      </c>
      <c r="P9" t="b">
        <v>0</v>
      </c>
      <c r="Q9">
        <v>0.7</v>
      </c>
      <c r="R9">
        <v>1684.8687951564789</v>
      </c>
      <c r="S9">
        <v>1413.5391602516174</v>
      </c>
      <c r="T9">
        <v>0</v>
      </c>
      <c r="U9">
        <v>0</v>
      </c>
      <c r="V9">
        <v>3098.4079554080963</v>
      </c>
      <c r="W9">
        <v>0</v>
      </c>
      <c r="X9">
        <v>25.829034709897297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3098407955.4080963</v>
      </c>
      <c r="AF9" s="1" t="s">
        <v>2371</v>
      </c>
      <c r="AG9" s="1" t="s">
        <v>2372</v>
      </c>
      <c r="AH9" s="1" t="s">
        <v>2373</v>
      </c>
      <c r="AI9" s="1" t="str">
        <f>_xlfn.TEXTAFTER(_xlfn.TEXTBEFORE(batch_summary[[#This Row],[video]],"_",1),"-",3)</f>
        <v>16</v>
      </c>
      <c r="AJ9" s="1" t="str">
        <f>_xlfn.TEXTBEFORE(_xlfn.TEXTAFTER(batch_summary[[#This Row],[video]],"_",1),"_",1)</f>
        <v>20260309</v>
      </c>
      <c r="AK9" s="1" t="str">
        <f>_xlfn.TEXTBEFORE(_xlfn.TEXTAFTER(batch_summary[[#This Row],[video]],"_",2),".",1)</f>
        <v>130000</v>
      </c>
    </row>
    <row r="10" spans="1:37" x14ac:dyDescent="0.2">
      <c r="A10" s="1" t="s">
        <v>2374</v>
      </c>
      <c r="B10" s="1" t="s">
        <v>2375</v>
      </c>
      <c r="C10">
        <v>119.95833333333333</v>
      </c>
      <c r="D10">
        <v>2879</v>
      </c>
      <c r="E10">
        <v>0.41037966776639223</v>
      </c>
      <c r="F10">
        <v>38.860667969100177</v>
      </c>
      <c r="G10">
        <v>1.4254243409739223E-4</v>
      </c>
      <c r="H10">
        <v>1.3497974285897944E-2</v>
      </c>
      <c r="I10">
        <v>5</v>
      </c>
      <c r="J10" t="b">
        <v>1</v>
      </c>
      <c r="K10">
        <v>0.65</v>
      </c>
      <c r="L10">
        <v>1.3</v>
      </c>
      <c r="M10" t="b">
        <v>1</v>
      </c>
      <c r="N10">
        <v>200</v>
      </c>
      <c r="O10" t="b">
        <v>0</v>
      </c>
      <c r="P10" t="b">
        <v>0</v>
      </c>
      <c r="Q10">
        <v>0.7</v>
      </c>
      <c r="R10">
        <v>3123376.4192968011</v>
      </c>
      <c r="S10">
        <v>3177154.1613551974</v>
      </c>
      <c r="T10">
        <v>2500144.8428983688</v>
      </c>
      <c r="U10">
        <v>2546132.6033180356</v>
      </c>
      <c r="V10">
        <v>6300530.5806519985</v>
      </c>
      <c r="W10">
        <v>5046277.4462164044</v>
      </c>
      <c r="X10">
        <v>52522.658539648481</v>
      </c>
      <c r="Y10">
        <v>42066.91862076892</v>
      </c>
      <c r="Z10">
        <v>3185.989145650864</v>
      </c>
      <c r="AA10">
        <v>1261.5693615541011</v>
      </c>
      <c r="AB10">
        <v>25001.448428983687</v>
      </c>
      <c r="AC10">
        <v>25461.326033180358</v>
      </c>
      <c r="AD10">
        <v>50462.774462164045</v>
      </c>
      <c r="AE10">
        <v>1.2485501734305171</v>
      </c>
      <c r="AF10" s="1" t="s">
        <v>2376</v>
      </c>
      <c r="AG10" s="1" t="s">
        <v>2377</v>
      </c>
      <c r="AH10" s="1" t="s">
        <v>2378</v>
      </c>
      <c r="AI10" s="1" t="str">
        <f>_xlfn.TEXTAFTER(_xlfn.TEXTBEFORE(batch_summary[[#This Row],[video]],"_",1),"-",3)</f>
        <v>16</v>
      </c>
      <c r="AJ10" s="1" t="str">
        <f>_xlfn.TEXTBEFORE(_xlfn.TEXTAFTER(batch_summary[[#This Row],[video]],"_",1),"_",1)</f>
        <v>20260309</v>
      </c>
      <c r="AK10" s="1" t="str">
        <f>_xlfn.TEXTBEFORE(_xlfn.TEXTAFTER(batch_summary[[#This Row],[video]],"_",2),".",1)</f>
        <v>140000</v>
      </c>
    </row>
    <row r="11" spans="1:37" x14ac:dyDescent="0.2">
      <c r="A11" s="1" t="s">
        <v>2379</v>
      </c>
      <c r="B11" s="1" t="s">
        <v>2380</v>
      </c>
      <c r="C11">
        <v>119.95833333333333</v>
      </c>
      <c r="D11">
        <v>2879</v>
      </c>
      <c r="E11">
        <v>0.38036486506462097</v>
      </c>
      <c r="F11">
        <v>36.86471498850733</v>
      </c>
      <c r="G11">
        <v>1.3211700766398783E-4</v>
      </c>
      <c r="H11">
        <v>1.2804694334320018E-2</v>
      </c>
      <c r="I11">
        <v>5</v>
      </c>
      <c r="J11" t="b">
        <v>1</v>
      </c>
      <c r="K11">
        <v>0.65</v>
      </c>
      <c r="L11">
        <v>1.3</v>
      </c>
      <c r="M11" t="b">
        <v>1</v>
      </c>
      <c r="N11">
        <v>200</v>
      </c>
      <c r="O11" t="b">
        <v>0</v>
      </c>
      <c r="P11" t="b">
        <v>0</v>
      </c>
      <c r="Q11">
        <v>0.7</v>
      </c>
      <c r="R11">
        <v>20559.225427746773</v>
      </c>
      <c r="S11">
        <v>55853.751569390297</v>
      </c>
      <c r="T11">
        <v>17127.56884765625</v>
      </c>
      <c r="U11">
        <v>48217.977481842041</v>
      </c>
      <c r="V11">
        <v>76412.97699713707</v>
      </c>
      <c r="W11">
        <v>65345.546329498291</v>
      </c>
      <c r="X11">
        <v>636.9959874717922</v>
      </c>
      <c r="Y11">
        <v>544.73536363597054</v>
      </c>
      <c r="Z11">
        <v>548.64391941070551</v>
      </c>
      <c r="AA11">
        <v>16.336386582374569</v>
      </c>
      <c r="AB11">
        <v>171.27568847656249</v>
      </c>
      <c r="AC11">
        <v>482.17977481842041</v>
      </c>
      <c r="AD11">
        <v>653.45546329498291</v>
      </c>
      <c r="AE11">
        <v>1.1693677884615483</v>
      </c>
      <c r="AF11" s="1" t="s">
        <v>2381</v>
      </c>
      <c r="AG11" s="1" t="s">
        <v>2382</v>
      </c>
      <c r="AH11" s="1" t="s">
        <v>2383</v>
      </c>
      <c r="AI11" s="1" t="str">
        <f>_xlfn.TEXTAFTER(_xlfn.TEXTBEFORE(batch_summary[[#This Row],[video]],"_",1),"-",3)</f>
        <v>16</v>
      </c>
      <c r="AJ11" s="1" t="str">
        <f>_xlfn.TEXTBEFORE(_xlfn.TEXTAFTER(batch_summary[[#This Row],[video]],"_",1),"_",1)</f>
        <v>20260309</v>
      </c>
      <c r="AK11" s="1" t="str">
        <f>_xlfn.TEXTBEFORE(_xlfn.TEXTAFTER(batch_summary[[#This Row],[video]],"_",2),".",1)</f>
        <v>150000</v>
      </c>
    </row>
    <row r="12" spans="1:37" x14ac:dyDescent="0.2">
      <c r="A12" s="1" t="s">
        <v>2384</v>
      </c>
      <c r="B12" s="1" t="s">
        <v>2385</v>
      </c>
      <c r="C12">
        <v>119.95833333333333</v>
      </c>
      <c r="D12">
        <v>2879</v>
      </c>
      <c r="E12">
        <v>0.38339043315500021</v>
      </c>
      <c r="F12">
        <v>37.112905643880367</v>
      </c>
      <c r="G12">
        <v>1.3316791703890248E-4</v>
      </c>
      <c r="H12">
        <v>1.2890901578284254E-2</v>
      </c>
      <c r="I12">
        <v>5</v>
      </c>
      <c r="J12" t="b">
        <v>1</v>
      </c>
      <c r="K12">
        <v>0.65</v>
      </c>
      <c r="L12">
        <v>1.3</v>
      </c>
      <c r="M12" t="b">
        <v>1</v>
      </c>
      <c r="N12">
        <v>200</v>
      </c>
      <c r="O12" t="b">
        <v>0</v>
      </c>
      <c r="P12" t="b">
        <v>0</v>
      </c>
      <c r="Q12">
        <v>0.7</v>
      </c>
      <c r="R12">
        <v>477150.49045562744</v>
      </c>
      <c r="S12">
        <v>509187.39599186182</v>
      </c>
      <c r="T12">
        <v>408680.08681106567</v>
      </c>
      <c r="U12">
        <v>414504.81595277786</v>
      </c>
      <c r="V12">
        <v>986337.88644748926</v>
      </c>
      <c r="W12">
        <v>823184.90276384354</v>
      </c>
      <c r="X12">
        <v>8222.3373653142553</v>
      </c>
      <c r="Y12">
        <v>6862.2569177951527</v>
      </c>
      <c r="Z12">
        <v>1595.0927095031739</v>
      </c>
      <c r="AA12">
        <v>205.79622569096085</v>
      </c>
      <c r="AB12">
        <v>4086.8008681106567</v>
      </c>
      <c r="AC12">
        <v>4145.0481595277788</v>
      </c>
      <c r="AD12">
        <v>8231.8490276384364</v>
      </c>
      <c r="AE12">
        <v>1.1981972496529754</v>
      </c>
      <c r="AF12" s="1" t="s">
        <v>2386</v>
      </c>
      <c r="AG12" s="1" t="s">
        <v>2387</v>
      </c>
      <c r="AH12" s="1" t="s">
        <v>2388</v>
      </c>
      <c r="AI12" s="1" t="str">
        <f>_xlfn.TEXTAFTER(_xlfn.TEXTBEFORE(batch_summary[[#This Row],[video]],"_",1),"-",3)</f>
        <v>16</v>
      </c>
      <c r="AJ12" s="1" t="str">
        <f>_xlfn.TEXTBEFORE(_xlfn.TEXTAFTER(batch_summary[[#This Row],[video]],"_",1),"_",1)</f>
        <v>20260309</v>
      </c>
      <c r="AK12" s="1" t="str">
        <f>_xlfn.TEXTBEFORE(_xlfn.TEXTAFTER(batch_summary[[#This Row],[video]],"_",2),".",1)</f>
        <v>160000</v>
      </c>
    </row>
    <row r="13" spans="1:37" x14ac:dyDescent="0.2">
      <c r="A13" s="1" t="s">
        <v>2389</v>
      </c>
      <c r="B13" s="1" t="s">
        <v>2390</v>
      </c>
      <c r="C13">
        <v>119.95833333333333</v>
      </c>
      <c r="D13">
        <v>2879</v>
      </c>
      <c r="E13">
        <v>0.38296166807413101</v>
      </c>
      <c r="F13">
        <v>36.932312496937811</v>
      </c>
      <c r="G13">
        <v>1.3301898856343558E-4</v>
      </c>
      <c r="H13">
        <v>1.2828173844021469E-2</v>
      </c>
      <c r="I13">
        <v>5</v>
      </c>
      <c r="J13" t="b">
        <v>1</v>
      </c>
      <c r="K13">
        <v>0.65</v>
      </c>
      <c r="L13">
        <v>1.3</v>
      </c>
      <c r="M13" t="b">
        <v>1</v>
      </c>
      <c r="N13">
        <v>200</v>
      </c>
      <c r="O13" t="b">
        <v>0</v>
      </c>
      <c r="P13" t="b">
        <v>0</v>
      </c>
      <c r="Q13">
        <v>0.7</v>
      </c>
      <c r="R13">
        <v>862.97843539714813</v>
      </c>
      <c r="S13">
        <v>649.84624338150024</v>
      </c>
      <c r="T13">
        <v>0</v>
      </c>
      <c r="U13">
        <v>0</v>
      </c>
      <c r="V13">
        <v>1512.8246787786484</v>
      </c>
      <c r="W13">
        <v>0</v>
      </c>
      <c r="X13">
        <v>12.611251229832428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1512824678.7786484</v>
      </c>
      <c r="AF13" s="1" t="s">
        <v>2391</v>
      </c>
      <c r="AG13" s="1" t="s">
        <v>2392</v>
      </c>
      <c r="AH13" s="1" t="s">
        <v>2393</v>
      </c>
      <c r="AI13" s="1" t="str">
        <f>_xlfn.TEXTAFTER(_xlfn.TEXTBEFORE(batch_summary[[#This Row],[video]],"_",1),"-",3)</f>
        <v>16</v>
      </c>
      <c r="AJ13" s="1" t="str">
        <f>_xlfn.TEXTBEFORE(_xlfn.TEXTAFTER(batch_summary[[#This Row],[video]],"_",1),"_",1)</f>
        <v>20260309</v>
      </c>
      <c r="AK13" s="1" t="str">
        <f>_xlfn.TEXTBEFORE(_xlfn.TEXTAFTER(batch_summary[[#This Row],[video]],"_",2),".",1)</f>
        <v>170000</v>
      </c>
    </row>
    <row r="14" spans="1:37" x14ac:dyDescent="0.2">
      <c r="A14" s="1" t="s">
        <v>2394</v>
      </c>
      <c r="B14" s="1" t="s">
        <v>2395</v>
      </c>
      <c r="C14">
        <v>119.95833333333333</v>
      </c>
      <c r="D14">
        <v>2879</v>
      </c>
      <c r="E14">
        <v>0.38773487787693739</v>
      </c>
      <c r="F14">
        <v>37.590774741023779</v>
      </c>
      <c r="G14">
        <v>1.3467692875197547E-4</v>
      </c>
      <c r="H14">
        <v>1.3056885981599089E-2</v>
      </c>
      <c r="I14">
        <v>5</v>
      </c>
      <c r="J14" t="b">
        <v>1</v>
      </c>
      <c r="K14">
        <v>0.65</v>
      </c>
      <c r="L14">
        <v>1.3</v>
      </c>
      <c r="M14" t="b">
        <v>1</v>
      </c>
      <c r="N14">
        <v>200</v>
      </c>
      <c r="O14" t="b">
        <v>0</v>
      </c>
      <c r="P14" t="b">
        <v>0</v>
      </c>
      <c r="Q14">
        <v>0.7</v>
      </c>
      <c r="R14">
        <v>4454.5258386135101</v>
      </c>
      <c r="S14">
        <v>5606.5674835443497</v>
      </c>
      <c r="T14">
        <v>0</v>
      </c>
      <c r="U14">
        <v>0</v>
      </c>
      <c r="V14">
        <v>10061.09332215786</v>
      </c>
      <c r="W14">
        <v>0</v>
      </c>
      <c r="X14">
        <v>83.871566422990156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10061093322.15786</v>
      </c>
      <c r="AF14" s="1" t="s">
        <v>2396</v>
      </c>
      <c r="AG14" s="1" t="s">
        <v>2397</v>
      </c>
      <c r="AH14" s="1" t="s">
        <v>2398</v>
      </c>
      <c r="AI14" s="1" t="str">
        <f>_xlfn.TEXTAFTER(_xlfn.TEXTBEFORE(batch_summary[[#This Row],[video]],"_",1),"-",3)</f>
        <v>16</v>
      </c>
      <c r="AJ14" s="1" t="str">
        <f>_xlfn.TEXTBEFORE(_xlfn.TEXTAFTER(batch_summary[[#This Row],[video]],"_",1),"_",1)</f>
        <v>20260309</v>
      </c>
      <c r="AK14" s="1" t="str">
        <f>_xlfn.TEXTBEFORE(_xlfn.TEXTAFTER(batch_summary[[#This Row],[video]],"_",2),".",1)</f>
        <v>180000</v>
      </c>
    </row>
    <row r="15" spans="1:37" x14ac:dyDescent="0.2">
      <c r="A15" s="1" t="s">
        <v>2399</v>
      </c>
      <c r="B15" s="1" t="s">
        <v>2400</v>
      </c>
      <c r="C15">
        <v>119.95833333333333</v>
      </c>
      <c r="D15">
        <v>2879</v>
      </c>
      <c r="E15">
        <v>0.3628004128113389</v>
      </c>
      <c r="F15">
        <v>36.556955452077091</v>
      </c>
      <c r="G15">
        <v>1.2601612115711668E-4</v>
      </c>
      <c r="H15">
        <v>1.2697796266786068E-2</v>
      </c>
      <c r="I15">
        <v>5</v>
      </c>
      <c r="J15" t="b">
        <v>1</v>
      </c>
      <c r="K15">
        <v>0.65</v>
      </c>
      <c r="L15">
        <v>1.3</v>
      </c>
      <c r="M15" t="b">
        <v>1</v>
      </c>
      <c r="N15">
        <v>200</v>
      </c>
      <c r="O15" t="b">
        <v>0</v>
      </c>
      <c r="P15" t="b">
        <v>0</v>
      </c>
      <c r="Q15">
        <v>0.7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1" t="s">
        <v>2401</v>
      </c>
      <c r="AG15" s="1" t="s">
        <v>2402</v>
      </c>
      <c r="AH15" s="1" t="s">
        <v>2403</v>
      </c>
      <c r="AI15" s="1" t="str">
        <f>_xlfn.TEXTAFTER(_xlfn.TEXTBEFORE(batch_summary[[#This Row],[video]],"_",1),"-",3)</f>
        <v>16</v>
      </c>
      <c r="AJ15" s="1" t="str">
        <f>_xlfn.TEXTBEFORE(_xlfn.TEXTAFTER(batch_summary[[#This Row],[video]],"_",1),"_",1)</f>
        <v>20260309</v>
      </c>
      <c r="AK15" s="1" t="str">
        <f>_xlfn.TEXTBEFORE(_xlfn.TEXTAFTER(batch_summary[[#This Row],[video]],"_",2),".",1)</f>
        <v>190000</v>
      </c>
    </row>
    <row r="16" spans="1:37" x14ac:dyDescent="0.2">
      <c r="A16" s="1" t="s">
        <v>2404</v>
      </c>
      <c r="B16" s="1" t="s">
        <v>2405</v>
      </c>
      <c r="C16">
        <v>119.95833333333333</v>
      </c>
      <c r="D16">
        <v>2879</v>
      </c>
      <c r="E16">
        <v>0.37634938582777977</v>
      </c>
      <c r="F16">
        <v>36.842899493873119</v>
      </c>
      <c r="G16">
        <v>1.3072225975261541E-4</v>
      </c>
      <c r="H16">
        <v>1.2797116878733281E-2</v>
      </c>
      <c r="I16">
        <v>5</v>
      </c>
      <c r="J16" t="b">
        <v>1</v>
      </c>
      <c r="K16">
        <v>0.65</v>
      </c>
      <c r="L16">
        <v>1.3</v>
      </c>
      <c r="M16" t="b">
        <v>1</v>
      </c>
      <c r="N16">
        <v>200</v>
      </c>
      <c r="O16" t="b">
        <v>0</v>
      </c>
      <c r="P16" t="b">
        <v>0</v>
      </c>
      <c r="Q16">
        <v>0.7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1" t="s">
        <v>2406</v>
      </c>
      <c r="AG16" s="1" t="s">
        <v>2407</v>
      </c>
      <c r="AH16" s="1" t="s">
        <v>2408</v>
      </c>
      <c r="AI16" s="1" t="str">
        <f>_xlfn.TEXTAFTER(_xlfn.TEXTBEFORE(batch_summary[[#This Row],[video]],"_",1),"-",3)</f>
        <v>16</v>
      </c>
      <c r="AJ16" s="1" t="str">
        <f>_xlfn.TEXTBEFORE(_xlfn.TEXTAFTER(batch_summary[[#This Row],[video]],"_",1),"_",1)</f>
        <v>20260310</v>
      </c>
      <c r="AK16" s="1" t="str">
        <f>_xlfn.TEXTBEFORE(_xlfn.TEXTAFTER(batch_summary[[#This Row],[video]],"_",2),".",1)</f>
        <v>060000</v>
      </c>
    </row>
    <row r="17" spans="1:37" x14ac:dyDescent="0.2">
      <c r="A17" s="1" t="s">
        <v>2409</v>
      </c>
      <c r="B17" s="1" t="s">
        <v>2410</v>
      </c>
      <c r="C17">
        <v>119.95833333333333</v>
      </c>
      <c r="D17">
        <v>2879</v>
      </c>
      <c r="E17">
        <v>0.38257080968469381</v>
      </c>
      <c r="F17">
        <v>37.311427168548107</v>
      </c>
      <c r="G17">
        <v>1.3288322670534694E-4</v>
      </c>
      <c r="H17">
        <v>1.2959856605956272E-2</v>
      </c>
      <c r="I17">
        <v>5</v>
      </c>
      <c r="J17" t="b">
        <v>1</v>
      </c>
      <c r="K17">
        <v>0.65</v>
      </c>
      <c r="L17">
        <v>1.3</v>
      </c>
      <c r="M17" t="b">
        <v>1</v>
      </c>
      <c r="N17">
        <v>200</v>
      </c>
      <c r="O17" t="b">
        <v>0</v>
      </c>
      <c r="P17" t="b">
        <v>0</v>
      </c>
      <c r="Q17">
        <v>0.7</v>
      </c>
      <c r="R17">
        <v>976.29882276058197</v>
      </c>
      <c r="S17">
        <v>1681.9154260754585</v>
      </c>
      <c r="T17">
        <v>0</v>
      </c>
      <c r="U17">
        <v>0</v>
      </c>
      <c r="V17">
        <v>2658.2142488360405</v>
      </c>
      <c r="W17">
        <v>0</v>
      </c>
      <c r="X17">
        <v>22.159479670741568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2658214248.8360405</v>
      </c>
      <c r="AF17" s="1" t="s">
        <v>2411</v>
      </c>
      <c r="AG17" s="1" t="s">
        <v>2412</v>
      </c>
      <c r="AH17" s="1" t="s">
        <v>2413</v>
      </c>
      <c r="AI17" s="1" t="str">
        <f>_xlfn.TEXTAFTER(_xlfn.TEXTBEFORE(batch_summary[[#This Row],[video]],"_",1),"-",3)</f>
        <v>16</v>
      </c>
      <c r="AJ17" s="1" t="str">
        <f>_xlfn.TEXTBEFORE(_xlfn.TEXTAFTER(batch_summary[[#This Row],[video]],"_",1),"_",1)</f>
        <v>20260310</v>
      </c>
      <c r="AK17" s="1" t="str">
        <f>_xlfn.TEXTBEFORE(_xlfn.TEXTAFTER(batch_summary[[#This Row],[video]],"_",2),".",1)</f>
        <v>070000</v>
      </c>
    </row>
    <row r="18" spans="1:37" x14ac:dyDescent="0.2">
      <c r="A18" s="1" t="s">
        <v>2414</v>
      </c>
      <c r="B18" s="1" t="s">
        <v>2415</v>
      </c>
      <c r="C18">
        <v>119.95833333333333</v>
      </c>
      <c r="D18">
        <v>2879</v>
      </c>
      <c r="E18">
        <v>0.38099619187414646</v>
      </c>
      <c r="F18">
        <v>36.899792487733066</v>
      </c>
      <c r="G18">
        <v>1.323362945030033E-4</v>
      </c>
      <c r="H18">
        <v>1.2816878252078175E-2</v>
      </c>
      <c r="I18">
        <v>5</v>
      </c>
      <c r="J18" t="b">
        <v>1</v>
      </c>
      <c r="K18">
        <v>0.65</v>
      </c>
      <c r="L18">
        <v>1.3</v>
      </c>
      <c r="M18" t="b">
        <v>1</v>
      </c>
      <c r="N18">
        <v>200</v>
      </c>
      <c r="O18" t="b">
        <v>0</v>
      </c>
      <c r="P18" t="b">
        <v>0</v>
      </c>
      <c r="Q18">
        <v>0.7</v>
      </c>
      <c r="R18">
        <v>1929.0825686454773</v>
      </c>
      <c r="S18">
        <v>2300.6626675724983</v>
      </c>
      <c r="T18">
        <v>0</v>
      </c>
      <c r="U18">
        <v>0</v>
      </c>
      <c r="V18">
        <v>4229.7452362179756</v>
      </c>
      <c r="W18">
        <v>0</v>
      </c>
      <c r="X18">
        <v>35.260120065728174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4229745236.2179756</v>
      </c>
      <c r="AF18" s="1" t="s">
        <v>2416</v>
      </c>
      <c r="AG18" s="1" t="s">
        <v>2417</v>
      </c>
      <c r="AH18" s="1" t="s">
        <v>2418</v>
      </c>
      <c r="AI18" s="1" t="str">
        <f>_xlfn.TEXTAFTER(_xlfn.TEXTBEFORE(batch_summary[[#This Row],[video]],"_",1),"-",3)</f>
        <v>16</v>
      </c>
      <c r="AJ18" s="1" t="str">
        <f>_xlfn.TEXTBEFORE(_xlfn.TEXTAFTER(batch_summary[[#This Row],[video]],"_",1),"_",1)</f>
        <v>20260310</v>
      </c>
      <c r="AK18" s="1" t="str">
        <f>_xlfn.TEXTBEFORE(_xlfn.TEXTAFTER(batch_summary[[#This Row],[video]],"_",2),".",1)</f>
        <v>080000</v>
      </c>
    </row>
    <row r="19" spans="1:37" x14ac:dyDescent="0.2">
      <c r="A19" s="1" t="s">
        <v>2419</v>
      </c>
      <c r="B19" s="1" t="s">
        <v>2420</v>
      </c>
      <c r="C19">
        <v>119.95833333333333</v>
      </c>
      <c r="D19">
        <v>2879</v>
      </c>
      <c r="E19">
        <v>0.37547443993389606</v>
      </c>
      <c r="F19">
        <v>36.713119287975132</v>
      </c>
      <c r="G19">
        <v>1.3041835357203754E-4</v>
      </c>
      <c r="H19">
        <v>1.2752038655079935E-2</v>
      </c>
      <c r="I19">
        <v>5</v>
      </c>
      <c r="J19" t="b">
        <v>1</v>
      </c>
      <c r="K19">
        <v>0.65</v>
      </c>
      <c r="L19">
        <v>1.3</v>
      </c>
      <c r="M19" t="b">
        <v>1</v>
      </c>
      <c r="N19">
        <v>200</v>
      </c>
      <c r="O19" t="b">
        <v>0</v>
      </c>
      <c r="P19" t="b">
        <v>0</v>
      </c>
      <c r="Q19">
        <v>0.7</v>
      </c>
      <c r="R19">
        <v>7248.2033234834671</v>
      </c>
      <c r="S19">
        <v>9498.5590817928314</v>
      </c>
      <c r="T19">
        <v>0</v>
      </c>
      <c r="U19">
        <v>0</v>
      </c>
      <c r="V19">
        <v>16746.762405276299</v>
      </c>
      <c r="W19">
        <v>0</v>
      </c>
      <c r="X19">
        <v>139.6048272756621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16746762405.276299</v>
      </c>
      <c r="AF19" s="1" t="s">
        <v>2421</v>
      </c>
      <c r="AG19" s="1" t="s">
        <v>2422</v>
      </c>
      <c r="AH19" s="1" t="s">
        <v>2423</v>
      </c>
      <c r="AI19" s="1" t="str">
        <f>_xlfn.TEXTAFTER(_xlfn.TEXTBEFORE(batch_summary[[#This Row],[video]],"_",1),"-",3)</f>
        <v>16</v>
      </c>
      <c r="AJ19" s="1" t="str">
        <f>_xlfn.TEXTBEFORE(_xlfn.TEXTAFTER(batch_summary[[#This Row],[video]],"_",1),"_",1)</f>
        <v>20260310</v>
      </c>
      <c r="AK19" s="1" t="str">
        <f>_xlfn.TEXTBEFORE(_xlfn.TEXTAFTER(batch_summary[[#This Row],[video]],"_",2),".",1)</f>
        <v>090000</v>
      </c>
    </row>
    <row r="20" spans="1:37" x14ac:dyDescent="0.2">
      <c r="A20" s="1" t="s">
        <v>2424</v>
      </c>
      <c r="B20" s="1" t="s">
        <v>2425</v>
      </c>
      <c r="C20">
        <v>119.95833333333333</v>
      </c>
      <c r="D20">
        <v>2879</v>
      </c>
      <c r="E20">
        <v>0.37204336747527122</v>
      </c>
      <c r="F20">
        <v>36.894035240635276</v>
      </c>
      <c r="G20">
        <v>1.2922659516334534E-4</v>
      </c>
      <c r="H20">
        <v>1.2814878513593357E-2</v>
      </c>
      <c r="I20">
        <v>5</v>
      </c>
      <c r="J20" t="b">
        <v>1</v>
      </c>
      <c r="K20">
        <v>0.65</v>
      </c>
      <c r="L20">
        <v>1.3</v>
      </c>
      <c r="M20" t="b">
        <v>1</v>
      </c>
      <c r="N20">
        <v>200</v>
      </c>
      <c r="O20" t="b">
        <v>0</v>
      </c>
      <c r="P20" t="b">
        <v>0</v>
      </c>
      <c r="Q20">
        <v>0.7</v>
      </c>
      <c r="R20">
        <v>4685.8479959964752</v>
      </c>
      <c r="S20">
        <v>6733.9300761222839</v>
      </c>
      <c r="T20">
        <v>0</v>
      </c>
      <c r="U20">
        <v>0</v>
      </c>
      <c r="V20">
        <v>11419.778072118759</v>
      </c>
      <c r="W20">
        <v>0</v>
      </c>
      <c r="X20">
        <v>95.197872084352284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11419778072.118759</v>
      </c>
      <c r="AF20" s="1" t="s">
        <v>2426</v>
      </c>
      <c r="AG20" s="1" t="s">
        <v>2427</v>
      </c>
      <c r="AH20" s="1" t="s">
        <v>2428</v>
      </c>
      <c r="AI20" s="1" t="str">
        <f>_xlfn.TEXTAFTER(_xlfn.TEXTBEFORE(batch_summary[[#This Row],[video]],"_",1),"-",3)</f>
        <v>16</v>
      </c>
      <c r="AJ20" s="1" t="str">
        <f>_xlfn.TEXTBEFORE(_xlfn.TEXTAFTER(batch_summary[[#This Row],[video]],"_",1),"_",1)</f>
        <v>20260310</v>
      </c>
      <c r="AK20" s="1" t="str">
        <f>_xlfn.TEXTBEFORE(_xlfn.TEXTAFTER(batch_summary[[#This Row],[video]],"_",2),".",1)</f>
        <v>100000</v>
      </c>
    </row>
    <row r="21" spans="1:37" x14ac:dyDescent="0.2">
      <c r="A21" s="1" t="s">
        <v>2429</v>
      </c>
      <c r="B21" s="1" t="s">
        <v>2430</v>
      </c>
      <c r="C21">
        <v>119.95833333333333</v>
      </c>
      <c r="D21">
        <v>2879</v>
      </c>
      <c r="E21">
        <v>0.37818015925586224</v>
      </c>
      <c r="F21">
        <v>37.010051738470793</v>
      </c>
      <c r="G21">
        <v>1.3135816577140058E-4</v>
      </c>
      <c r="H21">
        <v>1.2855176011973182E-2</v>
      </c>
      <c r="I21">
        <v>5</v>
      </c>
      <c r="J21" t="b">
        <v>1</v>
      </c>
      <c r="K21">
        <v>0.65</v>
      </c>
      <c r="L21">
        <v>1.3</v>
      </c>
      <c r="M21" t="b">
        <v>1</v>
      </c>
      <c r="N21">
        <v>200</v>
      </c>
      <c r="O21" t="b">
        <v>0</v>
      </c>
      <c r="P21" t="b">
        <v>0</v>
      </c>
      <c r="Q21">
        <v>0.7</v>
      </c>
      <c r="R21">
        <v>4545.6309398412704</v>
      </c>
      <c r="S21">
        <v>5068.0751159191132</v>
      </c>
      <c r="T21">
        <v>0</v>
      </c>
      <c r="U21">
        <v>0</v>
      </c>
      <c r="V21">
        <v>9613.7060557603836</v>
      </c>
      <c r="W21">
        <v>0</v>
      </c>
      <c r="X21">
        <v>80.142044230027508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9613706055.7603836</v>
      </c>
      <c r="AF21" s="1" t="s">
        <v>2431</v>
      </c>
      <c r="AG21" s="1" t="s">
        <v>2432</v>
      </c>
      <c r="AH21" s="1" t="s">
        <v>2433</v>
      </c>
      <c r="AI21" s="1" t="str">
        <f>_xlfn.TEXTAFTER(_xlfn.TEXTBEFORE(batch_summary[[#This Row],[video]],"_",1),"-",3)</f>
        <v>16</v>
      </c>
      <c r="AJ21" s="1" t="str">
        <f>_xlfn.TEXTBEFORE(_xlfn.TEXTAFTER(batch_summary[[#This Row],[video]],"_",1),"_",1)</f>
        <v>20260310</v>
      </c>
      <c r="AK21" s="1" t="str">
        <f>_xlfn.TEXTBEFORE(_xlfn.TEXTAFTER(batch_summary[[#This Row],[video]],"_",2),".",1)</f>
        <v>110000</v>
      </c>
    </row>
    <row r="22" spans="1:37" x14ac:dyDescent="0.2">
      <c r="A22" s="1" t="s">
        <v>2434</v>
      </c>
      <c r="B22" s="1" t="s">
        <v>2435</v>
      </c>
      <c r="C22">
        <v>119.95833333333333</v>
      </c>
      <c r="D22">
        <v>2879</v>
      </c>
      <c r="E22">
        <v>0.3819759376347065</v>
      </c>
      <c r="F22">
        <v>37.261931329965591</v>
      </c>
      <c r="G22">
        <v>1.3267660216558058E-4</v>
      </c>
      <c r="H22">
        <v>1.2942664581439941E-2</v>
      </c>
      <c r="I22">
        <v>5</v>
      </c>
      <c r="J22" t="b">
        <v>1</v>
      </c>
      <c r="K22">
        <v>0.65</v>
      </c>
      <c r="L22">
        <v>1.3</v>
      </c>
      <c r="M22" t="b">
        <v>1</v>
      </c>
      <c r="N22">
        <v>200</v>
      </c>
      <c r="O22" t="b">
        <v>0</v>
      </c>
      <c r="P22" t="b">
        <v>0</v>
      </c>
      <c r="Q22">
        <v>0.7</v>
      </c>
      <c r="R22">
        <v>467052.71330899</v>
      </c>
      <c r="S22">
        <v>739678.0490475893</v>
      </c>
      <c r="T22">
        <v>325721.57445538044</v>
      </c>
      <c r="U22">
        <v>617922.66833782196</v>
      </c>
      <c r="V22">
        <v>1206730.7623565793</v>
      </c>
      <c r="W22">
        <v>943644.2427932024</v>
      </c>
      <c r="X22">
        <v>10059.582596928762</v>
      </c>
      <c r="Y22">
        <v>7866.4334237710518</v>
      </c>
      <c r="Z22">
        <v>1743.0432030773163</v>
      </c>
      <c r="AA22">
        <v>235.91106069830056</v>
      </c>
      <c r="AB22">
        <v>3257.2157445538046</v>
      </c>
      <c r="AC22">
        <v>6179.2266833782196</v>
      </c>
      <c r="AD22">
        <v>9436.4424279320247</v>
      </c>
      <c r="AE22">
        <v>1.2787984153695851</v>
      </c>
      <c r="AF22" s="1" t="s">
        <v>2436</v>
      </c>
      <c r="AG22" s="1" t="s">
        <v>2437</v>
      </c>
      <c r="AH22" s="1" t="s">
        <v>2438</v>
      </c>
      <c r="AI22" s="1" t="str">
        <f>_xlfn.TEXTAFTER(_xlfn.TEXTBEFORE(batch_summary[[#This Row],[video]],"_",1),"-",3)</f>
        <v>16</v>
      </c>
      <c r="AJ22" s="1" t="str">
        <f>_xlfn.TEXTBEFORE(_xlfn.TEXTAFTER(batch_summary[[#This Row],[video]],"_",1),"_",1)</f>
        <v>20260310</v>
      </c>
      <c r="AK22" s="1" t="str">
        <f>_xlfn.TEXTBEFORE(_xlfn.TEXTAFTER(batch_summary[[#This Row],[video]],"_",2),".",1)</f>
        <v>120000</v>
      </c>
    </row>
    <row r="23" spans="1:37" x14ac:dyDescent="0.2">
      <c r="A23" s="1" t="s">
        <v>2439</v>
      </c>
      <c r="B23" s="1" t="s">
        <v>2440</v>
      </c>
      <c r="C23">
        <v>119.95833333333333</v>
      </c>
      <c r="D23">
        <v>2879</v>
      </c>
      <c r="E23">
        <v>0.40873378049582243</v>
      </c>
      <c r="F23">
        <v>38.766536870971322</v>
      </c>
      <c r="G23">
        <v>1.4197074695929921E-4</v>
      </c>
      <c r="H23">
        <v>1.3465278524130365E-2</v>
      </c>
      <c r="I23">
        <v>5</v>
      </c>
      <c r="J23" t="b">
        <v>1</v>
      </c>
      <c r="K23">
        <v>0.65</v>
      </c>
      <c r="L23">
        <v>1.3</v>
      </c>
      <c r="M23" t="b">
        <v>1</v>
      </c>
      <c r="N23">
        <v>200</v>
      </c>
      <c r="O23" t="b">
        <v>0</v>
      </c>
      <c r="P23" t="b">
        <v>0</v>
      </c>
      <c r="Q23">
        <v>0.7</v>
      </c>
      <c r="R23">
        <v>2903390.6811879873</v>
      </c>
      <c r="S23">
        <v>3062401.0970521569</v>
      </c>
      <c r="T23">
        <v>2410606.8780781031</v>
      </c>
      <c r="U23">
        <v>2586764.6124640703</v>
      </c>
      <c r="V23">
        <v>5965791.7782401443</v>
      </c>
      <c r="W23">
        <v>4997371.4905421734</v>
      </c>
      <c r="X23">
        <v>49732.19961019919</v>
      </c>
      <c r="Y23">
        <v>41659.227430709332</v>
      </c>
      <c r="Z23">
        <v>3991.0164189147949</v>
      </c>
      <c r="AA23">
        <v>1249.3428726355435</v>
      </c>
      <c r="AB23">
        <v>24106.068780781032</v>
      </c>
      <c r="AC23">
        <v>25867.646124640702</v>
      </c>
      <c r="AD23">
        <v>49973.71490542173</v>
      </c>
      <c r="AE23">
        <v>1.1937859311701691</v>
      </c>
      <c r="AF23" s="1" t="s">
        <v>2441</v>
      </c>
      <c r="AG23" s="1" t="s">
        <v>2442</v>
      </c>
      <c r="AH23" s="1" t="s">
        <v>2443</v>
      </c>
      <c r="AI23" s="1" t="str">
        <f>_xlfn.TEXTAFTER(_xlfn.TEXTBEFORE(batch_summary[[#This Row],[video]],"_",1),"-",3)</f>
        <v>16</v>
      </c>
      <c r="AJ23" s="1" t="str">
        <f>_xlfn.TEXTBEFORE(_xlfn.TEXTAFTER(batch_summary[[#This Row],[video]],"_",1),"_",1)</f>
        <v>20260310</v>
      </c>
      <c r="AK23" s="1" t="str">
        <f>_xlfn.TEXTBEFORE(_xlfn.TEXTAFTER(batch_summary[[#This Row],[video]],"_",2),".",1)</f>
        <v>130000</v>
      </c>
    </row>
    <row r="24" spans="1:37" x14ac:dyDescent="0.2">
      <c r="A24" s="1" t="s">
        <v>2444</v>
      </c>
      <c r="B24" s="1" t="s">
        <v>2445</v>
      </c>
      <c r="C24">
        <v>119.95833333333333</v>
      </c>
      <c r="D24">
        <v>2879</v>
      </c>
      <c r="E24">
        <v>0.39993012044578791</v>
      </c>
      <c r="F24">
        <v>38.268112594261765</v>
      </c>
      <c r="G24">
        <v>1.389128587863105E-4</v>
      </c>
      <c r="H24">
        <v>1.3292154426627914E-2</v>
      </c>
      <c r="I24">
        <v>5</v>
      </c>
      <c r="J24" t="b">
        <v>1</v>
      </c>
      <c r="K24">
        <v>0.65</v>
      </c>
      <c r="L24">
        <v>1.3</v>
      </c>
      <c r="M24" t="b">
        <v>1</v>
      </c>
      <c r="N24">
        <v>200</v>
      </c>
      <c r="O24" t="b">
        <v>0</v>
      </c>
      <c r="P24" t="b">
        <v>0</v>
      </c>
      <c r="Q24">
        <v>0.7</v>
      </c>
      <c r="R24">
        <v>3125842.3281291127</v>
      </c>
      <c r="S24">
        <v>2846190.8754573464</v>
      </c>
      <c r="T24">
        <v>2602484.8422031403</v>
      </c>
      <c r="U24">
        <v>2389375.9260815382</v>
      </c>
      <c r="V24">
        <v>5972033.2035864592</v>
      </c>
      <c r="W24">
        <v>4991860.7682846785</v>
      </c>
      <c r="X24">
        <v>49784.229554037869</v>
      </c>
      <c r="Y24">
        <v>41613.288794314794</v>
      </c>
      <c r="Z24">
        <v>4432.179198374748</v>
      </c>
      <c r="AA24">
        <v>1247.9651920711697</v>
      </c>
      <c r="AB24">
        <v>26024.848422031402</v>
      </c>
      <c r="AC24">
        <v>23893.759260815383</v>
      </c>
      <c r="AD24">
        <v>49918.607682846785</v>
      </c>
      <c r="AE24">
        <v>1.1963541213988209</v>
      </c>
      <c r="AF24" s="1" t="s">
        <v>2446</v>
      </c>
      <c r="AG24" s="1" t="s">
        <v>2447</v>
      </c>
      <c r="AH24" s="1" t="s">
        <v>2448</v>
      </c>
      <c r="AI24" s="1" t="str">
        <f>_xlfn.TEXTAFTER(_xlfn.TEXTBEFORE(batch_summary[[#This Row],[video]],"_",1),"-",3)</f>
        <v>16</v>
      </c>
      <c r="AJ24" s="1" t="str">
        <f>_xlfn.TEXTBEFORE(_xlfn.TEXTAFTER(batch_summary[[#This Row],[video]],"_",1),"_",1)</f>
        <v>20260310</v>
      </c>
      <c r="AK24" s="1" t="str">
        <f>_xlfn.TEXTBEFORE(_xlfn.TEXTAFTER(batch_summary[[#This Row],[video]],"_",2),".",1)</f>
        <v>140000</v>
      </c>
    </row>
    <row r="25" spans="1:37" x14ac:dyDescent="0.2">
      <c r="A25" s="1" t="s">
        <v>2449</v>
      </c>
      <c r="B25" s="1" t="s">
        <v>2450</v>
      </c>
      <c r="C25">
        <v>119.95833333333333</v>
      </c>
      <c r="D25">
        <v>2879</v>
      </c>
      <c r="E25">
        <v>0.40082860738039017</v>
      </c>
      <c r="F25">
        <v>38.199584644287825</v>
      </c>
      <c r="G25">
        <v>1.3922494177853081E-4</v>
      </c>
      <c r="H25">
        <v>1.3268351734730054E-2</v>
      </c>
      <c r="I25">
        <v>5</v>
      </c>
      <c r="J25" t="b">
        <v>1</v>
      </c>
      <c r="K25">
        <v>0.65</v>
      </c>
      <c r="L25">
        <v>1.3</v>
      </c>
      <c r="M25" t="b">
        <v>1</v>
      </c>
      <c r="N25">
        <v>200</v>
      </c>
      <c r="O25" t="b">
        <v>0</v>
      </c>
      <c r="P25" t="b">
        <v>0</v>
      </c>
      <c r="Q25">
        <v>0.7</v>
      </c>
      <c r="R25">
        <v>2441633.6295576692</v>
      </c>
      <c r="S25">
        <v>2700749.4207658172</v>
      </c>
      <c r="T25">
        <v>2045875.7457033396</v>
      </c>
      <c r="U25">
        <v>2311618.4224733114</v>
      </c>
      <c r="V25">
        <v>5142383.0503234863</v>
      </c>
      <c r="W25">
        <v>4357494.168176651</v>
      </c>
      <c r="X25">
        <v>42868.076834930071</v>
      </c>
      <c r="Y25">
        <v>36325.06427101064</v>
      </c>
      <c r="Z25">
        <v>2267.7402869224547</v>
      </c>
      <c r="AA25">
        <v>1089.3735420441628</v>
      </c>
      <c r="AB25">
        <v>20458.757457033396</v>
      </c>
      <c r="AC25">
        <v>23116.184224733115</v>
      </c>
      <c r="AD25">
        <v>43574.941681766511</v>
      </c>
      <c r="AE25">
        <v>1.1801239088003792</v>
      </c>
      <c r="AF25" s="1" t="s">
        <v>2451</v>
      </c>
      <c r="AG25" s="1" t="s">
        <v>2452</v>
      </c>
      <c r="AH25" s="1" t="s">
        <v>2453</v>
      </c>
      <c r="AI25" s="1" t="str">
        <f>_xlfn.TEXTAFTER(_xlfn.TEXTBEFORE(batch_summary[[#This Row],[video]],"_",1),"-",3)</f>
        <v>16</v>
      </c>
      <c r="AJ25" s="1" t="str">
        <f>_xlfn.TEXTBEFORE(_xlfn.TEXTAFTER(batch_summary[[#This Row],[video]],"_",1),"_",1)</f>
        <v>20260310</v>
      </c>
      <c r="AK25" s="1" t="str">
        <f>_xlfn.TEXTBEFORE(_xlfn.TEXTAFTER(batch_summary[[#This Row],[video]],"_",2),".",1)</f>
        <v>150000</v>
      </c>
    </row>
    <row r="26" spans="1:37" x14ac:dyDescent="0.2">
      <c r="A26" s="1" t="s">
        <v>2454</v>
      </c>
      <c r="B26" s="1" t="s">
        <v>2455</v>
      </c>
      <c r="C26">
        <v>119.95833333333333</v>
      </c>
      <c r="D26">
        <v>2879</v>
      </c>
      <c r="E26">
        <v>0.38323352579027414</v>
      </c>
      <c r="F26">
        <v>37.059546137228608</v>
      </c>
      <c r="G26">
        <v>1.3311341639120325E-4</v>
      </c>
      <c r="H26">
        <v>1.287236753637673E-2</v>
      </c>
      <c r="I26">
        <v>5</v>
      </c>
      <c r="J26" t="b">
        <v>1</v>
      </c>
      <c r="K26">
        <v>0.65</v>
      </c>
      <c r="L26">
        <v>1.3</v>
      </c>
      <c r="M26" t="b">
        <v>1</v>
      </c>
      <c r="N26">
        <v>200</v>
      </c>
      <c r="O26" t="b">
        <v>0</v>
      </c>
      <c r="P26" t="b">
        <v>0</v>
      </c>
      <c r="Q26">
        <v>0.7</v>
      </c>
      <c r="R26">
        <v>425453.4982072711</v>
      </c>
      <c r="S26">
        <v>428257.63436627388</v>
      </c>
      <c r="T26">
        <v>344824.13265681267</v>
      </c>
      <c r="U26">
        <v>349505.95202618837</v>
      </c>
      <c r="V26">
        <v>853711.13257354498</v>
      </c>
      <c r="W26">
        <v>694330.08468300104</v>
      </c>
      <c r="X26">
        <v>7116.7305251007574</v>
      </c>
      <c r="Y26">
        <v>5788.093793814528</v>
      </c>
      <c r="Z26">
        <v>1359.9916946411133</v>
      </c>
      <c r="AA26">
        <v>173.58252117075025</v>
      </c>
      <c r="AB26">
        <v>3448.2413265681266</v>
      </c>
      <c r="AC26">
        <v>3495.0595202618838</v>
      </c>
      <c r="AD26">
        <v>6943.3008468300104</v>
      </c>
      <c r="AE26">
        <v>1.2295465102355603</v>
      </c>
      <c r="AF26" s="1" t="s">
        <v>2456</v>
      </c>
      <c r="AG26" s="1" t="s">
        <v>2457</v>
      </c>
      <c r="AH26" s="1" t="s">
        <v>2458</v>
      </c>
      <c r="AI26" s="1" t="str">
        <f>_xlfn.TEXTAFTER(_xlfn.TEXTBEFORE(batch_summary[[#This Row],[video]],"_",1),"-",3)</f>
        <v>16</v>
      </c>
      <c r="AJ26" s="1" t="str">
        <f>_xlfn.TEXTBEFORE(_xlfn.TEXTAFTER(batch_summary[[#This Row],[video]],"_",1),"_",1)</f>
        <v>20260310</v>
      </c>
      <c r="AK26" s="1" t="str">
        <f>_xlfn.TEXTBEFORE(_xlfn.TEXTAFTER(batch_summary[[#This Row],[video]],"_",2),".",1)</f>
        <v>160000</v>
      </c>
    </row>
    <row r="27" spans="1:37" x14ac:dyDescent="0.2">
      <c r="A27" s="1" t="s">
        <v>2459</v>
      </c>
      <c r="B27" s="1" t="s">
        <v>2460</v>
      </c>
      <c r="C27">
        <v>119.95833333333333</v>
      </c>
      <c r="D27">
        <v>2879</v>
      </c>
      <c r="E27">
        <v>0.37799065094441175</v>
      </c>
      <c r="F27">
        <v>36.770654207095504</v>
      </c>
      <c r="G27">
        <v>1.3129234141869112E-4</v>
      </c>
      <c r="H27">
        <v>1.2772022996559744E-2</v>
      </c>
      <c r="I27">
        <v>5</v>
      </c>
      <c r="J27" t="b">
        <v>1</v>
      </c>
      <c r="K27">
        <v>0.65</v>
      </c>
      <c r="L27">
        <v>1.3</v>
      </c>
      <c r="M27" t="b">
        <v>1</v>
      </c>
      <c r="N27">
        <v>200</v>
      </c>
      <c r="O27" t="b">
        <v>0</v>
      </c>
      <c r="P27" t="b">
        <v>0</v>
      </c>
      <c r="Q27">
        <v>0.7</v>
      </c>
      <c r="R27">
        <v>18888.951329231262</v>
      </c>
      <c r="S27">
        <v>1852.319507598877</v>
      </c>
      <c r="T27">
        <v>15317.596801757812</v>
      </c>
      <c r="U27">
        <v>0</v>
      </c>
      <c r="V27">
        <v>20741.270836830139</v>
      </c>
      <c r="W27">
        <v>15317.596801757812</v>
      </c>
      <c r="X27">
        <v>172.90395973738219</v>
      </c>
      <c r="Y27">
        <v>127.69097715949549</v>
      </c>
      <c r="Z27">
        <v>153.17596801757813</v>
      </c>
      <c r="AA27">
        <v>3.829399200439453</v>
      </c>
      <c r="AB27">
        <v>153.17596801757813</v>
      </c>
      <c r="AC27">
        <v>0</v>
      </c>
      <c r="AD27">
        <v>153.17596801757813</v>
      </c>
      <c r="AE27">
        <v>1.3540812638735809</v>
      </c>
      <c r="AF27" s="1" t="s">
        <v>2461</v>
      </c>
      <c r="AG27" s="1" t="s">
        <v>2462</v>
      </c>
      <c r="AH27" s="1" t="s">
        <v>2463</v>
      </c>
      <c r="AI27" s="1" t="str">
        <f>_xlfn.TEXTAFTER(_xlfn.TEXTBEFORE(batch_summary[[#This Row],[video]],"_",1),"-",3)</f>
        <v>16</v>
      </c>
      <c r="AJ27" s="1" t="str">
        <f>_xlfn.TEXTBEFORE(_xlfn.TEXTAFTER(batch_summary[[#This Row],[video]],"_",1),"_",1)</f>
        <v>20260310</v>
      </c>
      <c r="AK27" s="1" t="str">
        <f>_xlfn.TEXTBEFORE(_xlfn.TEXTAFTER(batch_summary[[#This Row],[video]],"_",2),".",1)</f>
        <v>170000</v>
      </c>
    </row>
    <row r="28" spans="1:37" x14ac:dyDescent="0.2">
      <c r="A28" s="1" t="s">
        <v>2464</v>
      </c>
      <c r="B28" s="1" t="s">
        <v>2465</v>
      </c>
      <c r="C28">
        <v>119.95833333333333</v>
      </c>
      <c r="D28">
        <v>2879</v>
      </c>
      <c r="E28">
        <v>0.37815879378467798</v>
      </c>
      <c r="F28">
        <v>37.181802042759955</v>
      </c>
      <c r="G28">
        <v>1.3135074462823133E-4</v>
      </c>
      <c r="H28">
        <v>1.2914832248266743E-2</v>
      </c>
      <c r="I28">
        <v>5</v>
      </c>
      <c r="J28" t="b">
        <v>1</v>
      </c>
      <c r="K28">
        <v>0.65</v>
      </c>
      <c r="L28">
        <v>1.3</v>
      </c>
      <c r="M28" t="b">
        <v>1</v>
      </c>
      <c r="N28">
        <v>200</v>
      </c>
      <c r="O28" t="b">
        <v>0</v>
      </c>
      <c r="P28" t="b">
        <v>0</v>
      </c>
      <c r="Q28">
        <v>0.7</v>
      </c>
      <c r="R28">
        <v>6068.8957138061523</v>
      </c>
      <c r="S28">
        <v>6920.349209010601</v>
      </c>
      <c r="T28">
        <v>0</v>
      </c>
      <c r="U28">
        <v>0</v>
      </c>
      <c r="V28">
        <v>12989.244922816753</v>
      </c>
      <c r="W28">
        <v>0</v>
      </c>
      <c r="X28">
        <v>108.28130536561379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12989244922.816753</v>
      </c>
      <c r="AF28" s="1" t="s">
        <v>2466</v>
      </c>
      <c r="AG28" s="1" t="s">
        <v>2467</v>
      </c>
      <c r="AH28" s="1" t="s">
        <v>2468</v>
      </c>
      <c r="AI28" s="1" t="str">
        <f>_xlfn.TEXTAFTER(_xlfn.TEXTBEFORE(batch_summary[[#This Row],[video]],"_",1),"-",3)</f>
        <v>16</v>
      </c>
      <c r="AJ28" s="1" t="str">
        <f>_xlfn.TEXTBEFORE(_xlfn.TEXTAFTER(batch_summary[[#This Row],[video]],"_",1),"_",1)</f>
        <v>20260310</v>
      </c>
      <c r="AK28" s="1" t="str">
        <f>_xlfn.TEXTBEFORE(_xlfn.TEXTAFTER(batch_summary[[#This Row],[video]],"_",2),".",1)</f>
        <v>180000</v>
      </c>
    </row>
    <row r="29" spans="1:37" x14ac:dyDescent="0.2">
      <c r="A29" s="1" t="s">
        <v>2469</v>
      </c>
      <c r="B29" s="1" t="s">
        <v>2470</v>
      </c>
      <c r="C29">
        <v>119.95833333333333</v>
      </c>
      <c r="D29">
        <v>2879</v>
      </c>
      <c r="E29">
        <v>0.37053389754146338</v>
      </c>
      <c r="F29">
        <v>36.748856706544757</v>
      </c>
      <c r="G29">
        <v>1.287022916087056E-4</v>
      </c>
      <c r="H29">
        <v>1.2764451791088835E-2</v>
      </c>
      <c r="I29">
        <v>5</v>
      </c>
      <c r="J29" t="b">
        <v>1</v>
      </c>
      <c r="K29">
        <v>0.65</v>
      </c>
      <c r="L29">
        <v>1.3</v>
      </c>
      <c r="M29" t="b">
        <v>1</v>
      </c>
      <c r="N29">
        <v>200</v>
      </c>
      <c r="O29" t="b">
        <v>0</v>
      </c>
      <c r="P29" t="b">
        <v>0</v>
      </c>
      <c r="Q29">
        <v>0.7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1" t="s">
        <v>2471</v>
      </c>
      <c r="AG29" s="1" t="s">
        <v>2472</v>
      </c>
      <c r="AH29" s="1" t="s">
        <v>2473</v>
      </c>
      <c r="AI29" s="1" t="str">
        <f>_xlfn.TEXTAFTER(_xlfn.TEXTBEFORE(batch_summary[[#This Row],[video]],"_",1),"-",3)</f>
        <v>16</v>
      </c>
      <c r="AJ29" s="1" t="str">
        <f>_xlfn.TEXTBEFORE(_xlfn.TEXTAFTER(batch_summary[[#This Row],[video]],"_",1),"_",1)</f>
        <v>20260310</v>
      </c>
      <c r="AK29" s="1" t="str">
        <f>_xlfn.TEXTBEFORE(_xlfn.TEXTAFTER(batch_summary[[#This Row],[video]],"_",2),".",1)</f>
        <v>190000</v>
      </c>
    </row>
    <row r="30" spans="1:37" x14ac:dyDescent="0.2">
      <c r="A30" s="1" t="s">
        <v>2474</v>
      </c>
      <c r="B30" s="1" t="s">
        <v>2475</v>
      </c>
      <c r="C30">
        <v>119.95833333333333</v>
      </c>
      <c r="D30">
        <v>2879</v>
      </c>
      <c r="E30">
        <v>0.3738590469583869</v>
      </c>
      <c r="F30">
        <v>36.695563941262662</v>
      </c>
      <c r="G30">
        <v>1.2985725840860955E-4</v>
      </c>
      <c r="H30">
        <v>1.2745940931317354E-2</v>
      </c>
      <c r="I30">
        <v>5</v>
      </c>
      <c r="J30" t="b">
        <v>1</v>
      </c>
      <c r="K30">
        <v>0.65</v>
      </c>
      <c r="L30">
        <v>1.3</v>
      </c>
      <c r="M30" t="b">
        <v>1</v>
      </c>
      <c r="N30">
        <v>200</v>
      </c>
      <c r="O30" t="b">
        <v>0</v>
      </c>
      <c r="P30" t="b">
        <v>0</v>
      </c>
      <c r="Q30">
        <v>0.7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1" t="s">
        <v>2476</v>
      </c>
      <c r="AG30" s="1" t="s">
        <v>2477</v>
      </c>
      <c r="AH30" s="1" t="s">
        <v>2478</v>
      </c>
      <c r="AI30" s="1" t="str">
        <f>_xlfn.TEXTAFTER(_xlfn.TEXTBEFORE(batch_summary[[#This Row],[video]],"_",1),"-",3)</f>
        <v>16</v>
      </c>
      <c r="AJ30" s="1" t="str">
        <f>_xlfn.TEXTBEFORE(_xlfn.TEXTAFTER(batch_summary[[#This Row],[video]],"_",1),"_",1)</f>
        <v>20260311</v>
      </c>
      <c r="AK30" s="1" t="str">
        <f>_xlfn.TEXTBEFORE(_xlfn.TEXTAFTER(batch_summary[[#This Row],[video]],"_",2),".",1)</f>
        <v>060000</v>
      </c>
    </row>
    <row r="31" spans="1:37" x14ac:dyDescent="0.2">
      <c r="A31" s="1" t="s">
        <v>2479</v>
      </c>
      <c r="B31" s="1" t="s">
        <v>2480</v>
      </c>
      <c r="C31">
        <v>119.95833333333333</v>
      </c>
      <c r="D31">
        <v>2879</v>
      </c>
      <c r="E31">
        <v>0.38240077439695597</v>
      </c>
      <c r="F31">
        <v>37.228776964358985</v>
      </c>
      <c r="G31">
        <v>1.328241661677513E-4</v>
      </c>
      <c r="H31">
        <v>1.2931148650350464E-2</v>
      </c>
      <c r="I31">
        <v>5</v>
      </c>
      <c r="J31" t="b">
        <v>1</v>
      </c>
      <c r="K31">
        <v>0.65</v>
      </c>
      <c r="L31">
        <v>1.3</v>
      </c>
      <c r="M31" t="b">
        <v>1</v>
      </c>
      <c r="N31">
        <v>200</v>
      </c>
      <c r="O31" t="b">
        <v>0</v>
      </c>
      <c r="P31" t="b">
        <v>0</v>
      </c>
      <c r="Q31">
        <v>0.7</v>
      </c>
      <c r="R31">
        <v>4348.5260010361671</v>
      </c>
      <c r="S31">
        <v>4196.2143152952194</v>
      </c>
      <c r="T31">
        <v>0</v>
      </c>
      <c r="U31">
        <v>0</v>
      </c>
      <c r="V31">
        <v>8544.7403163313866</v>
      </c>
      <c r="W31">
        <v>0</v>
      </c>
      <c r="X31">
        <v>71.230902254933412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8544740316.3313866</v>
      </c>
      <c r="AF31" s="1" t="s">
        <v>2481</v>
      </c>
      <c r="AG31" s="1" t="s">
        <v>2482</v>
      </c>
      <c r="AH31" s="1" t="s">
        <v>2483</v>
      </c>
      <c r="AI31" s="1" t="str">
        <f>_xlfn.TEXTAFTER(_xlfn.TEXTBEFORE(batch_summary[[#This Row],[video]],"_",1),"-",3)</f>
        <v>16</v>
      </c>
      <c r="AJ31" s="1" t="str">
        <f>_xlfn.TEXTBEFORE(_xlfn.TEXTAFTER(batch_summary[[#This Row],[video]],"_",1),"_",1)</f>
        <v>20260311</v>
      </c>
      <c r="AK31" s="1" t="str">
        <f>_xlfn.TEXTBEFORE(_xlfn.TEXTAFTER(batch_summary[[#This Row],[video]],"_",2),".",1)</f>
        <v>070000</v>
      </c>
    </row>
    <row r="32" spans="1:37" x14ac:dyDescent="0.2">
      <c r="A32" s="1" t="s">
        <v>2484</v>
      </c>
      <c r="B32" s="1" t="s">
        <v>2485</v>
      </c>
      <c r="C32">
        <v>119.95833333333333</v>
      </c>
      <c r="D32">
        <v>2879</v>
      </c>
      <c r="E32">
        <v>0.38209042698144913</v>
      </c>
      <c r="F32">
        <v>36.932454801164567</v>
      </c>
      <c r="G32">
        <v>1.3271636921898197E-4</v>
      </c>
      <c r="H32">
        <v>1.2828223272373937E-2</v>
      </c>
      <c r="I32">
        <v>5</v>
      </c>
      <c r="J32" t="b">
        <v>1</v>
      </c>
      <c r="K32">
        <v>0.65</v>
      </c>
      <c r="L32">
        <v>1.3</v>
      </c>
      <c r="M32" t="b">
        <v>1</v>
      </c>
      <c r="N32">
        <v>200</v>
      </c>
      <c r="O32" t="b">
        <v>0</v>
      </c>
      <c r="P32" t="b">
        <v>0</v>
      </c>
      <c r="Q32">
        <v>0.7</v>
      </c>
      <c r="R32">
        <v>4747.171528339386</v>
      </c>
      <c r="S32">
        <v>4473.2980018854141</v>
      </c>
      <c r="T32">
        <v>0</v>
      </c>
      <c r="U32">
        <v>0</v>
      </c>
      <c r="V32">
        <v>9220.4695302248001</v>
      </c>
      <c r="W32">
        <v>0</v>
      </c>
      <c r="X32">
        <v>76.863934951509279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9220469530.2248001</v>
      </c>
      <c r="AF32" s="1" t="s">
        <v>2486</v>
      </c>
      <c r="AG32" s="1" t="s">
        <v>2487</v>
      </c>
      <c r="AH32" s="1" t="s">
        <v>2488</v>
      </c>
      <c r="AI32" s="1" t="str">
        <f>_xlfn.TEXTAFTER(_xlfn.TEXTBEFORE(batch_summary[[#This Row],[video]],"_",1),"-",3)</f>
        <v>16</v>
      </c>
      <c r="AJ32" s="1" t="str">
        <f>_xlfn.TEXTBEFORE(_xlfn.TEXTAFTER(batch_summary[[#This Row],[video]],"_",1),"_",1)</f>
        <v>20260311</v>
      </c>
      <c r="AK32" s="1" t="str">
        <f>_xlfn.TEXTBEFORE(_xlfn.TEXTAFTER(batch_summary[[#This Row],[video]],"_",2),".",1)</f>
        <v>080000</v>
      </c>
    </row>
    <row r="33" spans="1:37" x14ac:dyDescent="0.2">
      <c r="A33" s="1" t="s">
        <v>2489</v>
      </c>
      <c r="B33" s="1" t="s">
        <v>2490</v>
      </c>
      <c r="C33">
        <v>119.95833333333333</v>
      </c>
      <c r="D33">
        <v>2879</v>
      </c>
      <c r="E33">
        <v>0.37548310030251741</v>
      </c>
      <c r="F33">
        <v>36.847623834386468</v>
      </c>
      <c r="G33">
        <v>1.3042136168896055E-4</v>
      </c>
      <c r="H33">
        <v>1.2798757844524651E-2</v>
      </c>
      <c r="I33">
        <v>5</v>
      </c>
      <c r="J33" t="b">
        <v>1</v>
      </c>
      <c r="K33">
        <v>0.65</v>
      </c>
      <c r="L33">
        <v>1.3</v>
      </c>
      <c r="M33" t="b">
        <v>1</v>
      </c>
      <c r="N33">
        <v>200</v>
      </c>
      <c r="O33" t="b">
        <v>0</v>
      </c>
      <c r="P33" t="b">
        <v>0</v>
      </c>
      <c r="Q33">
        <v>0.7</v>
      </c>
      <c r="R33">
        <v>7691.660902261734</v>
      </c>
      <c r="S33">
        <v>8204.4576258063316</v>
      </c>
      <c r="T33">
        <v>0</v>
      </c>
      <c r="U33">
        <v>0</v>
      </c>
      <c r="V33">
        <v>15896.118528068066</v>
      </c>
      <c r="W33">
        <v>0</v>
      </c>
      <c r="X33">
        <v>132.51366609018186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15896118528.068066</v>
      </c>
      <c r="AF33" s="1" t="s">
        <v>2491</v>
      </c>
      <c r="AG33" s="1" t="s">
        <v>2492</v>
      </c>
      <c r="AH33" s="1" t="s">
        <v>2493</v>
      </c>
      <c r="AI33" s="1" t="str">
        <f>_xlfn.TEXTAFTER(_xlfn.TEXTBEFORE(batch_summary[[#This Row],[video]],"_",1),"-",3)</f>
        <v>16</v>
      </c>
      <c r="AJ33" s="1" t="str">
        <f>_xlfn.TEXTBEFORE(_xlfn.TEXTAFTER(batch_summary[[#This Row],[video]],"_",1),"_",1)</f>
        <v>20260311</v>
      </c>
      <c r="AK33" s="1" t="str">
        <f>_xlfn.TEXTBEFORE(_xlfn.TEXTAFTER(batch_summary[[#This Row],[video]],"_",2),".",1)</f>
        <v>090000</v>
      </c>
    </row>
    <row r="34" spans="1:37" x14ac:dyDescent="0.2">
      <c r="A34" s="1" t="s">
        <v>2494</v>
      </c>
      <c r="B34" s="1" t="s">
        <v>2495</v>
      </c>
      <c r="C34">
        <v>119.95833333333333</v>
      </c>
      <c r="D34">
        <v>2879</v>
      </c>
      <c r="E34">
        <v>0.37296948675066233</v>
      </c>
      <c r="F34">
        <v>36.83906025160104</v>
      </c>
      <c r="G34">
        <v>1.2954827605094212E-4</v>
      </c>
      <c r="H34">
        <v>1.2795783345467538E-2</v>
      </c>
      <c r="I34">
        <v>5</v>
      </c>
      <c r="J34" t="b">
        <v>1</v>
      </c>
      <c r="K34">
        <v>0.65</v>
      </c>
      <c r="L34">
        <v>1.3</v>
      </c>
      <c r="M34" t="b">
        <v>1</v>
      </c>
      <c r="N34">
        <v>200</v>
      </c>
      <c r="O34" t="b">
        <v>0</v>
      </c>
      <c r="P34" t="b">
        <v>0</v>
      </c>
      <c r="Q34">
        <v>0.7</v>
      </c>
      <c r="R34">
        <v>3831.7701160907745</v>
      </c>
      <c r="S34">
        <v>6464.1595907211304</v>
      </c>
      <c r="T34">
        <v>0</v>
      </c>
      <c r="U34">
        <v>0</v>
      </c>
      <c r="V34">
        <v>10295.929706811905</v>
      </c>
      <c r="W34">
        <v>0</v>
      </c>
      <c r="X34">
        <v>85.829216034555657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10295929706.811905</v>
      </c>
      <c r="AF34" s="1" t="s">
        <v>2496</v>
      </c>
      <c r="AG34" s="1" t="s">
        <v>2497</v>
      </c>
      <c r="AH34" s="1" t="s">
        <v>2498</v>
      </c>
      <c r="AI34" s="1" t="str">
        <f>_xlfn.TEXTAFTER(_xlfn.TEXTBEFORE(batch_summary[[#This Row],[video]],"_",1),"-",3)</f>
        <v>16</v>
      </c>
      <c r="AJ34" s="1" t="str">
        <f>_xlfn.TEXTBEFORE(_xlfn.TEXTAFTER(batch_summary[[#This Row],[video]],"_",1),"_",1)</f>
        <v>20260311</v>
      </c>
      <c r="AK34" s="1" t="str">
        <f>_xlfn.TEXTBEFORE(_xlfn.TEXTAFTER(batch_summary[[#This Row],[video]],"_",2),".",1)</f>
        <v>100000</v>
      </c>
    </row>
    <row r="35" spans="1:37" x14ac:dyDescent="0.2">
      <c r="A35" s="1" t="s">
        <v>2499</v>
      </c>
      <c r="B35" s="1" t="s">
        <v>2500</v>
      </c>
      <c r="C35">
        <v>119.95833333333333</v>
      </c>
      <c r="D35">
        <v>2879</v>
      </c>
      <c r="E35">
        <v>0.38265952095389366</v>
      </c>
      <c r="F35">
        <v>37.027483603917062</v>
      </c>
      <c r="G35">
        <v>1.3291403992841044E-4</v>
      </c>
      <c r="H35">
        <v>1.2861230845403634E-2</v>
      </c>
      <c r="I35">
        <v>5</v>
      </c>
      <c r="J35" t="b">
        <v>1</v>
      </c>
      <c r="K35">
        <v>0.65</v>
      </c>
      <c r="L35">
        <v>1.3</v>
      </c>
      <c r="M35" t="b">
        <v>1</v>
      </c>
      <c r="N35">
        <v>200</v>
      </c>
      <c r="O35" t="b">
        <v>0</v>
      </c>
      <c r="P35" t="b">
        <v>0</v>
      </c>
      <c r="Q35">
        <v>0.7</v>
      </c>
      <c r="R35">
        <v>3757.7986634969711</v>
      </c>
      <c r="S35">
        <v>5021.9138253331184</v>
      </c>
      <c r="T35">
        <v>0</v>
      </c>
      <c r="U35">
        <v>0</v>
      </c>
      <c r="V35">
        <v>8779.7124888300896</v>
      </c>
      <c r="W35">
        <v>0</v>
      </c>
      <c r="X35">
        <v>73.18968382491218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8779712488.8300896</v>
      </c>
      <c r="AF35" s="1" t="s">
        <v>2501</v>
      </c>
      <c r="AG35" s="1" t="s">
        <v>2502</v>
      </c>
      <c r="AH35" s="1" t="s">
        <v>2503</v>
      </c>
      <c r="AI35" s="1" t="str">
        <f>_xlfn.TEXTAFTER(_xlfn.TEXTBEFORE(batch_summary[[#This Row],[video]],"_",1),"-",3)</f>
        <v>16</v>
      </c>
      <c r="AJ35" s="1" t="str">
        <f>_xlfn.TEXTBEFORE(_xlfn.TEXTAFTER(batch_summary[[#This Row],[video]],"_",1),"_",1)</f>
        <v>20260311</v>
      </c>
      <c r="AK35" s="1" t="str">
        <f>_xlfn.TEXTBEFORE(_xlfn.TEXTAFTER(batch_summary[[#This Row],[video]],"_",2),".",1)</f>
        <v>110000</v>
      </c>
    </row>
    <row r="36" spans="1:37" x14ac:dyDescent="0.2">
      <c r="A36" s="1" t="s">
        <v>2504</v>
      </c>
      <c r="B36" s="1" t="s">
        <v>2505</v>
      </c>
      <c r="C36">
        <v>119.95833333333333</v>
      </c>
      <c r="D36">
        <v>2879</v>
      </c>
      <c r="E36">
        <v>0.4016259154304862</v>
      </c>
      <c r="F36">
        <v>38.44845434371382</v>
      </c>
      <c r="G36">
        <v>1.395018810109365E-4</v>
      </c>
      <c r="H36">
        <v>1.3354794839775554E-2</v>
      </c>
      <c r="I36">
        <v>5</v>
      </c>
      <c r="J36" t="b">
        <v>1</v>
      </c>
      <c r="K36">
        <v>0.65</v>
      </c>
      <c r="L36">
        <v>1.3</v>
      </c>
      <c r="M36" t="b">
        <v>1</v>
      </c>
      <c r="N36">
        <v>200</v>
      </c>
      <c r="O36" t="b">
        <v>0</v>
      </c>
      <c r="P36" t="b">
        <v>0</v>
      </c>
      <c r="Q36">
        <v>0.7</v>
      </c>
      <c r="R36">
        <v>5167221.8283390403</v>
      </c>
      <c r="S36">
        <v>4831897.8250668645</v>
      </c>
      <c r="T36">
        <v>4335902.7187046409</v>
      </c>
      <c r="U36">
        <v>4055823.673812449</v>
      </c>
      <c r="V36">
        <v>9999119.6534059048</v>
      </c>
      <c r="W36">
        <v>8391726.3925170898</v>
      </c>
      <c r="X36">
        <v>83354.93979914613</v>
      </c>
      <c r="Y36">
        <v>69955.343320739892</v>
      </c>
      <c r="Z36">
        <v>5943.9445953369141</v>
      </c>
      <c r="AA36">
        <v>2097.9315981292725</v>
      </c>
      <c r="AB36">
        <v>43359.027187046406</v>
      </c>
      <c r="AC36">
        <v>40558.236738124491</v>
      </c>
      <c r="AD36">
        <v>83917.263925170904</v>
      </c>
      <c r="AE36">
        <v>1.1915450034598518</v>
      </c>
      <c r="AF36" s="1" t="s">
        <v>2506</v>
      </c>
      <c r="AG36" s="1" t="s">
        <v>2507</v>
      </c>
      <c r="AH36" s="1" t="s">
        <v>2508</v>
      </c>
      <c r="AI36" s="1" t="str">
        <f>_xlfn.TEXTAFTER(_xlfn.TEXTBEFORE(batch_summary[[#This Row],[video]],"_",1),"-",3)</f>
        <v>16</v>
      </c>
      <c r="AJ36" s="1" t="str">
        <f>_xlfn.TEXTBEFORE(_xlfn.TEXTAFTER(batch_summary[[#This Row],[video]],"_",1),"_",1)</f>
        <v>20260311</v>
      </c>
      <c r="AK36" s="1" t="str">
        <f>_xlfn.TEXTBEFORE(_xlfn.TEXTAFTER(batch_summary[[#This Row],[video]],"_",2),".",1)</f>
        <v>120000</v>
      </c>
    </row>
    <row r="37" spans="1:37" x14ac:dyDescent="0.2">
      <c r="A37" s="1" t="s">
        <v>2509</v>
      </c>
      <c r="B37" s="1" t="s">
        <v>2510</v>
      </c>
      <c r="C37">
        <v>119.95833333333333</v>
      </c>
      <c r="D37">
        <v>2879</v>
      </c>
      <c r="E37">
        <v>0.40053040999919176</v>
      </c>
      <c r="F37">
        <v>38.686946920119226</v>
      </c>
      <c r="G37">
        <v>1.3912136505703083E-4</v>
      </c>
      <c r="H37">
        <v>1.343763352557111E-2</v>
      </c>
      <c r="I37">
        <v>5</v>
      </c>
      <c r="J37" t="b">
        <v>1</v>
      </c>
      <c r="K37">
        <v>0.65</v>
      </c>
      <c r="L37">
        <v>1.3</v>
      </c>
      <c r="M37" t="b">
        <v>1</v>
      </c>
      <c r="N37">
        <v>200</v>
      </c>
      <c r="O37" t="b">
        <v>0</v>
      </c>
      <c r="P37" t="b">
        <v>0</v>
      </c>
      <c r="Q37">
        <v>0.7</v>
      </c>
      <c r="R37">
        <v>7283128.4317936301</v>
      </c>
      <c r="S37">
        <v>7078056.0789593458</v>
      </c>
      <c r="T37">
        <v>6320714.4010742903</v>
      </c>
      <c r="U37">
        <v>6148501.0911449194</v>
      </c>
      <c r="V37">
        <v>14361184.510752976</v>
      </c>
      <c r="W37">
        <v>12469215.49221921</v>
      </c>
      <c r="X37">
        <v>119718.10637654444</v>
      </c>
      <c r="Y37">
        <v>103946.22153986142</v>
      </c>
      <c r="Z37">
        <v>5257.5367874711756</v>
      </c>
      <c r="AA37">
        <v>3117.3038730548024</v>
      </c>
      <c r="AB37">
        <v>63207.144010742901</v>
      </c>
      <c r="AC37">
        <v>61485.010911449193</v>
      </c>
      <c r="AD37">
        <v>124692.1549221921</v>
      </c>
      <c r="AE37">
        <v>1.1517311991050563</v>
      </c>
      <c r="AF37" s="1" t="s">
        <v>2511</v>
      </c>
      <c r="AG37" s="1" t="s">
        <v>2512</v>
      </c>
      <c r="AH37" s="1" t="s">
        <v>2513</v>
      </c>
      <c r="AI37" s="1" t="str">
        <f>_xlfn.TEXTAFTER(_xlfn.TEXTBEFORE(batch_summary[[#This Row],[video]],"_",1),"-",3)</f>
        <v>16</v>
      </c>
      <c r="AJ37" s="1" t="str">
        <f>_xlfn.TEXTBEFORE(_xlfn.TEXTAFTER(batch_summary[[#This Row],[video]],"_",1),"_",1)</f>
        <v>20260311</v>
      </c>
      <c r="AK37" s="1" t="str">
        <f>_xlfn.TEXTBEFORE(_xlfn.TEXTAFTER(batch_summary[[#This Row],[video]],"_",2),".",1)</f>
        <v>130000</v>
      </c>
    </row>
    <row r="38" spans="1:37" x14ac:dyDescent="0.2">
      <c r="A38" s="1" t="s">
        <v>2514</v>
      </c>
      <c r="B38" s="1" t="s">
        <v>2515</v>
      </c>
      <c r="C38">
        <v>119.95833333333333</v>
      </c>
      <c r="D38">
        <v>2879</v>
      </c>
      <c r="E38">
        <v>0.40704484283924103</v>
      </c>
      <c r="F38">
        <v>38.50925759319216</v>
      </c>
      <c r="G38">
        <v>1.4138410657840952E-4</v>
      </c>
      <c r="H38">
        <v>1.3375914412362681E-2</v>
      </c>
      <c r="I38">
        <v>5</v>
      </c>
      <c r="J38" t="b">
        <v>1</v>
      </c>
      <c r="K38">
        <v>0.65</v>
      </c>
      <c r="L38">
        <v>1.3</v>
      </c>
      <c r="M38" t="b">
        <v>1</v>
      </c>
      <c r="N38">
        <v>200</v>
      </c>
      <c r="O38" t="b">
        <v>0</v>
      </c>
      <c r="P38" t="b">
        <v>0</v>
      </c>
      <c r="Q38">
        <v>0.7</v>
      </c>
      <c r="R38">
        <v>6157960.7752607465</v>
      </c>
      <c r="S38">
        <v>4832415.2718795538</v>
      </c>
      <c r="T38">
        <v>5252978.1747997999</v>
      </c>
      <c r="U38">
        <v>4063489.7416939735</v>
      </c>
      <c r="V38">
        <v>10990376.0471403</v>
      </c>
      <c r="W38">
        <v>9316467.9164937735</v>
      </c>
      <c r="X38">
        <v>91618.278961919845</v>
      </c>
      <c r="Y38">
        <v>77664.199373341631</v>
      </c>
      <c r="Z38">
        <v>5182.2448581123354</v>
      </c>
      <c r="AA38">
        <v>2329.1169791234433</v>
      </c>
      <c r="AB38">
        <v>52529.781747998</v>
      </c>
      <c r="AC38">
        <v>40634.897416939733</v>
      </c>
      <c r="AD38">
        <v>93164.679164937726</v>
      </c>
      <c r="AE38">
        <v>1.1796719685668704</v>
      </c>
      <c r="AF38" s="1" t="s">
        <v>2516</v>
      </c>
      <c r="AG38" s="1" t="s">
        <v>2517</v>
      </c>
      <c r="AH38" s="1" t="s">
        <v>2518</v>
      </c>
      <c r="AI38" s="1" t="str">
        <f>_xlfn.TEXTAFTER(_xlfn.TEXTBEFORE(batch_summary[[#This Row],[video]],"_",1),"-",3)</f>
        <v>16</v>
      </c>
      <c r="AJ38" s="1" t="str">
        <f>_xlfn.TEXTBEFORE(_xlfn.TEXTAFTER(batch_summary[[#This Row],[video]],"_",1),"_",1)</f>
        <v>20260311</v>
      </c>
      <c r="AK38" s="1" t="str">
        <f>_xlfn.TEXTBEFORE(_xlfn.TEXTAFTER(batch_summary[[#This Row],[video]],"_",2),".",1)</f>
        <v>140000</v>
      </c>
    </row>
    <row r="39" spans="1:37" x14ac:dyDescent="0.2">
      <c r="A39" s="1" t="s">
        <v>2519</v>
      </c>
      <c r="B39" s="1" t="s">
        <v>2520</v>
      </c>
      <c r="C39">
        <v>119.95833333333333</v>
      </c>
      <c r="D39">
        <v>2879</v>
      </c>
      <c r="E39">
        <v>0.39962646178901196</v>
      </c>
      <c r="F39">
        <v>37.929882565513253</v>
      </c>
      <c r="G39">
        <v>1.3880738512991037E-4</v>
      </c>
      <c r="H39">
        <v>1.3174672652140762E-2</v>
      </c>
      <c r="I39">
        <v>5</v>
      </c>
      <c r="J39" t="b">
        <v>1</v>
      </c>
      <c r="K39">
        <v>0.65</v>
      </c>
      <c r="L39">
        <v>1.3</v>
      </c>
      <c r="M39" t="b">
        <v>1</v>
      </c>
      <c r="N39">
        <v>200</v>
      </c>
      <c r="O39" t="b">
        <v>0</v>
      </c>
      <c r="P39" t="b">
        <v>0</v>
      </c>
      <c r="Q39">
        <v>0.7</v>
      </c>
      <c r="R39">
        <v>1953811.8638425469</v>
      </c>
      <c r="S39">
        <v>2172091.5185822845</v>
      </c>
      <c r="T39">
        <v>1614528.3295707703</v>
      </c>
      <c r="U39">
        <v>1761326.6026964784</v>
      </c>
      <c r="V39">
        <v>4125903.3824248314</v>
      </c>
      <c r="W39">
        <v>3375854.9322672486</v>
      </c>
      <c r="X39">
        <v>34394.470711426176</v>
      </c>
      <c r="Y39">
        <v>28141.895927201796</v>
      </c>
      <c r="Z39">
        <v>2278.2173343658451</v>
      </c>
      <c r="AA39">
        <v>843.96373306681221</v>
      </c>
      <c r="AB39">
        <v>16145.283295707703</v>
      </c>
      <c r="AC39">
        <v>17613.266026964782</v>
      </c>
      <c r="AD39">
        <v>33758.549322672487</v>
      </c>
      <c r="AE39">
        <v>1.2221802966082564</v>
      </c>
      <c r="AF39" s="1" t="s">
        <v>2521</v>
      </c>
      <c r="AG39" s="1" t="s">
        <v>2522</v>
      </c>
      <c r="AH39" s="1" t="s">
        <v>2523</v>
      </c>
      <c r="AI39" s="1" t="str">
        <f>_xlfn.TEXTAFTER(_xlfn.TEXTBEFORE(batch_summary[[#This Row],[video]],"_",1),"-",3)</f>
        <v>16</v>
      </c>
      <c r="AJ39" s="1" t="str">
        <f>_xlfn.TEXTBEFORE(_xlfn.TEXTAFTER(batch_summary[[#This Row],[video]],"_",1),"_",1)</f>
        <v>20260311</v>
      </c>
      <c r="AK39" s="1" t="str">
        <f>_xlfn.TEXTBEFORE(_xlfn.TEXTAFTER(batch_summary[[#This Row],[video]],"_",2),".",1)</f>
        <v>150000</v>
      </c>
    </row>
    <row r="40" spans="1:37" x14ac:dyDescent="0.2">
      <c r="A40" s="1" t="s">
        <v>2524</v>
      </c>
      <c r="B40" s="1" t="s">
        <v>2525</v>
      </c>
      <c r="C40">
        <v>119.95833333333333</v>
      </c>
      <c r="D40">
        <v>2879</v>
      </c>
      <c r="E40">
        <v>0.37745967693626881</v>
      </c>
      <c r="F40">
        <v>37.110904821194708</v>
      </c>
      <c r="G40">
        <v>1.3110791140544245E-4</v>
      </c>
      <c r="H40">
        <v>1.2890206606875549E-2</v>
      </c>
      <c r="I40">
        <v>5</v>
      </c>
      <c r="J40" t="b">
        <v>1</v>
      </c>
      <c r="K40">
        <v>0.65</v>
      </c>
      <c r="L40">
        <v>1.3</v>
      </c>
      <c r="M40" t="b">
        <v>1</v>
      </c>
      <c r="N40">
        <v>200</v>
      </c>
      <c r="O40" t="b">
        <v>0</v>
      </c>
      <c r="P40" t="b">
        <v>0</v>
      </c>
      <c r="Q40">
        <v>0.7</v>
      </c>
      <c r="R40">
        <v>446946.69668585062</v>
      </c>
      <c r="S40">
        <v>332360.71353542805</v>
      </c>
      <c r="T40">
        <v>349552.60106468201</v>
      </c>
      <c r="U40">
        <v>262743.78681951761</v>
      </c>
      <c r="V40">
        <v>779307.41022127867</v>
      </c>
      <c r="W40">
        <v>612296.38788419962</v>
      </c>
      <c r="X40">
        <v>6496.4841421711317</v>
      </c>
      <c r="Y40">
        <v>5104.2422053563014</v>
      </c>
      <c r="Z40">
        <v>924.28953143119816</v>
      </c>
      <c r="AA40">
        <v>153.0740969710499</v>
      </c>
      <c r="AB40">
        <v>3495.5260106468199</v>
      </c>
      <c r="AC40">
        <v>2627.4378681951762</v>
      </c>
      <c r="AD40">
        <v>6122.9638788419961</v>
      </c>
      <c r="AE40">
        <v>1.2727617304981798</v>
      </c>
      <c r="AF40" s="1" t="s">
        <v>2526</v>
      </c>
      <c r="AG40" s="1" t="s">
        <v>2527</v>
      </c>
      <c r="AH40" s="1" t="s">
        <v>2528</v>
      </c>
      <c r="AI40" s="1" t="str">
        <f>_xlfn.TEXTAFTER(_xlfn.TEXTBEFORE(batch_summary[[#This Row],[video]],"_",1),"-",3)</f>
        <v>16</v>
      </c>
      <c r="AJ40" s="1" t="str">
        <f>_xlfn.TEXTBEFORE(_xlfn.TEXTAFTER(batch_summary[[#This Row],[video]],"_",1),"_",1)</f>
        <v>20260311</v>
      </c>
      <c r="AK40" s="1" t="str">
        <f>_xlfn.TEXTBEFORE(_xlfn.TEXTAFTER(batch_summary[[#This Row],[video]],"_",2),".",1)</f>
        <v>160000</v>
      </c>
    </row>
    <row r="41" spans="1:37" x14ac:dyDescent="0.2">
      <c r="A41" s="1" t="s">
        <v>2529</v>
      </c>
      <c r="B41" s="1" t="s">
        <v>2530</v>
      </c>
      <c r="C41">
        <v>119.95833333333333</v>
      </c>
      <c r="D41">
        <v>2879</v>
      </c>
      <c r="E41">
        <v>0.32794941589236259</v>
      </c>
      <c r="F41">
        <v>37.915112984366715</v>
      </c>
      <c r="G41">
        <v>1.1391087735059486E-4</v>
      </c>
      <c r="H41">
        <v>1.3169542544066243E-2</v>
      </c>
      <c r="I41">
        <v>5</v>
      </c>
      <c r="J41" t="b">
        <v>1</v>
      </c>
      <c r="K41">
        <v>0.65</v>
      </c>
      <c r="L41">
        <v>1.3</v>
      </c>
      <c r="M41" t="b">
        <v>1</v>
      </c>
      <c r="N41">
        <v>200</v>
      </c>
      <c r="O41" t="b">
        <v>0</v>
      </c>
      <c r="P41" t="b">
        <v>0</v>
      </c>
      <c r="Q41">
        <v>0.7</v>
      </c>
      <c r="R41">
        <v>32181.687019646168</v>
      </c>
      <c r="S41">
        <v>7749.714891910553</v>
      </c>
      <c r="T41">
        <v>22012.648803710938</v>
      </c>
      <c r="U41">
        <v>471.54511260986328</v>
      </c>
      <c r="V41">
        <v>39931.401911556721</v>
      </c>
      <c r="W41">
        <v>22484.193916320801</v>
      </c>
      <c r="X41">
        <v>332.8772649799796</v>
      </c>
      <c r="Y41">
        <v>187.43336366505704</v>
      </c>
      <c r="Z41">
        <v>162.12528450012206</v>
      </c>
      <c r="AA41">
        <v>5.6210484790801996</v>
      </c>
      <c r="AB41">
        <v>220.12648803710937</v>
      </c>
      <c r="AC41">
        <v>4.7154511260986327</v>
      </c>
      <c r="AD41">
        <v>224.841939163208</v>
      </c>
      <c r="AE41">
        <v>1.7759765842693325</v>
      </c>
      <c r="AF41" s="1" t="s">
        <v>2531</v>
      </c>
      <c r="AG41" s="1" t="s">
        <v>2532</v>
      </c>
      <c r="AH41" s="1" t="s">
        <v>2533</v>
      </c>
      <c r="AI41" s="1" t="str">
        <f>_xlfn.TEXTAFTER(_xlfn.TEXTBEFORE(batch_summary[[#This Row],[video]],"_",1),"-",3)</f>
        <v>16</v>
      </c>
      <c r="AJ41" s="1" t="str">
        <f>_xlfn.TEXTBEFORE(_xlfn.TEXTAFTER(batch_summary[[#This Row],[video]],"_",1),"_",1)</f>
        <v>20260311</v>
      </c>
      <c r="AK41" s="1" t="str">
        <f>_xlfn.TEXTBEFORE(_xlfn.TEXTAFTER(batch_summary[[#This Row],[video]],"_",2),".",1)</f>
        <v>170000</v>
      </c>
    </row>
    <row r="42" spans="1:37" x14ac:dyDescent="0.2">
      <c r="A42" s="1" t="s">
        <v>2534</v>
      </c>
      <c r="B42" s="1" t="s">
        <v>2535</v>
      </c>
      <c r="C42">
        <v>119.95833333333333</v>
      </c>
      <c r="D42">
        <v>2879</v>
      </c>
      <c r="E42">
        <v>0.34651066083461046</v>
      </c>
      <c r="F42">
        <v>37.835847647860646</v>
      </c>
      <c r="G42">
        <v>1.2035799264835376E-4</v>
      </c>
      <c r="H42">
        <v>1.3142010297971742E-2</v>
      </c>
      <c r="I42">
        <v>5</v>
      </c>
      <c r="J42" t="b">
        <v>1</v>
      </c>
      <c r="K42">
        <v>0.65</v>
      </c>
      <c r="L42">
        <v>1.3</v>
      </c>
      <c r="M42" t="b">
        <v>1</v>
      </c>
      <c r="N42">
        <v>200</v>
      </c>
      <c r="O42" t="b">
        <v>0</v>
      </c>
      <c r="P42" t="b">
        <v>0</v>
      </c>
      <c r="Q42">
        <v>0.7</v>
      </c>
      <c r="R42">
        <v>9920.810799241066</v>
      </c>
      <c r="S42">
        <v>25638.436502218246</v>
      </c>
      <c r="T42">
        <v>3727.417236328125</v>
      </c>
      <c r="U42">
        <v>15985.862258911133</v>
      </c>
      <c r="V42">
        <v>35559.247301459312</v>
      </c>
      <c r="W42">
        <v>19713.279495239258</v>
      </c>
      <c r="X42">
        <v>296.42998792463476</v>
      </c>
      <c r="Y42">
        <v>164.33438967896569</v>
      </c>
      <c r="Z42">
        <v>197.13279495239257</v>
      </c>
      <c r="AA42">
        <v>4.928319873809814</v>
      </c>
      <c r="AB42">
        <v>37.274172363281252</v>
      </c>
      <c r="AC42">
        <v>159.85862258911132</v>
      </c>
      <c r="AD42">
        <v>197.13279495239257</v>
      </c>
      <c r="AE42">
        <v>1.8038220028304699</v>
      </c>
      <c r="AF42" s="1" t="s">
        <v>2536</v>
      </c>
      <c r="AG42" s="1" t="s">
        <v>2537</v>
      </c>
      <c r="AH42" s="1" t="s">
        <v>2538</v>
      </c>
      <c r="AI42" s="1" t="str">
        <f>_xlfn.TEXTAFTER(_xlfn.TEXTBEFORE(batch_summary[[#This Row],[video]],"_",1),"-",3)</f>
        <v>16</v>
      </c>
      <c r="AJ42" s="1" t="str">
        <f>_xlfn.TEXTBEFORE(_xlfn.TEXTAFTER(batch_summary[[#This Row],[video]],"_",1),"_",1)</f>
        <v>20260311</v>
      </c>
      <c r="AK42" s="1" t="str">
        <f>_xlfn.TEXTBEFORE(_xlfn.TEXTAFTER(batch_summary[[#This Row],[video]],"_",2),".",1)</f>
        <v>180000</v>
      </c>
    </row>
    <row r="43" spans="1:37" x14ac:dyDescent="0.2">
      <c r="A43" s="1" t="s">
        <v>2539</v>
      </c>
      <c r="B43" s="1" t="s">
        <v>2540</v>
      </c>
      <c r="C43">
        <v>119.95833333333333</v>
      </c>
      <c r="D43">
        <v>2879</v>
      </c>
      <c r="E43">
        <v>0.37161899730563164</v>
      </c>
      <c r="F43">
        <v>36.598220576532185</v>
      </c>
      <c r="G43">
        <v>1.2907919322877097E-4</v>
      </c>
      <c r="H43">
        <v>1.2712129411786101E-2</v>
      </c>
      <c r="I43">
        <v>5</v>
      </c>
      <c r="J43" t="b">
        <v>1</v>
      </c>
      <c r="K43">
        <v>0.65</v>
      </c>
      <c r="L43">
        <v>1.3</v>
      </c>
      <c r="M43" t="b">
        <v>1</v>
      </c>
      <c r="N43">
        <v>200</v>
      </c>
      <c r="O43" t="b">
        <v>0</v>
      </c>
      <c r="P43" t="b">
        <v>0</v>
      </c>
      <c r="Q43">
        <v>0.7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s="1" t="s">
        <v>2541</v>
      </c>
      <c r="AG43" s="1" t="s">
        <v>2542</v>
      </c>
      <c r="AH43" s="1" t="s">
        <v>2543</v>
      </c>
      <c r="AI43" s="1" t="str">
        <f>_xlfn.TEXTAFTER(_xlfn.TEXTBEFORE(batch_summary[[#This Row],[video]],"_",1),"-",3)</f>
        <v>16</v>
      </c>
      <c r="AJ43" s="1" t="str">
        <f>_xlfn.TEXTBEFORE(_xlfn.TEXTAFTER(batch_summary[[#This Row],[video]],"_",1),"_",1)</f>
        <v>20260311</v>
      </c>
      <c r="AK43" s="1" t="str">
        <f>_xlfn.TEXTBEFORE(_xlfn.TEXTAFTER(batch_summary[[#This Row],[video]],"_",2),".",1)</f>
        <v>190000</v>
      </c>
    </row>
    <row r="44" spans="1:37" x14ac:dyDescent="0.2">
      <c r="A44" s="1" t="s">
        <v>2544</v>
      </c>
      <c r="B44" s="1" t="s">
        <v>2545</v>
      </c>
      <c r="C44">
        <v>119.95833333333333</v>
      </c>
      <c r="D44">
        <v>2879</v>
      </c>
      <c r="E44">
        <v>0.368357895873487</v>
      </c>
      <c r="F44">
        <v>36.714079488068819</v>
      </c>
      <c r="G44">
        <v>1.2794647303698749E-4</v>
      </c>
      <c r="H44">
        <v>1.2752372173695318E-2</v>
      </c>
      <c r="I44">
        <v>5</v>
      </c>
      <c r="J44" t="b">
        <v>1</v>
      </c>
      <c r="K44">
        <v>0.65</v>
      </c>
      <c r="L44">
        <v>1.3</v>
      </c>
      <c r="M44" t="b">
        <v>1</v>
      </c>
      <c r="N44">
        <v>200</v>
      </c>
      <c r="O44" t="b">
        <v>0</v>
      </c>
      <c r="P44" t="b">
        <v>0</v>
      </c>
      <c r="Q44">
        <v>0.7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1" t="s">
        <v>2546</v>
      </c>
      <c r="AG44" s="1" t="s">
        <v>2547</v>
      </c>
      <c r="AH44" s="1" t="s">
        <v>2548</v>
      </c>
      <c r="AI44" s="1" t="str">
        <f>_xlfn.TEXTAFTER(_xlfn.TEXTBEFORE(batch_summary[[#This Row],[video]],"_",1),"-",3)</f>
        <v>16</v>
      </c>
      <c r="AJ44" s="1" t="str">
        <f>_xlfn.TEXTBEFORE(_xlfn.TEXTAFTER(batch_summary[[#This Row],[video]],"_",1),"_",1)</f>
        <v>20260312</v>
      </c>
      <c r="AK44" s="1" t="str">
        <f>_xlfn.TEXTBEFORE(_xlfn.TEXTAFTER(batch_summary[[#This Row],[video]],"_",2),".",1)</f>
        <v>060000</v>
      </c>
    </row>
    <row r="45" spans="1:37" x14ac:dyDescent="0.2">
      <c r="A45" s="1" t="s">
        <v>2549</v>
      </c>
      <c r="B45" s="1" t="s">
        <v>2550</v>
      </c>
      <c r="C45">
        <v>119.95833333333333</v>
      </c>
      <c r="D45">
        <v>2879</v>
      </c>
      <c r="E45">
        <v>0.38308743480592966</v>
      </c>
      <c r="F45">
        <v>37.36928022839129</v>
      </c>
      <c r="G45">
        <v>1.3306267273564769E-4</v>
      </c>
      <c r="H45">
        <v>1.2979951451334244E-2</v>
      </c>
      <c r="I45">
        <v>5</v>
      </c>
      <c r="J45" t="b">
        <v>1</v>
      </c>
      <c r="K45">
        <v>0.65</v>
      </c>
      <c r="L45">
        <v>1.3</v>
      </c>
      <c r="M45" t="b">
        <v>1</v>
      </c>
      <c r="N45">
        <v>200</v>
      </c>
      <c r="O45" t="b">
        <v>0</v>
      </c>
      <c r="P45" t="b">
        <v>0</v>
      </c>
      <c r="Q45">
        <v>0.7</v>
      </c>
      <c r="R45">
        <v>5083.2582491636276</v>
      </c>
      <c r="S45">
        <v>5104.2202857732773</v>
      </c>
      <c r="T45">
        <v>0</v>
      </c>
      <c r="U45">
        <v>0</v>
      </c>
      <c r="V45">
        <v>10187.478534936905</v>
      </c>
      <c r="W45">
        <v>0</v>
      </c>
      <c r="X45">
        <v>84.925142354458401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10187478534.936905</v>
      </c>
      <c r="AF45" s="1" t="s">
        <v>2551</v>
      </c>
      <c r="AG45" s="1" t="s">
        <v>2552</v>
      </c>
      <c r="AH45" s="1" t="s">
        <v>2553</v>
      </c>
      <c r="AI45" s="1" t="str">
        <f>_xlfn.TEXTAFTER(_xlfn.TEXTBEFORE(batch_summary[[#This Row],[video]],"_",1),"-",3)</f>
        <v>16</v>
      </c>
      <c r="AJ45" s="1" t="str">
        <f>_xlfn.TEXTBEFORE(_xlfn.TEXTAFTER(batch_summary[[#This Row],[video]],"_",1),"_",1)</f>
        <v>20260312</v>
      </c>
      <c r="AK45" s="1" t="str">
        <f>_xlfn.TEXTBEFORE(_xlfn.TEXTAFTER(batch_summary[[#This Row],[video]],"_",2),".",1)</f>
        <v>070000</v>
      </c>
    </row>
    <row r="46" spans="1:37" x14ac:dyDescent="0.2">
      <c r="A46" s="1" t="s">
        <v>2554</v>
      </c>
      <c r="B46" s="1" t="s">
        <v>2555</v>
      </c>
      <c r="C46">
        <v>119.95833333333333</v>
      </c>
      <c r="D46">
        <v>2879</v>
      </c>
      <c r="E46">
        <v>0.37904696352779865</v>
      </c>
      <c r="F46">
        <v>36.82411877065897</v>
      </c>
      <c r="G46">
        <v>1.3165924401799188E-4</v>
      </c>
      <c r="H46">
        <v>1.2790593529232015E-2</v>
      </c>
      <c r="I46">
        <v>5</v>
      </c>
      <c r="J46" t="b">
        <v>1</v>
      </c>
      <c r="K46">
        <v>0.65</v>
      </c>
      <c r="L46">
        <v>1.3</v>
      </c>
      <c r="M46" t="b">
        <v>1</v>
      </c>
      <c r="N46">
        <v>200</v>
      </c>
      <c r="O46" t="b">
        <v>0</v>
      </c>
      <c r="P46" t="b">
        <v>0</v>
      </c>
      <c r="Q46">
        <v>0.7</v>
      </c>
      <c r="R46">
        <v>14066.083086252213</v>
      </c>
      <c r="S46">
        <v>68159.571255326271</v>
      </c>
      <c r="T46">
        <v>2291.7100005149841</v>
      </c>
      <c r="U46">
        <v>54457.431549072266</v>
      </c>
      <c r="V46">
        <v>82225.654341578484</v>
      </c>
      <c r="W46">
        <v>56749.14154958725</v>
      </c>
      <c r="X46">
        <v>685.45179027366578</v>
      </c>
      <c r="Y46">
        <v>473.07377464053286</v>
      </c>
      <c r="Z46">
        <v>488.72052590847017</v>
      </c>
      <c r="AA46">
        <v>14.187285387396813</v>
      </c>
      <c r="AB46">
        <v>22.917100005149841</v>
      </c>
      <c r="AC46">
        <v>544.57431549072271</v>
      </c>
      <c r="AD46">
        <v>567.4914154958725</v>
      </c>
      <c r="AE46">
        <v>1.4489321264838857</v>
      </c>
      <c r="AF46" s="1" t="s">
        <v>2556</v>
      </c>
      <c r="AG46" s="1" t="s">
        <v>2557</v>
      </c>
      <c r="AH46" s="1" t="s">
        <v>2558</v>
      </c>
      <c r="AI46" s="1" t="str">
        <f>_xlfn.TEXTAFTER(_xlfn.TEXTBEFORE(batch_summary[[#This Row],[video]],"_",1),"-",3)</f>
        <v>16</v>
      </c>
      <c r="AJ46" s="1" t="str">
        <f>_xlfn.TEXTBEFORE(_xlfn.TEXTAFTER(batch_summary[[#This Row],[video]],"_",1),"_",1)</f>
        <v>20260312</v>
      </c>
      <c r="AK46" s="1" t="str">
        <f>_xlfn.TEXTBEFORE(_xlfn.TEXTAFTER(batch_summary[[#This Row],[video]],"_",2),".",1)</f>
        <v>080000</v>
      </c>
    </row>
    <row r="47" spans="1:37" x14ac:dyDescent="0.2">
      <c r="A47" s="1" t="s">
        <v>2559</v>
      </c>
      <c r="B47" s="1" t="s">
        <v>2560</v>
      </c>
      <c r="C47">
        <v>119.95833333333333</v>
      </c>
      <c r="D47">
        <v>2879</v>
      </c>
      <c r="E47">
        <v>0.37481786124408245</v>
      </c>
      <c r="F47">
        <v>36.819010593928397</v>
      </c>
      <c r="G47">
        <v>1.3019029567352638E-4</v>
      </c>
      <c r="H47">
        <v>1.2788819240683709E-2</v>
      </c>
      <c r="I47">
        <v>5</v>
      </c>
      <c r="J47" t="b">
        <v>1</v>
      </c>
      <c r="K47">
        <v>0.65</v>
      </c>
      <c r="L47">
        <v>1.3</v>
      </c>
      <c r="M47" t="b">
        <v>1</v>
      </c>
      <c r="N47">
        <v>200</v>
      </c>
      <c r="O47" t="b">
        <v>0</v>
      </c>
      <c r="P47" t="b">
        <v>0</v>
      </c>
      <c r="Q47">
        <v>0.7</v>
      </c>
      <c r="R47">
        <v>8488.9833108186722</v>
      </c>
      <c r="S47">
        <v>9887.4480313062668</v>
      </c>
      <c r="T47">
        <v>0</v>
      </c>
      <c r="U47">
        <v>0</v>
      </c>
      <c r="V47">
        <v>18376.431342124939</v>
      </c>
      <c r="W47">
        <v>0</v>
      </c>
      <c r="X47">
        <v>153.1901188645358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18376431342.124939</v>
      </c>
      <c r="AF47" s="1" t="s">
        <v>2561</v>
      </c>
      <c r="AG47" s="1" t="s">
        <v>2562</v>
      </c>
      <c r="AH47" s="1" t="s">
        <v>2563</v>
      </c>
      <c r="AI47" s="1" t="str">
        <f>_xlfn.TEXTAFTER(_xlfn.TEXTBEFORE(batch_summary[[#This Row],[video]],"_",1),"-",3)</f>
        <v>16</v>
      </c>
      <c r="AJ47" s="1" t="str">
        <f>_xlfn.TEXTBEFORE(_xlfn.TEXTAFTER(batch_summary[[#This Row],[video]],"_",1),"_",1)</f>
        <v>20260312</v>
      </c>
      <c r="AK47" s="1" t="str">
        <f>_xlfn.TEXTBEFORE(_xlfn.TEXTAFTER(batch_summary[[#This Row],[video]],"_",2),".",1)</f>
        <v>090000</v>
      </c>
    </row>
    <row r="48" spans="1:37" x14ac:dyDescent="0.2">
      <c r="A48" s="1" t="s">
        <v>2564</v>
      </c>
      <c r="B48" s="1" t="s">
        <v>2565</v>
      </c>
      <c r="C48">
        <v>119.95833333333333</v>
      </c>
      <c r="D48">
        <v>2879</v>
      </c>
      <c r="E48">
        <v>0.37686579860746861</v>
      </c>
      <c r="F48">
        <v>36.925703072920442</v>
      </c>
      <c r="G48">
        <v>1.3090163202760286E-4</v>
      </c>
      <c r="H48">
        <v>1.2825878107995986E-2</v>
      </c>
      <c r="I48">
        <v>5</v>
      </c>
      <c r="J48" t="b">
        <v>1</v>
      </c>
      <c r="K48">
        <v>0.65</v>
      </c>
      <c r="L48">
        <v>1.3</v>
      </c>
      <c r="M48" t="b">
        <v>1</v>
      </c>
      <c r="N48">
        <v>200</v>
      </c>
      <c r="O48" t="b">
        <v>0</v>
      </c>
      <c r="P48" t="b">
        <v>0</v>
      </c>
      <c r="Q48">
        <v>0.7</v>
      </c>
      <c r="R48">
        <v>101008.89034551382</v>
      </c>
      <c r="S48">
        <v>56223.488973259926</v>
      </c>
      <c r="T48">
        <v>73602.460315465927</v>
      </c>
      <c r="U48">
        <v>34900.457918167114</v>
      </c>
      <c r="V48">
        <v>157232.37931877375</v>
      </c>
      <c r="W48">
        <v>108502.91823363304</v>
      </c>
      <c r="X48">
        <v>1310.7249404830045</v>
      </c>
      <c r="Y48">
        <v>904.50504953358563</v>
      </c>
      <c r="Z48">
        <v>718.6272948241234</v>
      </c>
      <c r="AA48">
        <v>27.12572955840826</v>
      </c>
      <c r="AB48">
        <v>736.0246031546593</v>
      </c>
      <c r="AC48">
        <v>349.00457918167115</v>
      </c>
      <c r="AD48">
        <v>1085.0291823363305</v>
      </c>
      <c r="AE48">
        <v>1.449107377740886</v>
      </c>
      <c r="AF48" s="1" t="s">
        <v>2566</v>
      </c>
      <c r="AG48" s="1" t="s">
        <v>2567</v>
      </c>
      <c r="AH48" s="1" t="s">
        <v>2568</v>
      </c>
      <c r="AI48" s="1" t="str">
        <f>_xlfn.TEXTAFTER(_xlfn.TEXTBEFORE(batch_summary[[#This Row],[video]],"_",1),"-",3)</f>
        <v>16</v>
      </c>
      <c r="AJ48" s="1" t="str">
        <f>_xlfn.TEXTBEFORE(_xlfn.TEXTAFTER(batch_summary[[#This Row],[video]],"_",1),"_",1)</f>
        <v>20260312</v>
      </c>
      <c r="AK48" s="1" t="str">
        <f>_xlfn.TEXTBEFORE(_xlfn.TEXTAFTER(batch_summary[[#This Row],[video]],"_",2),".",1)</f>
        <v>100000</v>
      </c>
    </row>
    <row r="49" spans="1:37" x14ac:dyDescent="0.2">
      <c r="A49" s="1" t="s">
        <v>2569</v>
      </c>
      <c r="B49" s="1" t="s">
        <v>2570</v>
      </c>
      <c r="C49">
        <v>119.95833333333333</v>
      </c>
      <c r="D49">
        <v>2879</v>
      </c>
      <c r="E49">
        <v>0.38131546694785357</v>
      </c>
      <c r="F49">
        <v>37.136839667335153</v>
      </c>
      <c r="G49">
        <v>1.3244719240981367E-4</v>
      </c>
      <c r="H49">
        <v>1.2899214889661394E-2</v>
      </c>
      <c r="I49">
        <v>5</v>
      </c>
      <c r="J49" t="b">
        <v>1</v>
      </c>
      <c r="K49">
        <v>0.65</v>
      </c>
      <c r="L49">
        <v>1.3</v>
      </c>
      <c r="M49" t="b">
        <v>1</v>
      </c>
      <c r="N49">
        <v>200</v>
      </c>
      <c r="O49" t="b">
        <v>0</v>
      </c>
      <c r="P49" t="b">
        <v>0</v>
      </c>
      <c r="Q49">
        <v>0.7</v>
      </c>
      <c r="R49">
        <v>119452.8901348114</v>
      </c>
      <c r="S49">
        <v>76055.048301875591</v>
      </c>
      <c r="T49">
        <v>73655.634222507477</v>
      </c>
      <c r="U49">
        <v>36991.755477905273</v>
      </c>
      <c r="V49">
        <v>195507.93843668699</v>
      </c>
      <c r="W49">
        <v>110647.38970041275</v>
      </c>
      <c r="X49">
        <v>1629.798722639975</v>
      </c>
      <c r="Y49">
        <v>922.38185231327066</v>
      </c>
      <c r="Z49">
        <v>331.74613098144533</v>
      </c>
      <c r="AA49">
        <v>27.66184742510319</v>
      </c>
      <c r="AB49">
        <v>736.55634222507479</v>
      </c>
      <c r="AC49">
        <v>369.91755477905275</v>
      </c>
      <c r="AD49">
        <v>1106.4738970041276</v>
      </c>
      <c r="AE49">
        <v>1.7669457812429323</v>
      </c>
      <c r="AF49" s="1" t="s">
        <v>2571</v>
      </c>
      <c r="AG49" s="1" t="s">
        <v>2572</v>
      </c>
      <c r="AH49" s="1" t="s">
        <v>2573</v>
      </c>
      <c r="AI49" s="1" t="str">
        <f>_xlfn.TEXTAFTER(_xlfn.TEXTBEFORE(batch_summary[[#This Row],[video]],"_",1),"-",3)</f>
        <v>16</v>
      </c>
      <c r="AJ49" s="1" t="str">
        <f>_xlfn.TEXTBEFORE(_xlfn.TEXTAFTER(batch_summary[[#This Row],[video]],"_",1),"_",1)</f>
        <v>20260312</v>
      </c>
      <c r="AK49" s="1" t="str">
        <f>_xlfn.TEXTBEFORE(_xlfn.TEXTAFTER(batch_summary[[#This Row],[video]],"_",2),".",1)</f>
        <v>110000</v>
      </c>
    </row>
    <row r="50" spans="1:37" x14ac:dyDescent="0.2">
      <c r="A50" s="1" t="s">
        <v>2574</v>
      </c>
      <c r="B50" s="1" t="s">
        <v>2575</v>
      </c>
      <c r="C50">
        <v>119.95833333333333</v>
      </c>
      <c r="D50">
        <v>2879</v>
      </c>
      <c r="E50">
        <v>0.38439256977289915</v>
      </c>
      <c r="F50">
        <v>37.312414856627584</v>
      </c>
      <c r="G50">
        <v>1.3351600200517511E-4</v>
      </c>
      <c r="H50">
        <v>1.2960199672326358E-2</v>
      </c>
      <c r="I50">
        <v>5</v>
      </c>
      <c r="J50" t="b">
        <v>1</v>
      </c>
      <c r="K50">
        <v>0.65</v>
      </c>
      <c r="L50">
        <v>1.3</v>
      </c>
      <c r="M50" t="b">
        <v>1</v>
      </c>
      <c r="N50">
        <v>200</v>
      </c>
      <c r="O50" t="b">
        <v>0</v>
      </c>
      <c r="P50" t="b">
        <v>0</v>
      </c>
      <c r="Q50">
        <v>0.7</v>
      </c>
      <c r="R50">
        <v>89773.514235258102</v>
      </c>
      <c r="S50">
        <v>15431.615785062313</v>
      </c>
      <c r="T50">
        <v>70156.210327148438</v>
      </c>
      <c r="U50">
        <v>4701.584902882576</v>
      </c>
      <c r="V50">
        <v>105205.13002032042</v>
      </c>
      <c r="W50">
        <v>74857.795230031013</v>
      </c>
      <c r="X50">
        <v>877.01393556362973</v>
      </c>
      <c r="Y50">
        <v>624.03163790230792</v>
      </c>
      <c r="Z50">
        <v>726.60144907116887</v>
      </c>
      <c r="AA50">
        <v>18.714448807507754</v>
      </c>
      <c r="AB50">
        <v>701.56210327148438</v>
      </c>
      <c r="AC50">
        <v>47.015849028825762</v>
      </c>
      <c r="AD50">
        <v>748.57795230031013</v>
      </c>
      <c r="AE50">
        <v>1.4053997943305019</v>
      </c>
      <c r="AF50" s="1" t="s">
        <v>2576</v>
      </c>
      <c r="AG50" s="1" t="s">
        <v>2577</v>
      </c>
      <c r="AH50" s="1" t="s">
        <v>2578</v>
      </c>
      <c r="AI50" s="1" t="str">
        <f>_xlfn.TEXTAFTER(_xlfn.TEXTBEFORE(batch_summary[[#This Row],[video]],"_",1),"-",3)</f>
        <v>16</v>
      </c>
      <c r="AJ50" s="1" t="str">
        <f>_xlfn.TEXTBEFORE(_xlfn.TEXTAFTER(batch_summary[[#This Row],[video]],"_",1),"_",1)</f>
        <v>20260312</v>
      </c>
      <c r="AK50" s="1" t="str">
        <f>_xlfn.TEXTBEFORE(_xlfn.TEXTAFTER(batch_summary[[#This Row],[video]],"_",2),".",1)</f>
        <v>120000</v>
      </c>
    </row>
    <row r="51" spans="1:37" x14ac:dyDescent="0.2">
      <c r="A51" s="1" t="s">
        <v>2579</v>
      </c>
      <c r="B51" s="1" t="s">
        <v>2580</v>
      </c>
      <c r="C51">
        <v>119.95833333333333</v>
      </c>
      <c r="D51">
        <v>2879</v>
      </c>
      <c r="E51">
        <v>0.3816962530836463</v>
      </c>
      <c r="F51">
        <v>37.054271794855595</v>
      </c>
      <c r="G51">
        <v>1.3257945574284344E-4</v>
      </c>
      <c r="H51">
        <v>1.2870535531384368E-2</v>
      </c>
      <c r="I51">
        <v>5</v>
      </c>
      <c r="J51" t="b">
        <v>1</v>
      </c>
      <c r="K51">
        <v>0.65</v>
      </c>
      <c r="L51">
        <v>1.3</v>
      </c>
      <c r="M51" t="b">
        <v>1</v>
      </c>
      <c r="N51">
        <v>200</v>
      </c>
      <c r="O51" t="b">
        <v>0</v>
      </c>
      <c r="P51" t="b">
        <v>0</v>
      </c>
      <c r="Q51">
        <v>0.7</v>
      </c>
      <c r="R51">
        <v>150075.47511446476</v>
      </c>
      <c r="S51">
        <v>54561.97678154707</v>
      </c>
      <c r="T51">
        <v>134258.42274475098</v>
      </c>
      <c r="U51">
        <v>32568.407880067825</v>
      </c>
      <c r="V51">
        <v>204637.45189601183</v>
      </c>
      <c r="W51">
        <v>166826.8306248188</v>
      </c>
      <c r="X51">
        <v>1705.9044270594943</v>
      </c>
      <c r="Y51">
        <v>1390.7064727320776</v>
      </c>
      <c r="Z51">
        <v>678.49801594972621</v>
      </c>
      <c r="AA51">
        <v>41.706707656204699</v>
      </c>
      <c r="AB51">
        <v>1342.5842274475099</v>
      </c>
      <c r="AC51">
        <v>325.68407880067826</v>
      </c>
      <c r="AD51">
        <v>1668.2683062481881</v>
      </c>
      <c r="AE51">
        <v>1.2266459245768824</v>
      </c>
      <c r="AF51" s="1" t="s">
        <v>2581</v>
      </c>
      <c r="AG51" s="1" t="s">
        <v>2582</v>
      </c>
      <c r="AH51" s="1" t="s">
        <v>2583</v>
      </c>
      <c r="AI51" s="1" t="str">
        <f>_xlfn.TEXTAFTER(_xlfn.TEXTBEFORE(batch_summary[[#This Row],[video]],"_",1),"-",3)</f>
        <v>16</v>
      </c>
      <c r="AJ51" s="1" t="str">
        <f>_xlfn.TEXTBEFORE(_xlfn.TEXTAFTER(batch_summary[[#This Row],[video]],"_",1),"_",1)</f>
        <v>20260312</v>
      </c>
      <c r="AK51" s="1" t="str">
        <f>_xlfn.TEXTBEFORE(_xlfn.TEXTAFTER(batch_summary[[#This Row],[video]],"_",2),".",1)</f>
        <v>130000</v>
      </c>
    </row>
    <row r="52" spans="1:37" x14ac:dyDescent="0.2">
      <c r="A52" s="1" t="s">
        <v>2584</v>
      </c>
      <c r="B52" s="1" t="s">
        <v>2585</v>
      </c>
      <c r="C52">
        <v>119.95833333333333</v>
      </c>
      <c r="D52">
        <v>2879</v>
      </c>
      <c r="E52">
        <v>0.37658767495304346</v>
      </c>
      <c r="F52">
        <v>36.97793038841337</v>
      </c>
      <c r="G52">
        <v>1.3080502777111617E-4</v>
      </c>
      <c r="H52">
        <v>1.2844018891425276E-2</v>
      </c>
      <c r="I52">
        <v>5</v>
      </c>
      <c r="J52" t="b">
        <v>1</v>
      </c>
      <c r="K52">
        <v>0.65</v>
      </c>
      <c r="L52">
        <v>1.3</v>
      </c>
      <c r="M52" t="b">
        <v>1</v>
      </c>
      <c r="N52">
        <v>200</v>
      </c>
      <c r="O52" t="b">
        <v>0</v>
      </c>
      <c r="P52" t="b">
        <v>0</v>
      </c>
      <c r="Q52">
        <v>0.7</v>
      </c>
      <c r="R52">
        <v>374098.72196018696</v>
      </c>
      <c r="S52">
        <v>428598.27990871668</v>
      </c>
      <c r="T52">
        <v>323869.37648135424</v>
      </c>
      <c r="U52">
        <v>356853.28408479691</v>
      </c>
      <c r="V52">
        <v>802697.00186890364</v>
      </c>
      <c r="W52">
        <v>680722.66056615114</v>
      </c>
      <c r="X52">
        <v>6691.4651076254559</v>
      </c>
      <c r="Y52">
        <v>5674.6592058310625</v>
      </c>
      <c r="Z52">
        <v>2411.9578159332277</v>
      </c>
      <c r="AA52">
        <v>170.18066514153779</v>
      </c>
      <c r="AB52">
        <v>3238.6937648135422</v>
      </c>
      <c r="AC52">
        <v>3568.5328408479691</v>
      </c>
      <c r="AD52">
        <v>6807.2266056615117</v>
      </c>
      <c r="AE52">
        <v>1.1791836064357069</v>
      </c>
      <c r="AF52" s="1" t="s">
        <v>2586</v>
      </c>
      <c r="AG52" s="1" t="s">
        <v>2587</v>
      </c>
      <c r="AH52" s="1" t="s">
        <v>2588</v>
      </c>
      <c r="AI52" s="1" t="str">
        <f>_xlfn.TEXTAFTER(_xlfn.TEXTBEFORE(batch_summary[[#This Row],[video]],"_",1),"-",3)</f>
        <v>16</v>
      </c>
      <c r="AJ52" s="1" t="str">
        <f>_xlfn.TEXTBEFORE(_xlfn.TEXTAFTER(batch_summary[[#This Row],[video]],"_",1),"_",1)</f>
        <v>20260312</v>
      </c>
      <c r="AK52" s="1" t="str">
        <f>_xlfn.TEXTBEFORE(_xlfn.TEXTAFTER(batch_summary[[#This Row],[video]],"_",2),".",1)</f>
        <v>140000</v>
      </c>
    </row>
    <row r="53" spans="1:37" x14ac:dyDescent="0.2">
      <c r="A53" s="1" t="s">
        <v>2589</v>
      </c>
      <c r="B53" s="1" t="s">
        <v>2590</v>
      </c>
      <c r="C53">
        <v>119.95833333333333</v>
      </c>
      <c r="D53">
        <v>2879</v>
      </c>
      <c r="E53">
        <v>0.37836036644876003</v>
      </c>
      <c r="F53">
        <v>37.049949428066611</v>
      </c>
      <c r="G53">
        <v>1.3142075944729421E-4</v>
      </c>
      <c r="H53">
        <v>1.286903418828295E-2</v>
      </c>
      <c r="I53">
        <v>5</v>
      </c>
      <c r="J53" t="b">
        <v>1</v>
      </c>
      <c r="K53">
        <v>0.65</v>
      </c>
      <c r="L53">
        <v>1.3</v>
      </c>
      <c r="M53" t="b">
        <v>1</v>
      </c>
      <c r="N53">
        <v>200</v>
      </c>
      <c r="O53" t="b">
        <v>0</v>
      </c>
      <c r="P53" t="b">
        <v>0</v>
      </c>
      <c r="Q53">
        <v>0.7</v>
      </c>
      <c r="R53">
        <v>51057.379126310349</v>
      </c>
      <c r="S53">
        <v>9850.2895218133926</v>
      </c>
      <c r="T53">
        <v>44137.521301269531</v>
      </c>
      <c r="U53">
        <v>4267.6423034667969</v>
      </c>
      <c r="V53">
        <v>60907.668648123741</v>
      </c>
      <c r="W53">
        <v>48405.163604736328</v>
      </c>
      <c r="X53">
        <v>507.74020408300447</v>
      </c>
      <c r="Y53">
        <v>403.51647325935113</v>
      </c>
      <c r="Z53">
        <v>336.42822784423828</v>
      </c>
      <c r="AA53">
        <v>12.101290901184083</v>
      </c>
      <c r="AB53">
        <v>441.37521301269533</v>
      </c>
      <c r="AC53">
        <v>42.67642303466797</v>
      </c>
      <c r="AD53">
        <v>484.05163604736327</v>
      </c>
      <c r="AE53">
        <v>1.2582886641078117</v>
      </c>
      <c r="AF53" s="1" t="s">
        <v>2591</v>
      </c>
      <c r="AG53" s="1" t="s">
        <v>2592</v>
      </c>
      <c r="AH53" s="1" t="s">
        <v>2593</v>
      </c>
      <c r="AI53" s="1" t="str">
        <f>_xlfn.TEXTAFTER(_xlfn.TEXTBEFORE(batch_summary[[#This Row],[video]],"_",1),"-",3)</f>
        <v>16</v>
      </c>
      <c r="AJ53" s="1" t="str">
        <f>_xlfn.TEXTBEFORE(_xlfn.TEXTAFTER(batch_summary[[#This Row],[video]],"_",1),"_",1)</f>
        <v>20260312</v>
      </c>
      <c r="AK53" s="1" t="str">
        <f>_xlfn.TEXTBEFORE(_xlfn.TEXTAFTER(batch_summary[[#This Row],[video]],"_",2),".",1)</f>
        <v>150000</v>
      </c>
    </row>
    <row r="54" spans="1:37" x14ac:dyDescent="0.2">
      <c r="A54" s="1" t="s">
        <v>2594</v>
      </c>
      <c r="B54" s="1" t="s">
        <v>2595</v>
      </c>
      <c r="C54">
        <v>119.95833333333333</v>
      </c>
      <c r="D54">
        <v>2879</v>
      </c>
      <c r="E54">
        <v>0.3737109312787652</v>
      </c>
      <c r="F54">
        <v>36.87752584926784</v>
      </c>
      <c r="G54">
        <v>1.2980581148967183E-4</v>
      </c>
      <c r="H54">
        <v>1.2809144094917624E-2</v>
      </c>
      <c r="I54">
        <v>5</v>
      </c>
      <c r="J54" t="b">
        <v>1</v>
      </c>
      <c r="K54">
        <v>0.65</v>
      </c>
      <c r="L54">
        <v>1.3</v>
      </c>
      <c r="M54" t="b">
        <v>1</v>
      </c>
      <c r="N54">
        <v>200</v>
      </c>
      <c r="O54" t="b">
        <v>0</v>
      </c>
      <c r="P54" t="b">
        <v>0</v>
      </c>
      <c r="Q54">
        <v>0.7</v>
      </c>
      <c r="R54">
        <v>749.25576496124268</v>
      </c>
      <c r="S54">
        <v>1461.4284726381302</v>
      </c>
      <c r="T54">
        <v>0</v>
      </c>
      <c r="U54">
        <v>0</v>
      </c>
      <c r="V54">
        <v>2210.6842375993729</v>
      </c>
      <c r="W54">
        <v>0</v>
      </c>
      <c r="X54">
        <v>18.428767524274036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2210684237.5993729</v>
      </c>
      <c r="AF54" s="1" t="s">
        <v>2596</v>
      </c>
      <c r="AG54" s="1" t="s">
        <v>2597</v>
      </c>
      <c r="AH54" s="1" t="s">
        <v>2598</v>
      </c>
      <c r="AI54" s="1" t="str">
        <f>_xlfn.TEXTAFTER(_xlfn.TEXTBEFORE(batch_summary[[#This Row],[video]],"_",1),"-",3)</f>
        <v>16</v>
      </c>
      <c r="AJ54" s="1" t="str">
        <f>_xlfn.TEXTBEFORE(_xlfn.TEXTAFTER(batch_summary[[#This Row],[video]],"_",1),"_",1)</f>
        <v>20260312</v>
      </c>
      <c r="AK54" s="1" t="str">
        <f>_xlfn.TEXTBEFORE(_xlfn.TEXTAFTER(batch_summary[[#This Row],[video]],"_",2),".",1)</f>
        <v>160000</v>
      </c>
    </row>
    <row r="55" spans="1:37" x14ac:dyDescent="0.2">
      <c r="A55" s="1" t="s">
        <v>2599</v>
      </c>
      <c r="B55" s="1" t="s">
        <v>2600</v>
      </c>
      <c r="C55">
        <v>119.95833333333333</v>
      </c>
      <c r="D55">
        <v>2879</v>
      </c>
      <c r="E55">
        <v>0.37640897650271654</v>
      </c>
      <c r="F55">
        <v>36.897831788286567</v>
      </c>
      <c r="G55">
        <v>1.3074295814613287E-4</v>
      </c>
      <c r="H55">
        <v>1.2816197217188805E-2</v>
      </c>
      <c r="I55">
        <v>5</v>
      </c>
      <c r="J55" t="b">
        <v>1</v>
      </c>
      <c r="K55">
        <v>0.65</v>
      </c>
      <c r="L55">
        <v>1.3</v>
      </c>
      <c r="M55" t="b">
        <v>1</v>
      </c>
      <c r="N55">
        <v>200</v>
      </c>
      <c r="O55" t="b">
        <v>0</v>
      </c>
      <c r="P55" t="b">
        <v>0</v>
      </c>
      <c r="Q55">
        <v>0.7</v>
      </c>
      <c r="R55">
        <v>50662.637215614319</v>
      </c>
      <c r="S55">
        <v>91438.863073825836</v>
      </c>
      <c r="T55">
        <v>42299.008308410645</v>
      </c>
      <c r="U55">
        <v>79437.379858016968</v>
      </c>
      <c r="V55">
        <v>142101.50028944016</v>
      </c>
      <c r="W55">
        <v>121736.38816642761</v>
      </c>
      <c r="X55">
        <v>1184.5904852193692</v>
      </c>
      <c r="Y55">
        <v>1014.8222702307269</v>
      </c>
      <c r="Z55">
        <v>622.90383386611938</v>
      </c>
      <c r="AA55">
        <v>30.434097041606901</v>
      </c>
      <c r="AB55">
        <v>422.99008308410646</v>
      </c>
      <c r="AC55">
        <v>794.37379858016971</v>
      </c>
      <c r="AD55">
        <v>1217.3638816642761</v>
      </c>
      <c r="AE55">
        <v>1.1672886178877846</v>
      </c>
      <c r="AF55" s="1" t="s">
        <v>2601</v>
      </c>
      <c r="AG55" s="1" t="s">
        <v>2602</v>
      </c>
      <c r="AH55" s="1" t="s">
        <v>2603</v>
      </c>
      <c r="AI55" s="1" t="str">
        <f>_xlfn.TEXTAFTER(_xlfn.TEXTBEFORE(batch_summary[[#This Row],[video]],"_",1),"-",3)</f>
        <v>16</v>
      </c>
      <c r="AJ55" s="1" t="str">
        <f>_xlfn.TEXTBEFORE(_xlfn.TEXTAFTER(batch_summary[[#This Row],[video]],"_",1),"_",1)</f>
        <v>20260312</v>
      </c>
      <c r="AK55" s="1" t="str">
        <f>_xlfn.TEXTBEFORE(_xlfn.TEXTAFTER(batch_summary[[#This Row],[video]],"_",2),".",1)</f>
        <v>170000</v>
      </c>
    </row>
    <row r="56" spans="1:37" x14ac:dyDescent="0.2">
      <c r="A56" s="1" t="s">
        <v>2604</v>
      </c>
      <c r="B56" s="1" t="s">
        <v>2605</v>
      </c>
      <c r="C56">
        <v>119.95833333333333</v>
      </c>
      <c r="D56">
        <v>2879</v>
      </c>
      <c r="E56">
        <v>0.37949493899941444</v>
      </c>
      <c r="F56">
        <v>37.152561300434172</v>
      </c>
      <c r="G56">
        <v>1.318148450848956E-4</v>
      </c>
      <c r="H56">
        <v>1.2904675686152891E-2</v>
      </c>
      <c r="I56">
        <v>5</v>
      </c>
      <c r="J56" t="b">
        <v>1</v>
      </c>
      <c r="K56">
        <v>0.65</v>
      </c>
      <c r="L56">
        <v>1.3</v>
      </c>
      <c r="M56" t="b">
        <v>1</v>
      </c>
      <c r="N56">
        <v>200</v>
      </c>
      <c r="O56" t="b">
        <v>0</v>
      </c>
      <c r="P56" t="b">
        <v>0</v>
      </c>
      <c r="Q56">
        <v>0.7</v>
      </c>
      <c r="R56">
        <v>5259.9177085757256</v>
      </c>
      <c r="S56">
        <v>6772.6646015644073</v>
      </c>
      <c r="T56">
        <v>0</v>
      </c>
      <c r="U56">
        <v>0</v>
      </c>
      <c r="V56">
        <v>12032.582310140133</v>
      </c>
      <c r="W56">
        <v>0</v>
      </c>
      <c r="X56">
        <v>100.30634784416922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12032582310.140133</v>
      </c>
      <c r="AF56" s="1" t="s">
        <v>2606</v>
      </c>
      <c r="AG56" s="1" t="s">
        <v>2607</v>
      </c>
      <c r="AH56" s="1" t="s">
        <v>2608</v>
      </c>
      <c r="AI56" s="1" t="str">
        <f>_xlfn.TEXTAFTER(_xlfn.TEXTBEFORE(batch_summary[[#This Row],[video]],"_",1),"-",3)</f>
        <v>16</v>
      </c>
      <c r="AJ56" s="1" t="str">
        <f>_xlfn.TEXTBEFORE(_xlfn.TEXTAFTER(batch_summary[[#This Row],[video]],"_",1),"_",1)</f>
        <v>20260312</v>
      </c>
      <c r="AK56" s="1" t="str">
        <f>_xlfn.TEXTBEFORE(_xlfn.TEXTAFTER(batch_summary[[#This Row],[video]],"_",2),".",1)</f>
        <v>180000</v>
      </c>
    </row>
    <row r="57" spans="1:37" x14ac:dyDescent="0.2">
      <c r="A57" s="1" t="s">
        <v>2609</v>
      </c>
      <c r="B57" s="1" t="s">
        <v>2610</v>
      </c>
      <c r="C57">
        <v>119.95833333333333</v>
      </c>
      <c r="D57">
        <v>2879</v>
      </c>
      <c r="E57">
        <v>0.37396314274519682</v>
      </c>
      <c r="F57">
        <v>36.834447642788291</v>
      </c>
      <c r="G57">
        <v>1.2989341533351748E-4</v>
      </c>
      <c r="H57">
        <v>1.2794181188880963E-2</v>
      </c>
      <c r="I57">
        <v>5</v>
      </c>
      <c r="J57" t="b">
        <v>1</v>
      </c>
      <c r="K57">
        <v>0.65</v>
      </c>
      <c r="L57">
        <v>1.3</v>
      </c>
      <c r="M57" t="b">
        <v>1</v>
      </c>
      <c r="N57">
        <v>200</v>
      </c>
      <c r="O57" t="b">
        <v>0</v>
      </c>
      <c r="P57" t="b">
        <v>0</v>
      </c>
      <c r="Q57">
        <v>0.7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1" t="s">
        <v>2611</v>
      </c>
      <c r="AG57" s="1" t="s">
        <v>2612</v>
      </c>
      <c r="AH57" s="1" t="s">
        <v>2613</v>
      </c>
      <c r="AI57" s="1" t="str">
        <f>_xlfn.TEXTAFTER(_xlfn.TEXTBEFORE(batch_summary[[#This Row],[video]],"_",1),"-",3)</f>
        <v>16</v>
      </c>
      <c r="AJ57" s="1" t="str">
        <f>_xlfn.TEXTBEFORE(_xlfn.TEXTAFTER(batch_summary[[#This Row],[video]],"_",1),"_",1)</f>
        <v>20260312</v>
      </c>
      <c r="AK57" s="1" t="str">
        <f>_xlfn.TEXTBEFORE(_xlfn.TEXTAFTER(batch_summary[[#This Row],[video]],"_",2),".",1)</f>
        <v>190000</v>
      </c>
    </row>
    <row r="58" spans="1:37" x14ac:dyDescent="0.2">
      <c r="A58" s="1" t="s">
        <v>2614</v>
      </c>
      <c r="B58" s="1" t="s">
        <v>2615</v>
      </c>
      <c r="C58">
        <v>119.95833333333333</v>
      </c>
      <c r="D58">
        <v>2879</v>
      </c>
      <c r="E58">
        <v>0.37227067351341248</v>
      </c>
      <c r="F58">
        <v>36.652674344368279</v>
      </c>
      <c r="G58">
        <v>1.2930554828531173E-4</v>
      </c>
      <c r="H58">
        <v>1.2731043537467273E-2</v>
      </c>
      <c r="I58">
        <v>5</v>
      </c>
      <c r="J58" t="b">
        <v>1</v>
      </c>
      <c r="K58">
        <v>0.65</v>
      </c>
      <c r="L58">
        <v>1.3</v>
      </c>
      <c r="M58" t="b">
        <v>1</v>
      </c>
      <c r="N58">
        <v>200</v>
      </c>
      <c r="O58" t="b">
        <v>0</v>
      </c>
      <c r="P58" t="b">
        <v>0</v>
      </c>
      <c r="Q58">
        <v>0.7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1" t="s">
        <v>2616</v>
      </c>
      <c r="AG58" s="1" t="s">
        <v>2617</v>
      </c>
      <c r="AH58" s="1" t="s">
        <v>2618</v>
      </c>
      <c r="AI58" s="1" t="str">
        <f>_xlfn.TEXTAFTER(_xlfn.TEXTBEFORE(batch_summary[[#This Row],[video]],"_",1),"-",3)</f>
        <v>16</v>
      </c>
      <c r="AJ58" s="1" t="str">
        <f>_xlfn.TEXTBEFORE(_xlfn.TEXTAFTER(batch_summary[[#This Row],[video]],"_",1),"_",1)</f>
        <v>20260313</v>
      </c>
      <c r="AK58" s="1" t="str">
        <f>_xlfn.TEXTBEFORE(_xlfn.TEXTAFTER(batch_summary[[#This Row],[video]],"_",2),".",1)</f>
        <v>060000</v>
      </c>
    </row>
    <row r="59" spans="1:37" x14ac:dyDescent="0.2">
      <c r="A59" s="1" t="s">
        <v>2619</v>
      </c>
      <c r="B59" s="1" t="s">
        <v>2620</v>
      </c>
      <c r="C59">
        <v>119.95833333333333</v>
      </c>
      <c r="D59">
        <v>2879</v>
      </c>
      <c r="E59">
        <v>0.38479054998606443</v>
      </c>
      <c r="F59">
        <v>37.401252835057676</v>
      </c>
      <c r="G59">
        <v>1.3365423757765349E-4</v>
      </c>
      <c r="H59">
        <v>1.2991056906932155E-2</v>
      </c>
      <c r="I59">
        <v>5</v>
      </c>
      <c r="J59" t="b">
        <v>1</v>
      </c>
      <c r="K59">
        <v>0.65</v>
      </c>
      <c r="L59">
        <v>1.3</v>
      </c>
      <c r="M59" t="b">
        <v>1</v>
      </c>
      <c r="N59">
        <v>200</v>
      </c>
      <c r="O59" t="b">
        <v>0</v>
      </c>
      <c r="P59" t="b">
        <v>0</v>
      </c>
      <c r="Q59">
        <v>0.7</v>
      </c>
      <c r="R59">
        <v>13674.214728116989</v>
      </c>
      <c r="S59">
        <v>19303.08597433567</v>
      </c>
      <c r="T59">
        <v>0</v>
      </c>
      <c r="U59">
        <v>311.13369750976562</v>
      </c>
      <c r="V59">
        <v>32977.30070245266</v>
      </c>
      <c r="W59">
        <v>311.13369750976562</v>
      </c>
      <c r="X59">
        <v>274.90629276098088</v>
      </c>
      <c r="Y59">
        <v>2.5936813963995746</v>
      </c>
      <c r="Z59">
        <v>3.1113369750976561</v>
      </c>
      <c r="AA59">
        <v>7.7783424377441401E-2</v>
      </c>
      <c r="AB59">
        <v>0</v>
      </c>
      <c r="AC59">
        <v>3.1113369750976561</v>
      </c>
      <c r="AD59">
        <v>3.1113369750976561</v>
      </c>
      <c r="AE59">
        <v>105.99077170487968</v>
      </c>
      <c r="AF59" s="1" t="s">
        <v>2621</v>
      </c>
      <c r="AG59" s="1" t="s">
        <v>2622</v>
      </c>
      <c r="AH59" s="1" t="s">
        <v>2623</v>
      </c>
      <c r="AI59" s="1" t="str">
        <f>_xlfn.TEXTAFTER(_xlfn.TEXTBEFORE(batch_summary[[#This Row],[video]],"_",1),"-",3)</f>
        <v>16</v>
      </c>
      <c r="AJ59" s="1" t="str">
        <f>_xlfn.TEXTBEFORE(_xlfn.TEXTAFTER(batch_summary[[#This Row],[video]],"_",1),"_",1)</f>
        <v>20260313</v>
      </c>
      <c r="AK59" s="1" t="str">
        <f>_xlfn.TEXTBEFORE(_xlfn.TEXTAFTER(batch_summary[[#This Row],[video]],"_",2),".",1)</f>
        <v>070000</v>
      </c>
    </row>
    <row r="60" spans="1:37" x14ac:dyDescent="0.2">
      <c r="A60" s="1" t="s">
        <v>2624</v>
      </c>
      <c r="B60" s="1" t="s">
        <v>2625</v>
      </c>
      <c r="C60">
        <v>119.95833333333333</v>
      </c>
      <c r="D60">
        <v>2879</v>
      </c>
      <c r="E60">
        <v>0.37992838118225336</v>
      </c>
      <c r="F60">
        <v>37.017489581368864</v>
      </c>
      <c r="G60">
        <v>1.3196539811818455E-4</v>
      </c>
      <c r="H60">
        <v>1.2857759493354937E-2</v>
      </c>
      <c r="I60">
        <v>5</v>
      </c>
      <c r="J60" t="b">
        <v>1</v>
      </c>
      <c r="K60">
        <v>0.65</v>
      </c>
      <c r="L60">
        <v>1.3</v>
      </c>
      <c r="M60" t="b">
        <v>1</v>
      </c>
      <c r="N60">
        <v>200</v>
      </c>
      <c r="O60" t="b">
        <v>0</v>
      </c>
      <c r="P60" t="b">
        <v>0</v>
      </c>
      <c r="Q60">
        <v>0.7</v>
      </c>
      <c r="R60">
        <v>6118.0112057924271</v>
      </c>
      <c r="S60">
        <v>9094.9466007947922</v>
      </c>
      <c r="T60">
        <v>0</v>
      </c>
      <c r="U60">
        <v>0</v>
      </c>
      <c r="V60">
        <v>15212.957806587219</v>
      </c>
      <c r="W60">
        <v>0</v>
      </c>
      <c r="X60">
        <v>126.81868265303692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15212957806.587219</v>
      </c>
      <c r="AF60" s="1" t="s">
        <v>2626</v>
      </c>
      <c r="AG60" s="1" t="s">
        <v>2627</v>
      </c>
      <c r="AH60" s="1" t="s">
        <v>2628</v>
      </c>
      <c r="AI60" s="1" t="str">
        <f>_xlfn.TEXTAFTER(_xlfn.TEXTBEFORE(batch_summary[[#This Row],[video]],"_",1),"-",3)</f>
        <v>16</v>
      </c>
      <c r="AJ60" s="1" t="str">
        <f>_xlfn.TEXTBEFORE(_xlfn.TEXTAFTER(batch_summary[[#This Row],[video]],"_",1),"_",1)</f>
        <v>20260313</v>
      </c>
      <c r="AK60" s="1" t="str">
        <f>_xlfn.TEXTBEFORE(_xlfn.TEXTAFTER(batch_summary[[#This Row],[video]],"_",2),".",1)</f>
        <v>080000</v>
      </c>
    </row>
    <row r="61" spans="1:37" x14ac:dyDescent="0.2">
      <c r="A61" s="1" t="s">
        <v>2629</v>
      </c>
      <c r="B61" s="1" t="s">
        <v>2630</v>
      </c>
      <c r="C61">
        <v>119.95833333333333</v>
      </c>
      <c r="D61">
        <v>2879</v>
      </c>
      <c r="E61">
        <v>0.37418870441615582</v>
      </c>
      <c r="F61">
        <v>36.743192351423204</v>
      </c>
      <c r="G61">
        <v>1.2997176256205481E-4</v>
      </c>
      <c r="H61">
        <v>1.2762484317965684E-2</v>
      </c>
      <c r="I61">
        <v>5</v>
      </c>
      <c r="J61" t="b">
        <v>1</v>
      </c>
      <c r="K61">
        <v>0.65</v>
      </c>
      <c r="L61">
        <v>1.3</v>
      </c>
      <c r="M61" t="b">
        <v>1</v>
      </c>
      <c r="N61">
        <v>200</v>
      </c>
      <c r="O61" t="b">
        <v>0</v>
      </c>
      <c r="P61" t="b">
        <v>0</v>
      </c>
      <c r="Q61">
        <v>0.7</v>
      </c>
      <c r="R61">
        <v>7767.3247684240341</v>
      </c>
      <c r="S61">
        <v>9808.975675702095</v>
      </c>
      <c r="T61">
        <v>0</v>
      </c>
      <c r="U61">
        <v>0</v>
      </c>
      <c r="V61">
        <v>17576.300444126129</v>
      </c>
      <c r="W61">
        <v>0</v>
      </c>
      <c r="X61">
        <v>146.52004538347589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17576300444.126129</v>
      </c>
      <c r="AF61" s="1" t="s">
        <v>2631</v>
      </c>
      <c r="AG61" s="1" t="s">
        <v>2632</v>
      </c>
      <c r="AH61" s="1" t="s">
        <v>2633</v>
      </c>
      <c r="AI61" s="1" t="str">
        <f>_xlfn.TEXTAFTER(_xlfn.TEXTBEFORE(batch_summary[[#This Row],[video]],"_",1),"-",3)</f>
        <v>16</v>
      </c>
      <c r="AJ61" s="1" t="str">
        <f>_xlfn.TEXTBEFORE(_xlfn.TEXTAFTER(batch_summary[[#This Row],[video]],"_",1),"_",1)</f>
        <v>20260313</v>
      </c>
      <c r="AK61" s="1" t="str">
        <f>_xlfn.TEXTBEFORE(_xlfn.TEXTAFTER(batch_summary[[#This Row],[video]],"_",2),".",1)</f>
        <v>090000</v>
      </c>
    </row>
    <row r="62" spans="1:37" x14ac:dyDescent="0.2">
      <c r="A62" s="1" t="s">
        <v>2634</v>
      </c>
      <c r="B62" s="1" t="s">
        <v>2635</v>
      </c>
      <c r="C62">
        <v>119.95833333333333</v>
      </c>
      <c r="D62">
        <v>2879</v>
      </c>
      <c r="E62">
        <v>0.37685810308903456</v>
      </c>
      <c r="F62">
        <v>36.743813684210181</v>
      </c>
      <c r="G62">
        <v>1.3089895904447188E-4</v>
      </c>
      <c r="H62">
        <v>1.276270013345265E-2</v>
      </c>
      <c r="I62">
        <v>5</v>
      </c>
      <c r="J62" t="b">
        <v>1</v>
      </c>
      <c r="K62">
        <v>0.65</v>
      </c>
      <c r="L62">
        <v>1.3</v>
      </c>
      <c r="M62" t="b">
        <v>1</v>
      </c>
      <c r="N62">
        <v>200</v>
      </c>
      <c r="O62" t="b">
        <v>0</v>
      </c>
      <c r="P62" t="b">
        <v>0</v>
      </c>
      <c r="Q62">
        <v>0.7</v>
      </c>
      <c r="R62">
        <v>1580.1627608537674</v>
      </c>
      <c r="S62">
        <v>2167.8903337717056</v>
      </c>
      <c r="T62">
        <v>0</v>
      </c>
      <c r="U62">
        <v>0</v>
      </c>
      <c r="V62">
        <v>3748.053094625473</v>
      </c>
      <c r="W62">
        <v>0</v>
      </c>
      <c r="X62">
        <v>31.244624616537465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3748053094.625473</v>
      </c>
      <c r="AF62" s="1" t="s">
        <v>2636</v>
      </c>
      <c r="AG62" s="1" t="s">
        <v>2637</v>
      </c>
      <c r="AH62" s="1" t="s">
        <v>2638</v>
      </c>
      <c r="AI62" s="1" t="str">
        <f>_xlfn.TEXTAFTER(_xlfn.TEXTBEFORE(batch_summary[[#This Row],[video]],"_",1),"-",3)</f>
        <v>16</v>
      </c>
      <c r="AJ62" s="1" t="str">
        <f>_xlfn.TEXTBEFORE(_xlfn.TEXTAFTER(batch_summary[[#This Row],[video]],"_",1),"_",1)</f>
        <v>20260313</v>
      </c>
      <c r="AK62" s="1" t="str">
        <f>_xlfn.TEXTBEFORE(_xlfn.TEXTAFTER(batch_summary[[#This Row],[video]],"_",2),".",1)</f>
        <v>100000</v>
      </c>
    </row>
    <row r="63" spans="1:37" x14ac:dyDescent="0.2">
      <c r="A63" s="1" t="s">
        <v>2639</v>
      </c>
      <c r="B63" s="1" t="s">
        <v>2640</v>
      </c>
      <c r="C63">
        <v>119.95833333333333</v>
      </c>
      <c r="D63">
        <v>2879</v>
      </c>
      <c r="E63">
        <v>0.37666859198361635</v>
      </c>
      <c r="F63">
        <v>36.90396064799279</v>
      </c>
      <c r="G63">
        <v>1.308331337212978E-4</v>
      </c>
      <c r="H63">
        <v>1.2818326032647721E-2</v>
      </c>
      <c r="I63">
        <v>5</v>
      </c>
      <c r="J63" t="b">
        <v>1</v>
      </c>
      <c r="K63">
        <v>0.65</v>
      </c>
      <c r="L63">
        <v>1.3</v>
      </c>
      <c r="M63" t="b">
        <v>1</v>
      </c>
      <c r="N63">
        <v>200</v>
      </c>
      <c r="O63" t="b">
        <v>0</v>
      </c>
      <c r="P63" t="b">
        <v>0</v>
      </c>
      <c r="Q63">
        <v>0.7</v>
      </c>
      <c r="R63">
        <v>1729.7020872831345</v>
      </c>
      <c r="S63">
        <v>2298.5686970949173</v>
      </c>
      <c r="T63">
        <v>0</v>
      </c>
      <c r="U63">
        <v>0</v>
      </c>
      <c r="V63">
        <v>4028.2707843780518</v>
      </c>
      <c r="W63">
        <v>0</v>
      </c>
      <c r="X63">
        <v>33.580583127847603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4028270784.3780518</v>
      </c>
      <c r="AF63" s="1" t="s">
        <v>2641</v>
      </c>
      <c r="AG63" s="1" t="s">
        <v>2642</v>
      </c>
      <c r="AH63" s="1" t="s">
        <v>2643</v>
      </c>
      <c r="AI63" s="1" t="str">
        <f>_xlfn.TEXTAFTER(_xlfn.TEXTBEFORE(batch_summary[[#This Row],[video]],"_",1),"-",3)</f>
        <v>16</v>
      </c>
      <c r="AJ63" s="1" t="str">
        <f>_xlfn.TEXTBEFORE(_xlfn.TEXTAFTER(batch_summary[[#This Row],[video]],"_",1),"_",1)</f>
        <v>20260313</v>
      </c>
      <c r="AK63" s="1" t="str">
        <f>_xlfn.TEXTBEFORE(_xlfn.TEXTAFTER(batch_summary[[#This Row],[video]],"_",2),".",1)</f>
        <v>110000</v>
      </c>
    </row>
    <row r="64" spans="1:37" x14ac:dyDescent="0.2">
      <c r="A64" s="1" t="s">
        <v>2644</v>
      </c>
      <c r="B64" s="1" t="s">
        <v>2645</v>
      </c>
      <c r="C64">
        <v>119.95833333333333</v>
      </c>
      <c r="D64">
        <v>2879</v>
      </c>
      <c r="E64">
        <v>0.38221015408635139</v>
      </c>
      <c r="F64">
        <v>37.047741168178618</v>
      </c>
      <c r="G64">
        <v>1.3275795557011162E-4</v>
      </c>
      <c r="H64">
        <v>1.2868267165049884E-2</v>
      </c>
      <c r="I64">
        <v>5</v>
      </c>
      <c r="J64" t="b">
        <v>1</v>
      </c>
      <c r="K64">
        <v>0.65</v>
      </c>
      <c r="L64">
        <v>1.3</v>
      </c>
      <c r="M64" t="b">
        <v>1</v>
      </c>
      <c r="N64">
        <v>200</v>
      </c>
      <c r="O64" t="b">
        <v>0</v>
      </c>
      <c r="P64" t="b">
        <v>0</v>
      </c>
      <c r="Q64">
        <v>0.7</v>
      </c>
      <c r="R64">
        <v>53888.090394616127</v>
      </c>
      <c r="S64">
        <v>14817.981728315353</v>
      </c>
      <c r="T64">
        <v>23080.881896972656</v>
      </c>
      <c r="U64">
        <v>5480.1593532562256</v>
      </c>
      <c r="V64">
        <v>68706.07212293148</v>
      </c>
      <c r="W64">
        <v>28561.041250228882</v>
      </c>
      <c r="X64">
        <v>572.74947236900164</v>
      </c>
      <c r="Y64">
        <v>238.09134769207822</v>
      </c>
      <c r="Z64">
        <v>116.04796691894531</v>
      </c>
      <c r="AA64">
        <v>7.1402603125572197</v>
      </c>
      <c r="AB64">
        <v>230.80881896972656</v>
      </c>
      <c r="AC64">
        <v>54.801593532562258</v>
      </c>
      <c r="AD64">
        <v>285.6104125022888</v>
      </c>
      <c r="AE64">
        <v>2.4055870905050032</v>
      </c>
      <c r="AF64" s="1" t="s">
        <v>2646</v>
      </c>
      <c r="AG64" s="1" t="s">
        <v>2647</v>
      </c>
      <c r="AH64" s="1" t="s">
        <v>2648</v>
      </c>
      <c r="AI64" s="1" t="str">
        <f>_xlfn.TEXTAFTER(_xlfn.TEXTBEFORE(batch_summary[[#This Row],[video]],"_",1),"-",3)</f>
        <v>16</v>
      </c>
      <c r="AJ64" s="1" t="str">
        <f>_xlfn.TEXTBEFORE(_xlfn.TEXTAFTER(batch_summary[[#This Row],[video]],"_",1),"_",1)</f>
        <v>20260313</v>
      </c>
      <c r="AK64" s="1" t="str">
        <f>_xlfn.TEXTBEFORE(_xlfn.TEXTAFTER(batch_summary[[#This Row],[video]],"_",2),".",1)</f>
        <v>120000</v>
      </c>
    </row>
    <row r="65" spans="1:37" x14ac:dyDescent="0.2">
      <c r="A65" s="1" t="s">
        <v>2649</v>
      </c>
      <c r="B65" s="1" t="s">
        <v>2650</v>
      </c>
      <c r="C65">
        <v>119.95833333333333</v>
      </c>
      <c r="D65">
        <v>2879</v>
      </c>
      <c r="E65">
        <v>0.38061532657593489</v>
      </c>
      <c r="F65">
        <v>37.022386619821191</v>
      </c>
      <c r="G65">
        <v>1.3220400367347512E-4</v>
      </c>
      <c r="H65">
        <v>1.2859460444536711E-2</v>
      </c>
      <c r="I65">
        <v>5</v>
      </c>
      <c r="J65" t="b">
        <v>1</v>
      </c>
      <c r="K65">
        <v>0.65</v>
      </c>
      <c r="L65">
        <v>1.3</v>
      </c>
      <c r="M65" t="b">
        <v>1</v>
      </c>
      <c r="N65">
        <v>200</v>
      </c>
      <c r="O65" t="b">
        <v>0</v>
      </c>
      <c r="P65" t="b">
        <v>0</v>
      </c>
      <c r="Q65">
        <v>0.7</v>
      </c>
      <c r="R65">
        <v>37519.404274880886</v>
      </c>
      <c r="S65">
        <v>16531.903432011604</v>
      </c>
      <c r="T65">
        <v>22334.594177246094</v>
      </c>
      <c r="U65">
        <v>2988.3416137695312</v>
      </c>
      <c r="V65">
        <v>54051.30770689249</v>
      </c>
      <c r="W65">
        <v>25322.935791015625</v>
      </c>
      <c r="X65">
        <v>450.58401700778734</v>
      </c>
      <c r="Y65">
        <v>211.09776275942167</v>
      </c>
      <c r="Z65">
        <v>181.77937744140624</v>
      </c>
      <c r="AA65">
        <v>6.330733947753906</v>
      </c>
      <c r="AB65">
        <v>223.34594177246095</v>
      </c>
      <c r="AC65">
        <v>29.883416137695313</v>
      </c>
      <c r="AD65">
        <v>253.22935791015627</v>
      </c>
      <c r="AE65">
        <v>2.1344803048495451</v>
      </c>
      <c r="AF65" s="1" t="s">
        <v>2651</v>
      </c>
      <c r="AG65" s="1" t="s">
        <v>2652</v>
      </c>
      <c r="AH65" s="1" t="s">
        <v>2653</v>
      </c>
      <c r="AI65" s="1" t="str">
        <f>_xlfn.TEXTAFTER(_xlfn.TEXTBEFORE(batch_summary[[#This Row],[video]],"_",1),"-",3)</f>
        <v>16</v>
      </c>
      <c r="AJ65" s="1" t="str">
        <f>_xlfn.TEXTBEFORE(_xlfn.TEXTAFTER(batch_summary[[#This Row],[video]],"_",1),"_",1)</f>
        <v>20260313</v>
      </c>
      <c r="AK65" s="1" t="str">
        <f>_xlfn.TEXTBEFORE(_xlfn.TEXTAFTER(batch_summary[[#This Row],[video]],"_",2),".",1)</f>
        <v>130000</v>
      </c>
    </row>
    <row r="66" spans="1:37" x14ac:dyDescent="0.2">
      <c r="A66" s="1" t="s">
        <v>2654</v>
      </c>
      <c r="B66" s="1" t="s">
        <v>2655</v>
      </c>
      <c r="C66">
        <v>119.95833333333333</v>
      </c>
      <c r="D66">
        <v>2879</v>
      </c>
      <c r="E66">
        <v>0.37886439729481936</v>
      </c>
      <c r="F66">
        <v>36.882956856861711</v>
      </c>
      <c r="G66">
        <v>1.3159583094644645E-4</v>
      </c>
      <c r="H66">
        <v>1.2811030516450751E-2</v>
      </c>
      <c r="I66">
        <v>5</v>
      </c>
      <c r="J66" t="b">
        <v>1</v>
      </c>
      <c r="K66">
        <v>0.65</v>
      </c>
      <c r="L66">
        <v>1.3</v>
      </c>
      <c r="M66" t="b">
        <v>1</v>
      </c>
      <c r="N66">
        <v>200</v>
      </c>
      <c r="O66" t="b">
        <v>0</v>
      </c>
      <c r="P66" t="b">
        <v>0</v>
      </c>
      <c r="Q66">
        <v>0.7</v>
      </c>
      <c r="R66">
        <v>13117.330189466476</v>
      </c>
      <c r="S66">
        <v>15964.788417339325</v>
      </c>
      <c r="T66">
        <v>7855.6689376831055</v>
      </c>
      <c r="U66">
        <v>6582.9182739257812</v>
      </c>
      <c r="V66">
        <v>29082.118606805801</v>
      </c>
      <c r="W66">
        <v>14438.587211608887</v>
      </c>
      <c r="X66">
        <v>242.43516726757181</v>
      </c>
      <c r="Y66">
        <v>120.36335292761838</v>
      </c>
      <c r="Z66">
        <v>100.61127433776855</v>
      </c>
      <c r="AA66">
        <v>3.6096468029022217</v>
      </c>
      <c r="AB66">
        <v>78.556689376831059</v>
      </c>
      <c r="AC66">
        <v>65.829182739257817</v>
      </c>
      <c r="AD66">
        <v>144.38587211608888</v>
      </c>
      <c r="AE66">
        <v>2.0141941992373913</v>
      </c>
      <c r="AF66" s="1" t="s">
        <v>2656</v>
      </c>
      <c r="AG66" s="1" t="s">
        <v>2657</v>
      </c>
      <c r="AH66" s="1" t="s">
        <v>2658</v>
      </c>
      <c r="AI66" s="1" t="str">
        <f>_xlfn.TEXTAFTER(_xlfn.TEXTBEFORE(batch_summary[[#This Row],[video]],"_",1),"-",3)</f>
        <v>16</v>
      </c>
      <c r="AJ66" s="1" t="str">
        <f>_xlfn.TEXTBEFORE(_xlfn.TEXTAFTER(batch_summary[[#This Row],[video]],"_",1),"_",1)</f>
        <v>20260313</v>
      </c>
      <c r="AK66" s="1" t="str">
        <f>_xlfn.TEXTBEFORE(_xlfn.TEXTAFTER(batch_summary[[#This Row],[video]],"_",2),".",1)</f>
        <v>140000</v>
      </c>
    </row>
    <row r="67" spans="1:37" x14ac:dyDescent="0.2">
      <c r="A67" s="1" t="s">
        <v>2659</v>
      </c>
      <c r="B67" s="1" t="s">
        <v>2660</v>
      </c>
      <c r="C67">
        <v>119.95833333333333</v>
      </c>
      <c r="D67">
        <v>2879</v>
      </c>
      <c r="E67">
        <v>0.37626792676746845</v>
      </c>
      <c r="F67">
        <v>36.673465736210346</v>
      </c>
      <c r="G67">
        <v>1.3069396553229193E-4</v>
      </c>
      <c r="H67">
        <v>1.2738265278294667E-2</v>
      </c>
      <c r="I67">
        <v>5</v>
      </c>
      <c r="J67" t="b">
        <v>1</v>
      </c>
      <c r="K67">
        <v>0.65</v>
      </c>
      <c r="L67">
        <v>1.3</v>
      </c>
      <c r="M67" t="b">
        <v>1</v>
      </c>
      <c r="N67">
        <v>200</v>
      </c>
      <c r="O67" t="b">
        <v>0</v>
      </c>
      <c r="P67" t="b">
        <v>0</v>
      </c>
      <c r="Q67">
        <v>0.7</v>
      </c>
      <c r="R67">
        <v>6342.8619121909142</v>
      </c>
      <c r="S67">
        <v>41422.143419444561</v>
      </c>
      <c r="T67">
        <v>4977.4327545166016</v>
      </c>
      <c r="U67">
        <v>33249.239965438843</v>
      </c>
      <c r="V67">
        <v>47765.005331635475</v>
      </c>
      <c r="W67">
        <v>38226.672719955444</v>
      </c>
      <c r="X67">
        <v>398.17996803030616</v>
      </c>
      <c r="Y67">
        <v>318.66625400449141</v>
      </c>
      <c r="Z67">
        <v>373.40760824203494</v>
      </c>
      <c r="AA67">
        <v>9.5566681799888613</v>
      </c>
      <c r="AB67">
        <v>49.774327545166017</v>
      </c>
      <c r="AC67">
        <v>332.49239965438841</v>
      </c>
      <c r="AD67">
        <v>382.26672719955445</v>
      </c>
      <c r="AE67">
        <v>1.2495203462136724</v>
      </c>
      <c r="AF67" s="1" t="s">
        <v>2661</v>
      </c>
      <c r="AG67" s="1" t="s">
        <v>2662</v>
      </c>
      <c r="AH67" s="1" t="s">
        <v>2663</v>
      </c>
      <c r="AI67" s="1" t="str">
        <f>_xlfn.TEXTAFTER(_xlfn.TEXTBEFORE(batch_summary[[#This Row],[video]],"_",1),"-",3)</f>
        <v>16</v>
      </c>
      <c r="AJ67" s="1" t="str">
        <f>_xlfn.TEXTBEFORE(_xlfn.TEXTAFTER(batch_summary[[#This Row],[video]],"_",1),"_",1)</f>
        <v>20260313</v>
      </c>
      <c r="AK67" s="1" t="str">
        <f>_xlfn.TEXTBEFORE(_xlfn.TEXTAFTER(batch_summary[[#This Row],[video]],"_",2),".",1)</f>
        <v>150000</v>
      </c>
    </row>
    <row r="68" spans="1:37" x14ac:dyDescent="0.2">
      <c r="A68" s="1" t="s">
        <v>2664</v>
      </c>
      <c r="B68" s="1" t="s">
        <v>2665</v>
      </c>
      <c r="C68">
        <v>119.95833333333333</v>
      </c>
      <c r="D68">
        <v>2879</v>
      </c>
      <c r="E68">
        <v>0.38334673643112183</v>
      </c>
      <c r="F68">
        <v>37.004183893091977</v>
      </c>
      <c r="G68">
        <v>1.3315273929528373E-4</v>
      </c>
      <c r="H68">
        <v>1.2853137857968731E-2</v>
      </c>
      <c r="I68">
        <v>5</v>
      </c>
      <c r="J68" t="b">
        <v>1</v>
      </c>
      <c r="K68">
        <v>0.65</v>
      </c>
      <c r="L68">
        <v>1.3</v>
      </c>
      <c r="M68" t="b">
        <v>1</v>
      </c>
      <c r="N68">
        <v>200</v>
      </c>
      <c r="O68" t="b">
        <v>0</v>
      </c>
      <c r="P68" t="b">
        <v>0</v>
      </c>
      <c r="Q68">
        <v>0.7</v>
      </c>
      <c r="R68">
        <v>6688.0837087631226</v>
      </c>
      <c r="S68">
        <v>47775.534227490425</v>
      </c>
      <c r="T68">
        <v>1465.1408042907715</v>
      </c>
      <c r="U68">
        <v>41665.033203125</v>
      </c>
      <c r="V68">
        <v>54463.617936253548</v>
      </c>
      <c r="W68">
        <v>43130.174007415771</v>
      </c>
      <c r="X68">
        <v>454.02112902746967</v>
      </c>
      <c r="Y68">
        <v>359.54295803333747</v>
      </c>
      <c r="Z68">
        <v>359.54719356536862</v>
      </c>
      <c r="AA68">
        <v>10.782543501853942</v>
      </c>
      <c r="AB68">
        <v>14.651408042907715</v>
      </c>
      <c r="AC68">
        <v>416.65033203125</v>
      </c>
      <c r="AD68">
        <v>431.30174007415769</v>
      </c>
      <c r="AE68">
        <v>1.262772970192263</v>
      </c>
      <c r="AF68" s="1" t="s">
        <v>2666</v>
      </c>
      <c r="AG68" s="1" t="s">
        <v>2667</v>
      </c>
      <c r="AH68" s="1" t="s">
        <v>2668</v>
      </c>
      <c r="AI68" s="1" t="str">
        <f>_xlfn.TEXTAFTER(_xlfn.TEXTBEFORE(batch_summary[[#This Row],[video]],"_",1),"-",3)</f>
        <v>16</v>
      </c>
      <c r="AJ68" s="1" t="str">
        <f>_xlfn.TEXTBEFORE(_xlfn.TEXTAFTER(batch_summary[[#This Row],[video]],"_",1),"_",1)</f>
        <v>20260313</v>
      </c>
      <c r="AK68" s="1" t="str">
        <f>_xlfn.TEXTBEFORE(_xlfn.TEXTAFTER(batch_summary[[#This Row],[video]],"_",2),".",1)</f>
        <v>160000</v>
      </c>
    </row>
    <row r="69" spans="1:37" x14ac:dyDescent="0.2">
      <c r="A69" s="1" t="s">
        <v>2669</v>
      </c>
      <c r="B69" s="1" t="s">
        <v>2670</v>
      </c>
      <c r="C69">
        <v>119.95833333333333</v>
      </c>
      <c r="D69">
        <v>2879</v>
      </c>
      <c r="E69">
        <v>0.37563166953623295</v>
      </c>
      <c r="F69">
        <v>36.913510144688189</v>
      </c>
      <c r="G69">
        <v>1.3047296614665958E-4</v>
      </c>
      <c r="H69">
        <v>1.2821642981829867E-2</v>
      </c>
      <c r="I69">
        <v>5</v>
      </c>
      <c r="J69" t="b">
        <v>1</v>
      </c>
      <c r="K69">
        <v>0.65</v>
      </c>
      <c r="L69">
        <v>1.3</v>
      </c>
      <c r="M69" t="b">
        <v>1</v>
      </c>
      <c r="N69">
        <v>200</v>
      </c>
      <c r="O69" t="b">
        <v>0</v>
      </c>
      <c r="P69" t="b">
        <v>0</v>
      </c>
      <c r="Q69">
        <v>0.7</v>
      </c>
      <c r="R69">
        <v>2922.9729199409485</v>
      </c>
      <c r="S69">
        <v>3644.3002630472183</v>
      </c>
      <c r="T69">
        <v>0</v>
      </c>
      <c r="U69">
        <v>0</v>
      </c>
      <c r="V69">
        <v>6567.2731829881668</v>
      </c>
      <c r="W69">
        <v>0</v>
      </c>
      <c r="X69">
        <v>54.746285651863843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6567273182.9881668</v>
      </c>
      <c r="AF69" s="1" t="s">
        <v>2671</v>
      </c>
      <c r="AG69" s="1" t="s">
        <v>2672</v>
      </c>
      <c r="AH69" s="1" t="s">
        <v>2673</v>
      </c>
      <c r="AI69" s="1" t="str">
        <f>_xlfn.TEXTAFTER(_xlfn.TEXTBEFORE(batch_summary[[#This Row],[video]],"_",1),"-",3)</f>
        <v>16</v>
      </c>
      <c r="AJ69" s="1" t="str">
        <f>_xlfn.TEXTBEFORE(_xlfn.TEXTAFTER(batch_summary[[#This Row],[video]],"_",1),"_",1)</f>
        <v>20260313</v>
      </c>
      <c r="AK69" s="1" t="str">
        <f>_xlfn.TEXTBEFORE(_xlfn.TEXTAFTER(batch_summary[[#This Row],[video]],"_",2),".",1)</f>
        <v>170000</v>
      </c>
    </row>
    <row r="70" spans="1:37" x14ac:dyDescent="0.2">
      <c r="A70" s="1" t="s">
        <v>2674</v>
      </c>
      <c r="B70" s="1" t="s">
        <v>2675</v>
      </c>
      <c r="C70">
        <v>119.95833333333333</v>
      </c>
      <c r="D70">
        <v>2879</v>
      </c>
      <c r="E70">
        <v>0.38131542410701513</v>
      </c>
      <c r="F70">
        <v>37.13343770056963</v>
      </c>
      <c r="G70">
        <v>1.3244717752935572E-4</v>
      </c>
      <c r="H70">
        <v>1.2898033240906437E-2</v>
      </c>
      <c r="I70">
        <v>5</v>
      </c>
      <c r="J70" t="b">
        <v>1</v>
      </c>
      <c r="K70">
        <v>0.65</v>
      </c>
      <c r="L70">
        <v>1.3</v>
      </c>
      <c r="M70" t="b">
        <v>1</v>
      </c>
      <c r="N70">
        <v>200</v>
      </c>
      <c r="O70" t="b">
        <v>0</v>
      </c>
      <c r="P70" t="b">
        <v>0</v>
      </c>
      <c r="Q70">
        <v>0.7</v>
      </c>
      <c r="R70">
        <v>6910.0335000753403</v>
      </c>
      <c r="S70">
        <v>9462.8317133188248</v>
      </c>
      <c r="T70">
        <v>0</v>
      </c>
      <c r="U70">
        <v>0</v>
      </c>
      <c r="V70">
        <v>16372.865213394165</v>
      </c>
      <c r="W70">
        <v>0</v>
      </c>
      <c r="X70">
        <v>136.48793508907954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16372865213.394165</v>
      </c>
      <c r="AF70" s="1" t="s">
        <v>2676</v>
      </c>
      <c r="AG70" s="1" t="s">
        <v>2677</v>
      </c>
      <c r="AH70" s="1" t="s">
        <v>2678</v>
      </c>
      <c r="AI70" s="1" t="str">
        <f>_xlfn.TEXTAFTER(_xlfn.TEXTBEFORE(batch_summary[[#This Row],[video]],"_",1),"-",3)</f>
        <v>16</v>
      </c>
      <c r="AJ70" s="1" t="str">
        <f>_xlfn.TEXTBEFORE(_xlfn.TEXTAFTER(batch_summary[[#This Row],[video]],"_",1),"_",1)</f>
        <v>20260313</v>
      </c>
      <c r="AK70" s="1" t="str">
        <f>_xlfn.TEXTBEFORE(_xlfn.TEXTAFTER(batch_summary[[#This Row],[video]],"_",2),".",1)</f>
        <v>180000</v>
      </c>
    </row>
    <row r="71" spans="1:37" x14ac:dyDescent="0.2">
      <c r="A71" s="1" t="s">
        <v>2679</v>
      </c>
      <c r="B71" s="1" t="s">
        <v>2680</v>
      </c>
      <c r="C71">
        <v>119.95833333333333</v>
      </c>
      <c r="D71">
        <v>2879</v>
      </c>
      <c r="E71">
        <v>0.37345428019762039</v>
      </c>
      <c r="F71">
        <v>36.796646082773805</v>
      </c>
      <c r="G71">
        <v>1.2971666557749927E-4</v>
      </c>
      <c r="H71">
        <v>1.2781051088146511E-2</v>
      </c>
      <c r="I71">
        <v>5</v>
      </c>
      <c r="J71" t="b">
        <v>1</v>
      </c>
      <c r="K71">
        <v>0.65</v>
      </c>
      <c r="L71">
        <v>1.3</v>
      </c>
      <c r="M71" t="b">
        <v>1</v>
      </c>
      <c r="N71">
        <v>200</v>
      </c>
      <c r="O71" t="b">
        <v>0</v>
      </c>
      <c r="P71" t="b">
        <v>0</v>
      </c>
      <c r="Q71">
        <v>0.7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1" t="s">
        <v>2681</v>
      </c>
      <c r="AG71" s="1" t="s">
        <v>2682</v>
      </c>
      <c r="AH71" s="1" t="s">
        <v>2683</v>
      </c>
      <c r="AI71" s="1" t="str">
        <f>_xlfn.TEXTAFTER(_xlfn.TEXTBEFORE(batch_summary[[#This Row],[video]],"_",1),"-",3)</f>
        <v>16</v>
      </c>
      <c r="AJ71" s="1" t="str">
        <f>_xlfn.TEXTBEFORE(_xlfn.TEXTAFTER(batch_summary[[#This Row],[video]],"_",1),"_",1)</f>
        <v>20260313</v>
      </c>
      <c r="AK71" s="1" t="str">
        <f>_xlfn.TEXTBEFORE(_xlfn.TEXTAFTER(batch_summary[[#This Row],[video]],"_",2),".",1)</f>
        <v>190000</v>
      </c>
    </row>
    <row r="72" spans="1:37" x14ac:dyDescent="0.2">
      <c r="A72" s="1" t="s">
        <v>2684</v>
      </c>
      <c r="B72" s="1" t="s">
        <v>2685</v>
      </c>
      <c r="C72">
        <v>119.95833333333333</v>
      </c>
      <c r="D72">
        <v>2879</v>
      </c>
      <c r="E72">
        <v>0.3728747172281146</v>
      </c>
      <c r="F72">
        <v>36.655375638976693</v>
      </c>
      <c r="G72">
        <v>1.2951535853703182E-4</v>
      </c>
      <c r="H72">
        <v>1.273198181277412E-2</v>
      </c>
      <c r="I72">
        <v>5</v>
      </c>
      <c r="J72" t="b">
        <v>1</v>
      </c>
      <c r="K72">
        <v>0.65</v>
      </c>
      <c r="L72">
        <v>1.3</v>
      </c>
      <c r="M72" t="b">
        <v>1</v>
      </c>
      <c r="N72">
        <v>200</v>
      </c>
      <c r="O72" t="b">
        <v>0</v>
      </c>
      <c r="P72" t="b">
        <v>0</v>
      </c>
      <c r="Q72">
        <v>0.7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1" t="s">
        <v>2686</v>
      </c>
      <c r="AG72" s="1" t="s">
        <v>2687</v>
      </c>
      <c r="AH72" s="1" t="s">
        <v>2688</v>
      </c>
      <c r="AI72" s="1" t="str">
        <f>_xlfn.TEXTAFTER(_xlfn.TEXTBEFORE(batch_summary[[#This Row],[video]],"_",1),"-",3)</f>
        <v>16</v>
      </c>
      <c r="AJ72" s="1" t="str">
        <f>_xlfn.TEXTBEFORE(_xlfn.TEXTAFTER(batch_summary[[#This Row],[video]],"_",1),"_",1)</f>
        <v>20260314</v>
      </c>
      <c r="AK72" s="1" t="str">
        <f>_xlfn.TEXTBEFORE(_xlfn.TEXTAFTER(batch_summary[[#This Row],[video]],"_",2),".",1)</f>
        <v>060000</v>
      </c>
    </row>
    <row r="73" spans="1:37" x14ac:dyDescent="0.2">
      <c r="A73" s="1" t="s">
        <v>2689</v>
      </c>
      <c r="B73" s="1" t="s">
        <v>2690</v>
      </c>
      <c r="C73">
        <v>119.95833333333333</v>
      </c>
      <c r="D73">
        <v>2879</v>
      </c>
      <c r="E73">
        <v>0.38639577198773623</v>
      </c>
      <c r="F73">
        <v>37.387499115429819</v>
      </c>
      <c r="G73">
        <v>1.342117999262717E-4</v>
      </c>
      <c r="H73">
        <v>1.2986279651069754E-2</v>
      </c>
      <c r="I73">
        <v>5</v>
      </c>
      <c r="J73" t="b">
        <v>1</v>
      </c>
      <c r="K73">
        <v>0.65</v>
      </c>
      <c r="L73">
        <v>1.3</v>
      </c>
      <c r="M73" t="b">
        <v>1</v>
      </c>
      <c r="N73">
        <v>200</v>
      </c>
      <c r="O73" t="b">
        <v>0</v>
      </c>
      <c r="P73" t="b">
        <v>0</v>
      </c>
      <c r="Q73">
        <v>0.7</v>
      </c>
      <c r="R73">
        <v>10934.670661211014</v>
      </c>
      <c r="S73">
        <v>12419.336509168148</v>
      </c>
      <c r="T73">
        <v>0</v>
      </c>
      <c r="U73">
        <v>0</v>
      </c>
      <c r="V73">
        <v>23354.007170379162</v>
      </c>
      <c r="W73">
        <v>0</v>
      </c>
      <c r="X73">
        <v>194.68432514383463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23354007170.379162</v>
      </c>
      <c r="AF73" s="1" t="s">
        <v>2691</v>
      </c>
      <c r="AG73" s="1" t="s">
        <v>2692</v>
      </c>
      <c r="AH73" s="1" t="s">
        <v>2693</v>
      </c>
      <c r="AI73" s="1" t="str">
        <f>_xlfn.TEXTAFTER(_xlfn.TEXTBEFORE(batch_summary[[#This Row],[video]],"_",1),"-",3)</f>
        <v>16</v>
      </c>
      <c r="AJ73" s="1" t="str">
        <f>_xlfn.TEXTBEFORE(_xlfn.TEXTAFTER(batch_summary[[#This Row],[video]],"_",1),"_",1)</f>
        <v>20260314</v>
      </c>
      <c r="AK73" s="1" t="str">
        <f>_xlfn.TEXTBEFORE(_xlfn.TEXTAFTER(batch_summary[[#This Row],[video]],"_",2),".",1)</f>
        <v>070000</v>
      </c>
    </row>
    <row r="74" spans="1:37" x14ac:dyDescent="0.2">
      <c r="A74" s="1" t="s">
        <v>2694</v>
      </c>
      <c r="B74" s="1" t="s">
        <v>2695</v>
      </c>
      <c r="C74">
        <v>119.95833333333333</v>
      </c>
      <c r="D74">
        <v>2879</v>
      </c>
      <c r="E74">
        <v>0.37681541033089161</v>
      </c>
      <c r="F74">
        <v>36.85267569962889</v>
      </c>
      <c r="G74">
        <v>1.3088413002115026E-4</v>
      </c>
      <c r="H74">
        <v>1.2800512573681448E-2</v>
      </c>
      <c r="I74">
        <v>5</v>
      </c>
      <c r="J74" t="b">
        <v>1</v>
      </c>
      <c r="K74">
        <v>0.65</v>
      </c>
      <c r="L74">
        <v>1.3</v>
      </c>
      <c r="M74" t="b">
        <v>1</v>
      </c>
      <c r="N74">
        <v>200</v>
      </c>
      <c r="O74" t="b">
        <v>0</v>
      </c>
      <c r="P74" t="b">
        <v>0</v>
      </c>
      <c r="Q74">
        <v>0.7</v>
      </c>
      <c r="R74">
        <v>5991.0206503868103</v>
      </c>
      <c r="S74">
        <v>8123.2123203873634</v>
      </c>
      <c r="T74">
        <v>0</v>
      </c>
      <c r="U74">
        <v>0</v>
      </c>
      <c r="V74">
        <v>14114.232970774174</v>
      </c>
      <c r="W74">
        <v>0</v>
      </c>
      <c r="X74">
        <v>117.65946206967008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14114232970.774174</v>
      </c>
      <c r="AF74" s="1" t="s">
        <v>2696</v>
      </c>
      <c r="AG74" s="1" t="s">
        <v>2697</v>
      </c>
      <c r="AH74" s="1" t="s">
        <v>2698</v>
      </c>
      <c r="AI74" s="1" t="str">
        <f>_xlfn.TEXTAFTER(_xlfn.TEXTBEFORE(batch_summary[[#This Row],[video]],"_",1),"-",3)</f>
        <v>16</v>
      </c>
      <c r="AJ74" s="1" t="str">
        <f>_xlfn.TEXTBEFORE(_xlfn.TEXTAFTER(batch_summary[[#This Row],[video]],"_",1),"_",1)</f>
        <v>20260314</v>
      </c>
      <c r="AK74" s="1" t="str">
        <f>_xlfn.TEXTBEFORE(_xlfn.TEXTAFTER(batch_summary[[#This Row],[video]],"_",2),".",1)</f>
        <v>080000</v>
      </c>
    </row>
    <row r="75" spans="1:37" x14ac:dyDescent="0.2">
      <c r="A75" s="1" t="s">
        <v>2699</v>
      </c>
      <c r="B75" s="1" t="s">
        <v>2700</v>
      </c>
      <c r="C75">
        <v>119.95833333333333</v>
      </c>
      <c r="D75">
        <v>2879</v>
      </c>
      <c r="E75">
        <v>0.3776618205010891</v>
      </c>
      <c r="F75">
        <v>36.882176291197538</v>
      </c>
      <c r="G75">
        <v>1.3117812452278189E-4</v>
      </c>
      <c r="H75">
        <v>1.2810759392566009E-2</v>
      </c>
      <c r="I75">
        <v>5</v>
      </c>
      <c r="J75" t="b">
        <v>1</v>
      </c>
      <c r="K75">
        <v>0.65</v>
      </c>
      <c r="L75">
        <v>1.3</v>
      </c>
      <c r="M75" t="b">
        <v>1</v>
      </c>
      <c r="N75">
        <v>200</v>
      </c>
      <c r="O75" t="b">
        <v>0</v>
      </c>
      <c r="P75" t="b">
        <v>0</v>
      </c>
      <c r="Q75">
        <v>0.7</v>
      </c>
      <c r="R75">
        <v>1617.5077364444733</v>
      </c>
      <c r="S75">
        <v>2140.7569079399109</v>
      </c>
      <c r="T75">
        <v>0</v>
      </c>
      <c r="U75">
        <v>0</v>
      </c>
      <c r="V75">
        <v>3758.2646443843842</v>
      </c>
      <c r="W75">
        <v>0</v>
      </c>
      <c r="X75">
        <v>31.329750422099764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3758264644.3843842</v>
      </c>
      <c r="AF75" s="1" t="s">
        <v>2701</v>
      </c>
      <c r="AG75" s="1" t="s">
        <v>2702</v>
      </c>
      <c r="AH75" s="1" t="s">
        <v>2703</v>
      </c>
      <c r="AI75" s="1" t="str">
        <f>_xlfn.TEXTAFTER(_xlfn.TEXTBEFORE(batch_summary[[#This Row],[video]],"_",1),"-",3)</f>
        <v>16</v>
      </c>
      <c r="AJ75" s="1" t="str">
        <f>_xlfn.TEXTBEFORE(_xlfn.TEXTAFTER(batch_summary[[#This Row],[video]],"_",1),"_",1)</f>
        <v>20260314</v>
      </c>
      <c r="AK75" s="1" t="str">
        <f>_xlfn.TEXTBEFORE(_xlfn.TEXTAFTER(batch_summary[[#This Row],[video]],"_",2),".",1)</f>
        <v>090000</v>
      </c>
    </row>
    <row r="76" spans="1:37" x14ac:dyDescent="0.2">
      <c r="A76" s="1" t="s">
        <v>2704</v>
      </c>
      <c r="B76" s="1" t="s">
        <v>2705</v>
      </c>
      <c r="C76">
        <v>119.95833333333333</v>
      </c>
      <c r="D76">
        <v>2879</v>
      </c>
      <c r="E76">
        <v>0.37748055811971426</v>
      </c>
      <c r="F76">
        <v>36.901779308915138</v>
      </c>
      <c r="G76">
        <v>1.3111516433473924E-4</v>
      </c>
      <c r="H76">
        <v>1.2817568360165036E-2</v>
      </c>
      <c r="I76">
        <v>5</v>
      </c>
      <c r="J76" t="b">
        <v>1</v>
      </c>
      <c r="K76">
        <v>0.65</v>
      </c>
      <c r="L76">
        <v>1.3</v>
      </c>
      <c r="M76" t="b">
        <v>1</v>
      </c>
      <c r="N76">
        <v>200</v>
      </c>
      <c r="O76" t="b">
        <v>0</v>
      </c>
      <c r="P76" t="b">
        <v>0</v>
      </c>
      <c r="Q76">
        <v>0.7</v>
      </c>
      <c r="R76">
        <v>4107.3620228767395</v>
      </c>
      <c r="S76">
        <v>5243.9830416440964</v>
      </c>
      <c r="T76">
        <v>0</v>
      </c>
      <c r="U76">
        <v>0</v>
      </c>
      <c r="V76">
        <v>9351.3450645208359</v>
      </c>
      <c r="W76">
        <v>0</v>
      </c>
      <c r="X76">
        <v>77.954943226293878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9351345064.5208359</v>
      </c>
      <c r="AF76" s="1" t="s">
        <v>2706</v>
      </c>
      <c r="AG76" s="1" t="s">
        <v>2707</v>
      </c>
      <c r="AH76" s="1" t="s">
        <v>2708</v>
      </c>
      <c r="AI76" s="1" t="str">
        <f>_xlfn.TEXTAFTER(_xlfn.TEXTBEFORE(batch_summary[[#This Row],[video]],"_",1),"-",3)</f>
        <v>16</v>
      </c>
      <c r="AJ76" s="1" t="str">
        <f>_xlfn.TEXTBEFORE(_xlfn.TEXTAFTER(batch_summary[[#This Row],[video]],"_",1),"_",1)</f>
        <v>20260314</v>
      </c>
      <c r="AK76" s="1" t="str">
        <f>_xlfn.TEXTBEFORE(_xlfn.TEXTAFTER(batch_summary[[#This Row],[video]],"_",2),".",1)</f>
        <v>100000</v>
      </c>
    </row>
    <row r="77" spans="1:37" x14ac:dyDescent="0.2">
      <c r="A77" s="1" t="s">
        <v>2709</v>
      </c>
      <c r="B77" s="1" t="s">
        <v>2710</v>
      </c>
      <c r="C77">
        <v>119.95833333333333</v>
      </c>
      <c r="D77">
        <v>2879</v>
      </c>
      <c r="E77">
        <v>0.37848665658384562</v>
      </c>
      <c r="F77">
        <v>36.895443595945835</v>
      </c>
      <c r="G77">
        <v>1.3146462541988385E-4</v>
      </c>
      <c r="H77">
        <v>1.281536769570887E-2</v>
      </c>
      <c r="I77">
        <v>5</v>
      </c>
      <c r="J77" t="b">
        <v>1</v>
      </c>
      <c r="K77">
        <v>0.65</v>
      </c>
      <c r="L77">
        <v>1.3</v>
      </c>
      <c r="M77" t="b">
        <v>1</v>
      </c>
      <c r="N77">
        <v>200</v>
      </c>
      <c r="O77" t="b">
        <v>0</v>
      </c>
      <c r="P77" t="b">
        <v>0</v>
      </c>
      <c r="Q77">
        <v>0.7</v>
      </c>
      <c r="R77">
        <v>37759.367337167263</v>
      </c>
      <c r="S77">
        <v>201032.36031258106</v>
      </c>
      <c r="T77">
        <v>14382.733322143555</v>
      </c>
      <c r="U77">
        <v>166751.34011077881</v>
      </c>
      <c r="V77">
        <v>238791.72764974833</v>
      </c>
      <c r="W77">
        <v>181134.07343292236</v>
      </c>
      <c r="X77">
        <v>1990.6222520298577</v>
      </c>
      <c r="Y77">
        <v>1509.9749087843477</v>
      </c>
      <c r="Z77">
        <v>1374.9429351234437</v>
      </c>
      <c r="AA77">
        <v>45.283518358230594</v>
      </c>
      <c r="AB77">
        <v>143.82733322143554</v>
      </c>
      <c r="AC77">
        <v>1667.513401107788</v>
      </c>
      <c r="AD77">
        <v>1811.3407343292236</v>
      </c>
      <c r="AE77">
        <v>1.3183147881791426</v>
      </c>
      <c r="AF77" s="1" t="s">
        <v>2711</v>
      </c>
      <c r="AG77" s="1" t="s">
        <v>2712</v>
      </c>
      <c r="AH77" s="1" t="s">
        <v>2713</v>
      </c>
      <c r="AI77" s="1" t="str">
        <f>_xlfn.TEXTAFTER(_xlfn.TEXTBEFORE(batch_summary[[#This Row],[video]],"_",1),"-",3)</f>
        <v>16</v>
      </c>
      <c r="AJ77" s="1" t="str">
        <f>_xlfn.TEXTBEFORE(_xlfn.TEXTAFTER(batch_summary[[#This Row],[video]],"_",1),"_",1)</f>
        <v>20260314</v>
      </c>
      <c r="AK77" s="1" t="str">
        <f>_xlfn.TEXTBEFORE(_xlfn.TEXTAFTER(batch_summary[[#This Row],[video]],"_",2),".",1)</f>
        <v>110000</v>
      </c>
    </row>
    <row r="78" spans="1:37" x14ac:dyDescent="0.2">
      <c r="A78" s="1" t="s">
        <v>2714</v>
      </c>
      <c r="B78" s="1" t="s">
        <v>2715</v>
      </c>
      <c r="C78">
        <v>119.95833333333333</v>
      </c>
      <c r="D78">
        <v>2879</v>
      </c>
      <c r="E78">
        <v>0.37656822707504034</v>
      </c>
      <c r="F78">
        <v>36.794001379050314</v>
      </c>
      <c r="G78">
        <v>1.3079827269018421E-4</v>
      </c>
      <c r="H78">
        <v>1.2780132469277635E-2</v>
      </c>
      <c r="I78">
        <v>5</v>
      </c>
      <c r="J78" t="b">
        <v>1</v>
      </c>
      <c r="K78">
        <v>0.65</v>
      </c>
      <c r="L78">
        <v>1.3</v>
      </c>
      <c r="M78" t="b">
        <v>1</v>
      </c>
      <c r="N78">
        <v>200</v>
      </c>
      <c r="O78" t="b">
        <v>0</v>
      </c>
      <c r="P78" t="b">
        <v>0</v>
      </c>
      <c r="Q78">
        <v>0.7</v>
      </c>
      <c r="R78">
        <v>2024.1455219984055</v>
      </c>
      <c r="S78">
        <v>2813.7568526268005</v>
      </c>
      <c r="T78">
        <v>0</v>
      </c>
      <c r="U78">
        <v>0</v>
      </c>
      <c r="V78">
        <v>4837.902374625206</v>
      </c>
      <c r="W78">
        <v>0</v>
      </c>
      <c r="X78">
        <v>40.329856544287928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4837902374.625206</v>
      </c>
      <c r="AF78" s="1" t="s">
        <v>2716</v>
      </c>
      <c r="AG78" s="1" t="s">
        <v>2717</v>
      </c>
      <c r="AH78" s="1" t="s">
        <v>2718</v>
      </c>
      <c r="AI78" s="1" t="str">
        <f>_xlfn.TEXTAFTER(_xlfn.TEXTBEFORE(batch_summary[[#This Row],[video]],"_",1),"-",3)</f>
        <v>16</v>
      </c>
      <c r="AJ78" s="1" t="str">
        <f>_xlfn.TEXTBEFORE(_xlfn.TEXTAFTER(batch_summary[[#This Row],[video]],"_",1),"_",1)</f>
        <v>20260314</v>
      </c>
      <c r="AK78" s="1" t="str">
        <f>_xlfn.TEXTBEFORE(_xlfn.TEXTAFTER(batch_summary[[#This Row],[video]],"_",2),".",1)</f>
        <v>120000</v>
      </c>
    </row>
    <row r="79" spans="1:37" x14ac:dyDescent="0.2">
      <c r="A79" s="1" t="s">
        <v>2719</v>
      </c>
      <c r="B79" s="1" t="s">
        <v>2720</v>
      </c>
      <c r="C79">
        <v>119.95833333333333</v>
      </c>
      <c r="D79">
        <v>2879</v>
      </c>
      <c r="E79">
        <v>0.39210074115544558</v>
      </c>
      <c r="F79">
        <v>38.278421484865248</v>
      </c>
      <c r="G79">
        <v>1.3619338004704605E-4</v>
      </c>
      <c r="H79">
        <v>1.3295735145837182E-2</v>
      </c>
      <c r="I79">
        <v>5</v>
      </c>
      <c r="J79" t="b">
        <v>1</v>
      </c>
      <c r="K79">
        <v>0.65</v>
      </c>
      <c r="L79">
        <v>1.3</v>
      </c>
      <c r="M79" t="b">
        <v>1</v>
      </c>
      <c r="N79">
        <v>200</v>
      </c>
      <c r="O79" t="b">
        <v>0</v>
      </c>
      <c r="P79" t="b">
        <v>0</v>
      </c>
      <c r="Q79">
        <v>0.7</v>
      </c>
      <c r="R79">
        <v>14342860.147417068</v>
      </c>
      <c r="S79">
        <v>13125710.244784594</v>
      </c>
      <c r="T79">
        <v>13327882.455671728</v>
      </c>
      <c r="U79">
        <v>12101935.858734846</v>
      </c>
      <c r="V79">
        <v>27468570.392201662</v>
      </c>
      <c r="W79">
        <v>25429818.314406574</v>
      </c>
      <c r="X79">
        <v>228984.26169254599</v>
      </c>
      <c r="Y79">
        <v>211988.7598283285</v>
      </c>
      <c r="Z79">
        <v>10816.711831054687</v>
      </c>
      <c r="AA79">
        <v>6357.4545786016442</v>
      </c>
      <c r="AB79">
        <v>133278.82455671727</v>
      </c>
      <c r="AC79">
        <v>121019.35858734846</v>
      </c>
      <c r="AD79">
        <v>254298.18314406573</v>
      </c>
      <c r="AE79">
        <v>1.0801717123020138</v>
      </c>
      <c r="AF79" s="1" t="s">
        <v>2721</v>
      </c>
      <c r="AG79" s="1" t="s">
        <v>2722</v>
      </c>
      <c r="AH79" s="1" t="s">
        <v>2723</v>
      </c>
      <c r="AI79" s="1" t="str">
        <f>_xlfn.TEXTAFTER(_xlfn.TEXTBEFORE(batch_summary[[#This Row],[video]],"_",1),"-",3)</f>
        <v>16</v>
      </c>
      <c r="AJ79" s="1" t="str">
        <f>_xlfn.TEXTBEFORE(_xlfn.TEXTAFTER(batch_summary[[#This Row],[video]],"_",1),"_",1)</f>
        <v>20260314</v>
      </c>
      <c r="AK79" s="1" t="str">
        <f>_xlfn.TEXTBEFORE(_xlfn.TEXTAFTER(batch_summary[[#This Row],[video]],"_",2),".",1)</f>
        <v>130000</v>
      </c>
    </row>
    <row r="80" spans="1:37" x14ac:dyDescent="0.2">
      <c r="A80" s="1" t="s">
        <v>2724</v>
      </c>
      <c r="B80" s="1" t="s">
        <v>2725</v>
      </c>
      <c r="C80">
        <v>119.95833333333333</v>
      </c>
      <c r="D80">
        <v>2879</v>
      </c>
      <c r="E80">
        <v>0.41189608350396156</v>
      </c>
      <c r="F80">
        <v>38.717346617951989</v>
      </c>
      <c r="G80">
        <v>1.4306915022714887E-4</v>
      </c>
      <c r="H80">
        <v>1.3448192642567554E-2</v>
      </c>
      <c r="I80">
        <v>5</v>
      </c>
      <c r="J80" t="b">
        <v>1</v>
      </c>
      <c r="K80">
        <v>0.65</v>
      </c>
      <c r="L80">
        <v>1.3</v>
      </c>
      <c r="M80" t="b">
        <v>1</v>
      </c>
      <c r="N80">
        <v>200</v>
      </c>
      <c r="O80" t="b">
        <v>0</v>
      </c>
      <c r="P80" t="b">
        <v>0</v>
      </c>
      <c r="Q80">
        <v>0.7</v>
      </c>
      <c r="R80">
        <v>5254182.3008427024</v>
      </c>
      <c r="S80">
        <v>5171768.773892343</v>
      </c>
      <c r="T80">
        <v>4538943.6373953223</v>
      </c>
      <c r="U80">
        <v>4489324.8705083728</v>
      </c>
      <c r="V80">
        <v>10425951.074735045</v>
      </c>
      <c r="W80">
        <v>9028268.5079036951</v>
      </c>
      <c r="X80">
        <v>86913.103783828104</v>
      </c>
      <c r="Y80">
        <v>75261.703435112431</v>
      </c>
      <c r="Z80">
        <v>5164.3419249534609</v>
      </c>
      <c r="AA80">
        <v>2257.0671269759237</v>
      </c>
      <c r="AB80">
        <v>45389.43637395322</v>
      </c>
      <c r="AC80">
        <v>44893.24870508373</v>
      </c>
      <c r="AD80">
        <v>90282.68507903695</v>
      </c>
      <c r="AE80">
        <v>1.1548118075584222</v>
      </c>
      <c r="AF80" s="1" t="s">
        <v>2726</v>
      </c>
      <c r="AG80" s="1" t="s">
        <v>2727</v>
      </c>
      <c r="AH80" s="1" t="s">
        <v>2728</v>
      </c>
      <c r="AI80" s="1" t="str">
        <f>_xlfn.TEXTAFTER(_xlfn.TEXTBEFORE(batch_summary[[#This Row],[video]],"_",1),"-",3)</f>
        <v>16</v>
      </c>
      <c r="AJ80" s="1" t="str">
        <f>_xlfn.TEXTBEFORE(_xlfn.TEXTAFTER(batch_summary[[#This Row],[video]],"_",1),"_",1)</f>
        <v>20260314</v>
      </c>
      <c r="AK80" s="1" t="str">
        <f>_xlfn.TEXTBEFORE(_xlfn.TEXTAFTER(batch_summary[[#This Row],[video]],"_",2),".",1)</f>
        <v>140000</v>
      </c>
    </row>
    <row r="81" spans="1:37" x14ac:dyDescent="0.2">
      <c r="A81" s="1" t="s">
        <v>2729</v>
      </c>
      <c r="B81" s="1" t="s">
        <v>2730</v>
      </c>
      <c r="C81">
        <v>119.95833333333333</v>
      </c>
      <c r="D81">
        <v>2879</v>
      </c>
      <c r="E81">
        <v>0.4139453936368227</v>
      </c>
      <c r="F81">
        <v>38.639416247606277</v>
      </c>
      <c r="G81">
        <v>1.4378096340285609E-4</v>
      </c>
      <c r="H81">
        <v>1.3421124087393635E-2</v>
      </c>
      <c r="I81">
        <v>5</v>
      </c>
      <c r="J81" t="b">
        <v>1</v>
      </c>
      <c r="K81">
        <v>0.65</v>
      </c>
      <c r="L81">
        <v>1.3</v>
      </c>
      <c r="M81" t="b">
        <v>1</v>
      </c>
      <c r="N81">
        <v>200</v>
      </c>
      <c r="O81" t="b">
        <v>0</v>
      </c>
      <c r="P81" t="b">
        <v>0</v>
      </c>
      <c r="Q81">
        <v>0.7</v>
      </c>
      <c r="R81">
        <v>2159270.9299462438</v>
      </c>
      <c r="S81">
        <v>2443228.6554342508</v>
      </c>
      <c r="T81">
        <v>1651477.0143251419</v>
      </c>
      <c r="U81">
        <v>1909356.3209272027</v>
      </c>
      <c r="V81">
        <v>4602499.5853804946</v>
      </c>
      <c r="W81">
        <v>3560833.3352523446</v>
      </c>
      <c r="X81">
        <v>38367.485254995438</v>
      </c>
      <c r="Y81">
        <v>29683.918043090056</v>
      </c>
      <c r="Z81">
        <v>1874.0777380621435</v>
      </c>
      <c r="AA81">
        <v>890.20833381308626</v>
      </c>
      <c r="AB81">
        <v>16514.770143251419</v>
      </c>
      <c r="AC81">
        <v>19093.563209272026</v>
      </c>
      <c r="AD81">
        <v>35608.333352523448</v>
      </c>
      <c r="AE81">
        <v>1.2925344019377785</v>
      </c>
      <c r="AF81" s="1" t="s">
        <v>2731</v>
      </c>
      <c r="AG81" s="1" t="s">
        <v>2732</v>
      </c>
      <c r="AH81" s="1" t="s">
        <v>2733</v>
      </c>
      <c r="AI81" s="1" t="str">
        <f>_xlfn.TEXTAFTER(_xlfn.TEXTBEFORE(batch_summary[[#This Row],[video]],"_",1),"-",3)</f>
        <v>16</v>
      </c>
      <c r="AJ81" s="1" t="str">
        <f>_xlfn.TEXTBEFORE(_xlfn.TEXTAFTER(batch_summary[[#This Row],[video]],"_",1),"_",1)</f>
        <v>20260314</v>
      </c>
      <c r="AK81" s="1" t="str">
        <f>_xlfn.TEXTBEFORE(_xlfn.TEXTAFTER(batch_summary[[#This Row],[video]],"_",2),".",1)</f>
        <v>150000</v>
      </c>
    </row>
    <row r="82" spans="1:37" x14ac:dyDescent="0.2">
      <c r="A82" s="1" t="s">
        <v>2734</v>
      </c>
      <c r="B82" s="1" t="s">
        <v>2735</v>
      </c>
      <c r="C82">
        <v>119.95833333333333</v>
      </c>
      <c r="D82">
        <v>2879</v>
      </c>
      <c r="E82">
        <v>0.40715229790657759</v>
      </c>
      <c r="F82">
        <v>38.614822112955153</v>
      </c>
      <c r="G82">
        <v>1.414214303253135E-4</v>
      </c>
      <c r="H82">
        <v>1.341258149112718E-2</v>
      </c>
      <c r="I82">
        <v>5</v>
      </c>
      <c r="J82" t="b">
        <v>1</v>
      </c>
      <c r="K82">
        <v>0.65</v>
      </c>
      <c r="L82">
        <v>1.3</v>
      </c>
      <c r="M82" t="b">
        <v>1</v>
      </c>
      <c r="N82">
        <v>200</v>
      </c>
      <c r="O82" t="b">
        <v>0</v>
      </c>
      <c r="P82" t="b">
        <v>0</v>
      </c>
      <c r="Q82">
        <v>0.7</v>
      </c>
      <c r="R82">
        <v>4613309.0844681859</v>
      </c>
      <c r="S82">
        <v>4300592.7856585383</v>
      </c>
      <c r="T82">
        <v>4075196.8750770092</v>
      </c>
      <c r="U82">
        <v>3746097.1181635261</v>
      </c>
      <c r="V82">
        <v>8913901.8701267242</v>
      </c>
      <c r="W82">
        <v>7821293.9932405353</v>
      </c>
      <c r="X82">
        <v>74308.317083376649</v>
      </c>
      <c r="Y82">
        <v>65200.088863415374</v>
      </c>
      <c r="Z82">
        <v>4418.5560205078127</v>
      </c>
      <c r="AA82">
        <v>1955.3234983101338</v>
      </c>
      <c r="AB82">
        <v>40751.968750770095</v>
      </c>
      <c r="AC82">
        <v>37460.971181635257</v>
      </c>
      <c r="AD82">
        <v>78212.939932405352</v>
      </c>
      <c r="AE82">
        <v>1.1396965614424497</v>
      </c>
      <c r="AF82" s="1" t="s">
        <v>2736</v>
      </c>
      <c r="AG82" s="1" t="s">
        <v>2737</v>
      </c>
      <c r="AH82" s="1" t="s">
        <v>2738</v>
      </c>
      <c r="AI82" s="1" t="str">
        <f>_xlfn.TEXTAFTER(_xlfn.TEXTBEFORE(batch_summary[[#This Row],[video]],"_",1),"-",3)</f>
        <v>16</v>
      </c>
      <c r="AJ82" s="1" t="str">
        <f>_xlfn.TEXTBEFORE(_xlfn.TEXTAFTER(batch_summary[[#This Row],[video]],"_",1),"_",1)</f>
        <v>20260314</v>
      </c>
      <c r="AK82" s="1" t="str">
        <f>_xlfn.TEXTBEFORE(_xlfn.TEXTAFTER(batch_summary[[#This Row],[video]],"_",2),".",1)</f>
        <v>160000</v>
      </c>
    </row>
    <row r="83" spans="1:37" x14ac:dyDescent="0.2">
      <c r="A83" s="1" t="s">
        <v>2739</v>
      </c>
      <c r="B83" s="1" t="s">
        <v>2740</v>
      </c>
      <c r="C83">
        <v>119.95833333333333</v>
      </c>
      <c r="D83">
        <v>2879</v>
      </c>
      <c r="E83">
        <v>0.4035995015874505</v>
      </c>
      <c r="F83">
        <v>38.174919195473194</v>
      </c>
      <c r="G83">
        <v>1.40187392006756E-4</v>
      </c>
      <c r="H83">
        <v>1.3259784368000415E-2</v>
      </c>
      <c r="I83">
        <v>5</v>
      </c>
      <c r="J83" t="b">
        <v>1</v>
      </c>
      <c r="K83">
        <v>0.65</v>
      </c>
      <c r="L83">
        <v>1.3</v>
      </c>
      <c r="M83" t="b">
        <v>1</v>
      </c>
      <c r="N83">
        <v>200</v>
      </c>
      <c r="O83" t="b">
        <v>0</v>
      </c>
      <c r="P83" t="b">
        <v>0</v>
      </c>
      <c r="Q83">
        <v>0.7</v>
      </c>
      <c r="R83">
        <v>3155591.522004962</v>
      </c>
      <c r="S83">
        <v>3315186.5625119209</v>
      </c>
      <c r="T83">
        <v>2725731.9454380274</v>
      </c>
      <c r="U83">
        <v>2858827.6025860906</v>
      </c>
      <c r="V83">
        <v>6470778.0845168829</v>
      </c>
      <c r="W83">
        <v>5584559.5480241179</v>
      </c>
      <c r="X83">
        <v>53941.880523933723</v>
      </c>
      <c r="Y83">
        <v>46554.160872726236</v>
      </c>
      <c r="Z83">
        <v>3383.943591262102</v>
      </c>
      <c r="AA83">
        <v>1396.1398870060295</v>
      </c>
      <c r="AB83">
        <v>27257.319454380275</v>
      </c>
      <c r="AC83">
        <v>28588.276025860905</v>
      </c>
      <c r="AD83">
        <v>55845.59548024118</v>
      </c>
      <c r="AE83">
        <v>1.1586908562567515</v>
      </c>
      <c r="AF83" s="1" t="s">
        <v>2741</v>
      </c>
      <c r="AG83" s="1" t="s">
        <v>2742</v>
      </c>
      <c r="AH83" s="1" t="s">
        <v>2743</v>
      </c>
      <c r="AI83" s="1" t="str">
        <f>_xlfn.TEXTAFTER(_xlfn.TEXTBEFORE(batch_summary[[#This Row],[video]],"_",1),"-",3)</f>
        <v>16</v>
      </c>
      <c r="AJ83" s="1" t="str">
        <f>_xlfn.TEXTBEFORE(_xlfn.TEXTAFTER(batch_summary[[#This Row],[video]],"_",1),"_",1)</f>
        <v>20260314</v>
      </c>
      <c r="AK83" s="1" t="str">
        <f>_xlfn.TEXTBEFORE(_xlfn.TEXTAFTER(batch_summary[[#This Row],[video]],"_",2),".",1)</f>
        <v>170000</v>
      </c>
    </row>
    <row r="84" spans="1:37" x14ac:dyDescent="0.2">
      <c r="A84" s="1" t="s">
        <v>2744</v>
      </c>
      <c r="B84" s="1" t="s">
        <v>2745</v>
      </c>
      <c r="C84">
        <v>119.95833333333333</v>
      </c>
      <c r="D84">
        <v>2879</v>
      </c>
      <c r="E84">
        <v>0.38776472210884094</v>
      </c>
      <c r="F84">
        <v>37.497871516272426</v>
      </c>
      <c r="G84">
        <v>1.3468729493186556E-4</v>
      </c>
      <c r="H84">
        <v>1.3024616712842108E-2</v>
      </c>
      <c r="I84">
        <v>5</v>
      </c>
      <c r="J84" t="b">
        <v>1</v>
      </c>
      <c r="K84">
        <v>0.65</v>
      </c>
      <c r="L84">
        <v>1.3</v>
      </c>
      <c r="M84" t="b">
        <v>1</v>
      </c>
      <c r="N84">
        <v>200</v>
      </c>
      <c r="O84" t="b">
        <v>0</v>
      </c>
      <c r="P84" t="b">
        <v>0</v>
      </c>
      <c r="Q84">
        <v>0.7</v>
      </c>
      <c r="R84">
        <v>1399551.9736950994</v>
      </c>
      <c r="S84">
        <v>1361191.2457271218</v>
      </c>
      <c r="T84">
        <v>1239167.7498027086</v>
      </c>
      <c r="U84">
        <v>1204580.5460186005</v>
      </c>
      <c r="V84">
        <v>2760743.2194222212</v>
      </c>
      <c r="W84">
        <v>2443748.2958213091</v>
      </c>
      <c r="X84">
        <v>23014.184531480831</v>
      </c>
      <c r="Y84">
        <v>20371.642618864684</v>
      </c>
      <c r="Z84">
        <v>3276.198034267426</v>
      </c>
      <c r="AA84">
        <v>610.93707395532726</v>
      </c>
      <c r="AB84">
        <v>12391.677498027086</v>
      </c>
      <c r="AC84">
        <v>12045.805460186004</v>
      </c>
      <c r="AD84">
        <v>24437.482958213091</v>
      </c>
      <c r="AE84">
        <v>1.1297166832373686</v>
      </c>
      <c r="AF84" s="1" t="s">
        <v>2746</v>
      </c>
      <c r="AG84" s="1" t="s">
        <v>2747</v>
      </c>
      <c r="AH84" s="1" t="s">
        <v>2748</v>
      </c>
      <c r="AI84" s="1" t="str">
        <f>_xlfn.TEXTAFTER(_xlfn.TEXTBEFORE(batch_summary[[#This Row],[video]],"_",1),"-",3)</f>
        <v>16</v>
      </c>
      <c r="AJ84" s="1" t="str">
        <f>_xlfn.TEXTBEFORE(_xlfn.TEXTAFTER(batch_summary[[#This Row],[video]],"_",1),"_",1)</f>
        <v>20260314</v>
      </c>
      <c r="AK84" s="1" t="str">
        <f>_xlfn.TEXTBEFORE(_xlfn.TEXTAFTER(batch_summary[[#This Row],[video]],"_",2),".",1)</f>
        <v>180000</v>
      </c>
    </row>
    <row r="85" spans="1:37" x14ac:dyDescent="0.2">
      <c r="A85" s="1" t="s">
        <v>2749</v>
      </c>
      <c r="B85" s="1" t="s">
        <v>2750</v>
      </c>
      <c r="C85">
        <v>119.95833333333333</v>
      </c>
      <c r="D85">
        <v>2879</v>
      </c>
      <c r="E85">
        <v>0.37304434925317764</v>
      </c>
      <c r="F85">
        <v>36.863331647589803</v>
      </c>
      <c r="G85">
        <v>1.2957427900422982E-4</v>
      </c>
      <c r="H85">
        <v>1.2804213840774506E-2</v>
      </c>
      <c r="I85">
        <v>5</v>
      </c>
      <c r="J85" t="b">
        <v>1</v>
      </c>
      <c r="K85">
        <v>0.65</v>
      </c>
      <c r="L85">
        <v>1.3</v>
      </c>
      <c r="M85" t="b">
        <v>1</v>
      </c>
      <c r="N85">
        <v>200</v>
      </c>
      <c r="O85" t="b">
        <v>0</v>
      </c>
      <c r="P85" t="b">
        <v>0</v>
      </c>
      <c r="Q85">
        <v>0.7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s="1" t="s">
        <v>2751</v>
      </c>
      <c r="AG85" s="1" t="s">
        <v>2752</v>
      </c>
      <c r="AH85" s="1" t="s">
        <v>2753</v>
      </c>
      <c r="AI85" s="1" t="str">
        <f>_xlfn.TEXTAFTER(_xlfn.TEXTBEFORE(batch_summary[[#This Row],[video]],"_",1),"-",3)</f>
        <v>16</v>
      </c>
      <c r="AJ85" s="1" t="str">
        <f>_xlfn.TEXTBEFORE(_xlfn.TEXTAFTER(batch_summary[[#This Row],[video]],"_",1),"_",1)</f>
        <v>20260314</v>
      </c>
      <c r="AK85" s="1" t="str">
        <f>_xlfn.TEXTBEFORE(_xlfn.TEXTAFTER(batch_summary[[#This Row],[video]],"_",2),".",1)</f>
        <v>190000</v>
      </c>
    </row>
    <row r="86" spans="1:37" x14ac:dyDescent="0.2">
      <c r="A86" s="1" t="s">
        <v>2754</v>
      </c>
      <c r="B86" s="1" t="s">
        <v>2755</v>
      </c>
      <c r="C86">
        <v>119.95833333333333</v>
      </c>
      <c r="D86">
        <v>2879</v>
      </c>
      <c r="E86">
        <v>0.37437778804451227</v>
      </c>
      <c r="F86">
        <v>36.778882788494229</v>
      </c>
      <c r="G86">
        <v>1.3003743940413764E-4</v>
      </c>
      <c r="H86">
        <v>1.2774881135288027E-2</v>
      </c>
      <c r="I86">
        <v>5</v>
      </c>
      <c r="J86" t="b">
        <v>1</v>
      </c>
      <c r="K86">
        <v>0.65</v>
      </c>
      <c r="L86">
        <v>1.3</v>
      </c>
      <c r="M86" t="b">
        <v>1</v>
      </c>
      <c r="N86">
        <v>200</v>
      </c>
      <c r="O86" t="b">
        <v>0</v>
      </c>
      <c r="P86" t="b">
        <v>0</v>
      </c>
      <c r="Q86">
        <v>0.7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s="1" t="s">
        <v>2756</v>
      </c>
      <c r="AG86" s="1" t="s">
        <v>2757</v>
      </c>
      <c r="AH86" s="1" t="s">
        <v>2758</v>
      </c>
      <c r="AI86" s="1" t="str">
        <f>_xlfn.TEXTAFTER(_xlfn.TEXTBEFORE(batch_summary[[#This Row],[video]],"_",1),"-",3)</f>
        <v>16</v>
      </c>
      <c r="AJ86" s="1" t="str">
        <f>_xlfn.TEXTBEFORE(_xlfn.TEXTAFTER(batch_summary[[#This Row],[video]],"_",1),"_",1)</f>
        <v>20260315</v>
      </c>
      <c r="AK86" s="1" t="str">
        <f>_xlfn.TEXTBEFORE(_xlfn.TEXTAFTER(batch_summary[[#This Row],[video]],"_",2),".",1)</f>
        <v>060000</v>
      </c>
    </row>
    <row r="87" spans="1:37" x14ac:dyDescent="0.2">
      <c r="A87" s="1" t="s">
        <v>2759</v>
      </c>
      <c r="B87" s="1" t="s">
        <v>2760</v>
      </c>
      <c r="C87">
        <v>119.95833333333333</v>
      </c>
      <c r="D87">
        <v>2879</v>
      </c>
      <c r="E87">
        <v>0.38579494506120682</v>
      </c>
      <c r="F87">
        <v>37.257509849965572</v>
      </c>
      <c r="G87">
        <v>1.3400310700285059E-4</v>
      </c>
      <c r="H87">
        <v>1.2941128812075571E-2</v>
      </c>
      <c r="I87">
        <v>5</v>
      </c>
      <c r="J87" t="b">
        <v>1</v>
      </c>
      <c r="K87">
        <v>0.65</v>
      </c>
      <c r="L87">
        <v>1.3</v>
      </c>
      <c r="M87" t="b">
        <v>1</v>
      </c>
      <c r="N87">
        <v>200</v>
      </c>
      <c r="O87" t="b">
        <v>0</v>
      </c>
      <c r="P87" t="b">
        <v>0</v>
      </c>
      <c r="Q87">
        <v>0.7</v>
      </c>
      <c r="R87">
        <v>2647.7113258242607</v>
      </c>
      <c r="S87">
        <v>3089.0487244725227</v>
      </c>
      <c r="T87">
        <v>0</v>
      </c>
      <c r="U87">
        <v>0</v>
      </c>
      <c r="V87">
        <v>5736.7600502967834</v>
      </c>
      <c r="W87">
        <v>0</v>
      </c>
      <c r="X87">
        <v>47.822938939605002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5736760050.2967834</v>
      </c>
      <c r="AF87" s="1" t="s">
        <v>2761</v>
      </c>
      <c r="AG87" s="1" t="s">
        <v>2762</v>
      </c>
      <c r="AH87" s="1" t="s">
        <v>2763</v>
      </c>
      <c r="AI87" s="1" t="str">
        <f>_xlfn.TEXTAFTER(_xlfn.TEXTBEFORE(batch_summary[[#This Row],[video]],"_",1),"-",3)</f>
        <v>16</v>
      </c>
      <c r="AJ87" s="1" t="str">
        <f>_xlfn.TEXTBEFORE(_xlfn.TEXTAFTER(batch_summary[[#This Row],[video]],"_",1),"_",1)</f>
        <v>20260315</v>
      </c>
      <c r="AK87" s="1" t="str">
        <f>_xlfn.TEXTBEFORE(_xlfn.TEXTAFTER(batch_summary[[#This Row],[video]],"_",2),".",1)</f>
        <v>070000</v>
      </c>
    </row>
    <row r="88" spans="1:37" x14ac:dyDescent="0.2">
      <c r="A88" s="1" t="s">
        <v>2764</v>
      </c>
      <c r="B88" s="1" t="s">
        <v>2765</v>
      </c>
      <c r="C88">
        <v>119.95833333333333</v>
      </c>
      <c r="D88">
        <v>2879</v>
      </c>
      <c r="E88">
        <v>0.3740160446614027</v>
      </c>
      <c r="F88">
        <v>36.78928823582828</v>
      </c>
      <c r="G88">
        <v>1.2991179043466574E-4</v>
      </c>
      <c r="H88">
        <v>1.2778495392785092E-2</v>
      </c>
      <c r="I88">
        <v>5</v>
      </c>
      <c r="J88" t="b">
        <v>1</v>
      </c>
      <c r="K88">
        <v>0.65</v>
      </c>
      <c r="L88">
        <v>1.3</v>
      </c>
      <c r="M88" t="b">
        <v>1</v>
      </c>
      <c r="N88">
        <v>200</v>
      </c>
      <c r="O88" t="b">
        <v>0</v>
      </c>
      <c r="P88" t="b">
        <v>0</v>
      </c>
      <c r="Q88">
        <v>0.7</v>
      </c>
      <c r="R88">
        <v>2023.5909198522568</v>
      </c>
      <c r="S88">
        <v>1541.7621043920517</v>
      </c>
      <c r="T88">
        <v>0</v>
      </c>
      <c r="U88">
        <v>0</v>
      </c>
      <c r="V88">
        <v>3565.3530242443085</v>
      </c>
      <c r="W88">
        <v>0</v>
      </c>
      <c r="X88">
        <v>29.721595200369368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3565353024.2443085</v>
      </c>
      <c r="AF88" s="1" t="s">
        <v>2766</v>
      </c>
      <c r="AG88" s="1" t="s">
        <v>2767</v>
      </c>
      <c r="AH88" s="1" t="s">
        <v>2768</v>
      </c>
      <c r="AI88" s="1" t="str">
        <f>_xlfn.TEXTAFTER(_xlfn.TEXTBEFORE(batch_summary[[#This Row],[video]],"_",1),"-",3)</f>
        <v>16</v>
      </c>
      <c r="AJ88" s="1" t="str">
        <f>_xlfn.TEXTBEFORE(_xlfn.TEXTAFTER(batch_summary[[#This Row],[video]],"_",1),"_",1)</f>
        <v>20260315</v>
      </c>
      <c r="AK88" s="1" t="str">
        <f>_xlfn.TEXTBEFORE(_xlfn.TEXTAFTER(batch_summary[[#This Row],[video]],"_",2),".",1)</f>
        <v>080000</v>
      </c>
    </row>
    <row r="89" spans="1:37" x14ac:dyDescent="0.2">
      <c r="A89" s="1" t="s">
        <v>2769</v>
      </c>
      <c r="B89" s="1" t="s">
        <v>2770</v>
      </c>
      <c r="C89">
        <v>119.95833333333333</v>
      </c>
      <c r="D89">
        <v>2879</v>
      </c>
      <c r="E89">
        <v>0.37509915325790644</v>
      </c>
      <c r="F89">
        <v>36.884284974075854</v>
      </c>
      <c r="G89">
        <v>1.3028800043692477E-4</v>
      </c>
      <c r="H89">
        <v>1.2811491828438991E-2</v>
      </c>
      <c r="I89">
        <v>5</v>
      </c>
      <c r="J89" t="b">
        <v>1</v>
      </c>
      <c r="K89">
        <v>0.65</v>
      </c>
      <c r="L89">
        <v>1.3</v>
      </c>
      <c r="M89" t="b">
        <v>1</v>
      </c>
      <c r="N89">
        <v>200</v>
      </c>
      <c r="O89" t="b">
        <v>0</v>
      </c>
      <c r="P89" t="b">
        <v>0</v>
      </c>
      <c r="Q89">
        <v>0.7</v>
      </c>
      <c r="R89">
        <v>4715.909547328949</v>
      </c>
      <c r="S89">
        <v>8160.522869348526</v>
      </c>
      <c r="T89">
        <v>0</v>
      </c>
      <c r="U89">
        <v>0</v>
      </c>
      <c r="V89">
        <v>12876.432416677475</v>
      </c>
      <c r="W89">
        <v>0</v>
      </c>
      <c r="X89">
        <v>107.34087460932942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12876432416.677475</v>
      </c>
      <c r="AF89" s="1" t="s">
        <v>2771</v>
      </c>
      <c r="AG89" s="1" t="s">
        <v>2772</v>
      </c>
      <c r="AH89" s="1" t="s">
        <v>2773</v>
      </c>
      <c r="AI89" s="1" t="str">
        <f>_xlfn.TEXTAFTER(_xlfn.TEXTBEFORE(batch_summary[[#This Row],[video]],"_",1),"-",3)</f>
        <v>16</v>
      </c>
      <c r="AJ89" s="1" t="str">
        <f>_xlfn.TEXTBEFORE(_xlfn.TEXTAFTER(batch_summary[[#This Row],[video]],"_",1),"_",1)</f>
        <v>20260315</v>
      </c>
      <c r="AK89" s="1" t="str">
        <f>_xlfn.TEXTBEFORE(_xlfn.TEXTAFTER(batch_summary[[#This Row],[video]],"_",2),".",1)</f>
        <v>090000</v>
      </c>
    </row>
    <row r="90" spans="1:37" x14ac:dyDescent="0.2">
      <c r="A90" s="1" t="s">
        <v>2774</v>
      </c>
      <c r="B90" s="1" t="s">
        <v>2775</v>
      </c>
      <c r="C90">
        <v>119.95833333333333</v>
      </c>
      <c r="D90">
        <v>2879</v>
      </c>
      <c r="E90">
        <v>0.38093650434166193</v>
      </c>
      <c r="F90">
        <v>36.997665473259985</v>
      </c>
      <c r="G90">
        <v>1.3231556246671135E-4</v>
      </c>
      <c r="H90">
        <v>1.2850873731594298E-2</v>
      </c>
      <c r="I90">
        <v>5</v>
      </c>
      <c r="J90" t="b">
        <v>1</v>
      </c>
      <c r="K90">
        <v>0.65</v>
      </c>
      <c r="L90">
        <v>1.3</v>
      </c>
      <c r="M90" t="b">
        <v>1</v>
      </c>
      <c r="N90">
        <v>200</v>
      </c>
      <c r="O90" t="b">
        <v>0</v>
      </c>
      <c r="P90" t="b">
        <v>0</v>
      </c>
      <c r="Q90">
        <v>0.7</v>
      </c>
      <c r="R90">
        <v>7694.9187760353088</v>
      </c>
      <c r="S90">
        <v>14788.643212378025</v>
      </c>
      <c r="T90">
        <v>1081.4810943603516</v>
      </c>
      <c r="U90">
        <v>1932.7197418212891</v>
      </c>
      <c r="V90">
        <v>22483.561988413334</v>
      </c>
      <c r="W90">
        <v>3014.2008361816406</v>
      </c>
      <c r="X90">
        <v>187.42809577003126</v>
      </c>
      <c r="Y90">
        <v>25.127064976852857</v>
      </c>
      <c r="Z90">
        <v>27.303174743652342</v>
      </c>
      <c r="AA90">
        <v>0.75355020904541015</v>
      </c>
      <c r="AB90">
        <v>10.814810943603515</v>
      </c>
      <c r="AC90">
        <v>19.32719741821289</v>
      </c>
      <c r="AD90">
        <v>30.142008361816405</v>
      </c>
      <c r="AE90">
        <v>7.4592116485825422</v>
      </c>
      <c r="AF90" s="1" t="s">
        <v>2776</v>
      </c>
      <c r="AG90" s="1" t="s">
        <v>2777</v>
      </c>
      <c r="AH90" s="1" t="s">
        <v>2778</v>
      </c>
      <c r="AI90" s="1" t="str">
        <f>_xlfn.TEXTAFTER(_xlfn.TEXTBEFORE(batch_summary[[#This Row],[video]],"_",1),"-",3)</f>
        <v>16</v>
      </c>
      <c r="AJ90" s="1" t="str">
        <f>_xlfn.TEXTBEFORE(_xlfn.TEXTAFTER(batch_summary[[#This Row],[video]],"_",1),"_",1)</f>
        <v>20260315</v>
      </c>
      <c r="AK90" s="1" t="str">
        <f>_xlfn.TEXTBEFORE(_xlfn.TEXTAFTER(batch_summary[[#This Row],[video]],"_",2),".",1)</f>
        <v>100000</v>
      </c>
    </row>
    <row r="91" spans="1:37" x14ac:dyDescent="0.2">
      <c r="A91" s="1" t="s">
        <v>2779</v>
      </c>
      <c r="B91" s="1" t="s">
        <v>2780</v>
      </c>
      <c r="C91">
        <v>119.95833333333333</v>
      </c>
      <c r="D91">
        <v>2879</v>
      </c>
      <c r="E91">
        <v>0.37498694006353617</v>
      </c>
      <c r="F91">
        <v>36.806148123927414</v>
      </c>
      <c r="G91">
        <v>1.3024902398872391E-4</v>
      </c>
      <c r="H91">
        <v>1.2784351553986597E-2</v>
      </c>
      <c r="I91">
        <v>5</v>
      </c>
      <c r="J91" t="b">
        <v>1</v>
      </c>
      <c r="K91">
        <v>0.65</v>
      </c>
      <c r="L91">
        <v>1.3</v>
      </c>
      <c r="M91" t="b">
        <v>1</v>
      </c>
      <c r="N91">
        <v>200</v>
      </c>
      <c r="O91" t="b">
        <v>0</v>
      </c>
      <c r="P91" t="b">
        <v>0</v>
      </c>
      <c r="Q91">
        <v>0.7</v>
      </c>
      <c r="R91">
        <v>24943.450851917267</v>
      </c>
      <c r="S91">
        <v>92923.226026177406</v>
      </c>
      <c r="T91">
        <v>11709.511432647705</v>
      </c>
      <c r="U91">
        <v>75362.329778790474</v>
      </c>
      <c r="V91">
        <v>117866.67687809467</v>
      </c>
      <c r="W91">
        <v>87071.841211438179</v>
      </c>
      <c r="X91">
        <v>982.56347519078577</v>
      </c>
      <c r="Y91">
        <v>725.85070825790774</v>
      </c>
      <c r="Z91">
        <v>413.66061437726023</v>
      </c>
      <c r="AA91">
        <v>21.767960302859546</v>
      </c>
      <c r="AB91">
        <v>117.09511432647705</v>
      </c>
      <c r="AC91">
        <v>753.62329778790479</v>
      </c>
      <c r="AD91">
        <v>870.71841211438186</v>
      </c>
      <c r="AE91">
        <v>1.3536715801366461</v>
      </c>
      <c r="AF91" s="1" t="s">
        <v>2781</v>
      </c>
      <c r="AG91" s="1" t="s">
        <v>2782</v>
      </c>
      <c r="AH91" s="1" t="s">
        <v>2783</v>
      </c>
      <c r="AI91" s="1" t="str">
        <f>_xlfn.TEXTAFTER(_xlfn.TEXTBEFORE(batch_summary[[#This Row],[video]],"_",1),"-",3)</f>
        <v>16</v>
      </c>
      <c r="AJ91" s="1" t="str">
        <f>_xlfn.TEXTBEFORE(_xlfn.TEXTAFTER(batch_summary[[#This Row],[video]],"_",1),"_",1)</f>
        <v>20260315</v>
      </c>
      <c r="AK91" s="1" t="str">
        <f>_xlfn.TEXTBEFORE(_xlfn.TEXTAFTER(batch_summary[[#This Row],[video]],"_",2),".",1)</f>
        <v>110000</v>
      </c>
    </row>
    <row r="92" spans="1:37" x14ac:dyDescent="0.2">
      <c r="A92" s="1" t="s">
        <v>2784</v>
      </c>
      <c r="B92" s="1" t="s">
        <v>2785</v>
      </c>
      <c r="C92">
        <v>119.95833333333333</v>
      </c>
      <c r="D92">
        <v>2879</v>
      </c>
      <c r="E92">
        <v>0.3832648042589426</v>
      </c>
      <c r="F92">
        <v>37.110041102394462</v>
      </c>
      <c r="G92">
        <v>1.3312428074294637E-4</v>
      </c>
      <c r="H92">
        <v>1.2889906600345419E-2</v>
      </c>
      <c r="I92">
        <v>5</v>
      </c>
      <c r="J92" t="b">
        <v>1</v>
      </c>
      <c r="K92">
        <v>0.65</v>
      </c>
      <c r="L92">
        <v>1.3</v>
      </c>
      <c r="M92" t="b">
        <v>1</v>
      </c>
      <c r="N92">
        <v>200</v>
      </c>
      <c r="O92" t="b">
        <v>0</v>
      </c>
      <c r="P92" t="b">
        <v>0</v>
      </c>
      <c r="Q92">
        <v>0.7</v>
      </c>
      <c r="R92">
        <v>34467.503415584564</v>
      </c>
      <c r="S92">
        <v>100055.44318282604</v>
      </c>
      <c r="T92">
        <v>23524.5602684021</v>
      </c>
      <c r="U92">
        <v>86266.432708740234</v>
      </c>
      <c r="V92">
        <v>134522.94659841061</v>
      </c>
      <c r="W92">
        <v>109790.99297714233</v>
      </c>
      <c r="X92">
        <v>1121.4139348252361</v>
      </c>
      <c r="Y92">
        <v>915.2427340921904</v>
      </c>
      <c r="Z92">
        <v>500.12615234374999</v>
      </c>
      <c r="AA92">
        <v>27.447748244285584</v>
      </c>
      <c r="AB92">
        <v>235.24560268402101</v>
      </c>
      <c r="AC92">
        <v>862.6643270874024</v>
      </c>
      <c r="AD92">
        <v>1097.9099297714233</v>
      </c>
      <c r="AE92">
        <v>1.2252639579133535</v>
      </c>
      <c r="AF92" s="1" t="s">
        <v>2786</v>
      </c>
      <c r="AG92" s="1" t="s">
        <v>2787</v>
      </c>
      <c r="AH92" s="1" t="s">
        <v>2788</v>
      </c>
      <c r="AI92" s="1" t="str">
        <f>_xlfn.TEXTAFTER(_xlfn.TEXTBEFORE(batch_summary[[#This Row],[video]],"_",1),"-",3)</f>
        <v>16</v>
      </c>
      <c r="AJ92" s="1" t="str">
        <f>_xlfn.TEXTBEFORE(_xlfn.TEXTAFTER(batch_summary[[#This Row],[video]],"_",1),"_",1)</f>
        <v>20260315</v>
      </c>
      <c r="AK92" s="1" t="str">
        <f>_xlfn.TEXTBEFORE(_xlfn.TEXTAFTER(batch_summary[[#This Row],[video]],"_",2),".",1)</f>
        <v>120000</v>
      </c>
    </row>
    <row r="93" spans="1:37" x14ac:dyDescent="0.2">
      <c r="A93" s="1" t="s">
        <v>2789</v>
      </c>
      <c r="B93" s="1" t="s">
        <v>2790</v>
      </c>
      <c r="C93">
        <v>119.95833333333333</v>
      </c>
      <c r="D93">
        <v>2879</v>
      </c>
      <c r="E93">
        <v>0.40161017887294292</v>
      </c>
      <c r="F93">
        <v>38.429062632843852</v>
      </c>
      <c r="G93">
        <v>1.3949641503054636E-4</v>
      </c>
      <c r="H93">
        <v>1.3348059268094426E-2</v>
      </c>
      <c r="I93">
        <v>5</v>
      </c>
      <c r="J93" t="b">
        <v>1</v>
      </c>
      <c r="K93">
        <v>0.65</v>
      </c>
      <c r="L93">
        <v>1.3</v>
      </c>
      <c r="M93" t="b">
        <v>1</v>
      </c>
      <c r="N93">
        <v>200</v>
      </c>
      <c r="O93" t="b">
        <v>0</v>
      </c>
      <c r="P93" t="b">
        <v>0</v>
      </c>
      <c r="Q93">
        <v>0.7</v>
      </c>
      <c r="R93">
        <v>2482582.8892768025</v>
      </c>
      <c r="S93">
        <v>2821971.7224619389</v>
      </c>
      <c r="T93">
        <v>2105442.4523112774</v>
      </c>
      <c r="U93">
        <v>2417708.7319425941</v>
      </c>
      <c r="V93">
        <v>5304554.6117387414</v>
      </c>
      <c r="W93">
        <v>4523151.1842538714</v>
      </c>
      <c r="X93">
        <v>44219.975922796039</v>
      </c>
      <c r="Y93">
        <v>37706.018903123622</v>
      </c>
      <c r="Z93">
        <v>2513.4527485513686</v>
      </c>
      <c r="AA93">
        <v>1130.787796063468</v>
      </c>
      <c r="AB93">
        <v>21054.424523112775</v>
      </c>
      <c r="AC93">
        <v>24177.08731942594</v>
      </c>
      <c r="AD93">
        <v>45231.511842538719</v>
      </c>
      <c r="AE93">
        <v>1.1727564248139914</v>
      </c>
      <c r="AF93" s="1" t="s">
        <v>2791</v>
      </c>
      <c r="AG93" s="1" t="s">
        <v>2792</v>
      </c>
      <c r="AH93" s="1" t="s">
        <v>2793</v>
      </c>
      <c r="AI93" s="1" t="str">
        <f>_xlfn.TEXTAFTER(_xlfn.TEXTBEFORE(batch_summary[[#This Row],[video]],"_",1),"-",3)</f>
        <v>16</v>
      </c>
      <c r="AJ93" s="1" t="str">
        <f>_xlfn.TEXTBEFORE(_xlfn.TEXTAFTER(batch_summary[[#This Row],[video]],"_",1),"_",1)</f>
        <v>20260315</v>
      </c>
      <c r="AK93" s="1" t="str">
        <f>_xlfn.TEXTBEFORE(_xlfn.TEXTAFTER(batch_summary[[#This Row],[video]],"_",2),".",1)</f>
        <v>130000</v>
      </c>
    </row>
    <row r="94" spans="1:37" x14ac:dyDescent="0.2">
      <c r="A94" s="1" t="s">
        <v>2794</v>
      </c>
      <c r="B94" s="1" t="s">
        <v>2795</v>
      </c>
      <c r="C94">
        <v>119.95833333333333</v>
      </c>
      <c r="D94">
        <v>2879</v>
      </c>
      <c r="E94">
        <v>0.39160537626594305</v>
      </c>
      <c r="F94">
        <v>37.578973623923957</v>
      </c>
      <c r="G94">
        <v>1.3602131860574612E-4</v>
      </c>
      <c r="H94">
        <v>1.3052786948219507E-2</v>
      </c>
      <c r="I94">
        <v>5</v>
      </c>
      <c r="J94" t="b">
        <v>1</v>
      </c>
      <c r="K94">
        <v>0.65</v>
      </c>
      <c r="L94">
        <v>1.3</v>
      </c>
      <c r="M94" t="b">
        <v>1</v>
      </c>
      <c r="N94">
        <v>200</v>
      </c>
      <c r="O94" t="b">
        <v>0</v>
      </c>
      <c r="P94" t="b">
        <v>0</v>
      </c>
      <c r="Q94">
        <v>0.7</v>
      </c>
      <c r="R94">
        <v>1044225.4676093459</v>
      </c>
      <c r="S94">
        <v>1148461.0027210116</v>
      </c>
      <c r="T94">
        <v>890502.37820285559</v>
      </c>
      <c r="U94">
        <v>984565.29336905479</v>
      </c>
      <c r="V94">
        <v>2192686.4703303576</v>
      </c>
      <c r="W94">
        <v>1875067.6715719104</v>
      </c>
      <c r="X94">
        <v>18278.734035404163</v>
      </c>
      <c r="Y94">
        <v>15630.991357320545</v>
      </c>
      <c r="Z94">
        <v>1801.1274633789062</v>
      </c>
      <c r="AA94">
        <v>468.76691789297757</v>
      </c>
      <c r="AB94">
        <v>8905.0237820285565</v>
      </c>
      <c r="AC94">
        <v>9845.6529336905478</v>
      </c>
      <c r="AD94">
        <v>18750.676715719106</v>
      </c>
      <c r="AE94">
        <v>1.1693905791102357</v>
      </c>
      <c r="AF94" s="1" t="s">
        <v>2796</v>
      </c>
      <c r="AG94" s="1" t="s">
        <v>2797</v>
      </c>
      <c r="AH94" s="1" t="s">
        <v>2798</v>
      </c>
      <c r="AI94" s="1" t="str">
        <f>_xlfn.TEXTAFTER(_xlfn.TEXTBEFORE(batch_summary[[#This Row],[video]],"_",1),"-",3)</f>
        <v>16</v>
      </c>
      <c r="AJ94" s="1" t="str">
        <f>_xlfn.TEXTBEFORE(_xlfn.TEXTAFTER(batch_summary[[#This Row],[video]],"_",1),"_",1)</f>
        <v>20260315</v>
      </c>
      <c r="AK94" s="1" t="str">
        <f>_xlfn.TEXTBEFORE(_xlfn.TEXTAFTER(batch_summary[[#This Row],[video]],"_",2),".",1)</f>
        <v>140000</v>
      </c>
    </row>
    <row r="95" spans="1:37" x14ac:dyDescent="0.2">
      <c r="A95" s="1" t="s">
        <v>2799</v>
      </c>
      <c r="B95" s="1" t="s">
        <v>2800</v>
      </c>
      <c r="C95">
        <v>119.95833333333333</v>
      </c>
      <c r="D95">
        <v>2879</v>
      </c>
      <c r="E95">
        <v>0.40369942970573902</v>
      </c>
      <c r="F95">
        <v>38.223495811223984</v>
      </c>
      <c r="G95">
        <v>1.4022210132189615E-4</v>
      </c>
      <c r="H95">
        <v>1.327665710705939E-2</v>
      </c>
      <c r="I95">
        <v>5</v>
      </c>
      <c r="J95" t="b">
        <v>1</v>
      </c>
      <c r="K95">
        <v>0.65</v>
      </c>
      <c r="L95">
        <v>1.3</v>
      </c>
      <c r="M95" t="b">
        <v>1</v>
      </c>
      <c r="N95">
        <v>200</v>
      </c>
      <c r="O95" t="b">
        <v>0</v>
      </c>
      <c r="P95" t="b">
        <v>0</v>
      </c>
      <c r="Q95">
        <v>0.7</v>
      </c>
      <c r="R95">
        <v>1814333.0158842802</v>
      </c>
      <c r="S95">
        <v>2600603.7536928058</v>
      </c>
      <c r="T95">
        <v>1519131.9372161031</v>
      </c>
      <c r="U95">
        <v>2244269.503068924</v>
      </c>
      <c r="V95">
        <v>4414936.769577086</v>
      </c>
      <c r="W95">
        <v>3763401.440285027</v>
      </c>
      <c r="X95">
        <v>36803.918884977444</v>
      </c>
      <c r="Y95">
        <v>31372.571923181888</v>
      </c>
      <c r="Z95">
        <v>3366.2213470172883</v>
      </c>
      <c r="AA95">
        <v>940.85036007125677</v>
      </c>
      <c r="AB95">
        <v>15191.319372161031</v>
      </c>
      <c r="AC95">
        <v>22442.69503068924</v>
      </c>
      <c r="AD95">
        <v>37634.014402850269</v>
      </c>
      <c r="AE95">
        <v>1.1731240580177686</v>
      </c>
      <c r="AF95" s="1" t="s">
        <v>2801</v>
      </c>
      <c r="AG95" s="1" t="s">
        <v>2802</v>
      </c>
      <c r="AH95" s="1" t="s">
        <v>2803</v>
      </c>
      <c r="AI95" s="1" t="str">
        <f>_xlfn.TEXTAFTER(_xlfn.TEXTBEFORE(batch_summary[[#This Row],[video]],"_",1),"-",3)</f>
        <v>16</v>
      </c>
      <c r="AJ95" s="1" t="str">
        <f>_xlfn.TEXTBEFORE(_xlfn.TEXTAFTER(batch_summary[[#This Row],[video]],"_",1),"_",1)</f>
        <v>20260315</v>
      </c>
      <c r="AK95" s="1" t="str">
        <f>_xlfn.TEXTBEFORE(_xlfn.TEXTAFTER(batch_summary[[#This Row],[video]],"_",2),".",1)</f>
        <v>150000</v>
      </c>
    </row>
    <row r="96" spans="1:37" x14ac:dyDescent="0.2">
      <c r="A96" s="1" t="s">
        <v>2804</v>
      </c>
      <c r="B96" s="1" t="s">
        <v>2805</v>
      </c>
      <c r="C96">
        <v>119.95833333333333</v>
      </c>
      <c r="D96">
        <v>2879</v>
      </c>
      <c r="E96">
        <v>0.39536657743155956</v>
      </c>
      <c r="F96">
        <v>37.870497495867312</v>
      </c>
      <c r="G96">
        <v>1.3732774485292101E-4</v>
      </c>
      <c r="H96">
        <v>1.3154045674146339E-2</v>
      </c>
      <c r="I96">
        <v>5</v>
      </c>
      <c r="J96" t="b">
        <v>1</v>
      </c>
      <c r="K96">
        <v>0.65</v>
      </c>
      <c r="L96">
        <v>1.3</v>
      </c>
      <c r="M96" t="b">
        <v>1</v>
      </c>
      <c r="N96">
        <v>200</v>
      </c>
      <c r="O96" t="b">
        <v>0</v>
      </c>
      <c r="P96" t="b">
        <v>0</v>
      </c>
      <c r="Q96">
        <v>0.7</v>
      </c>
      <c r="R96">
        <v>1373016.9531679153</v>
      </c>
      <c r="S96">
        <v>1785602.9216700792</v>
      </c>
      <c r="T96">
        <v>1144835.4352093339</v>
      </c>
      <c r="U96">
        <v>1521578.571365118</v>
      </c>
      <c r="V96">
        <v>3158619.8748379946</v>
      </c>
      <c r="W96">
        <v>2666414.0065744519</v>
      </c>
      <c r="X96">
        <v>26330.974989965915</v>
      </c>
      <c r="Y96">
        <v>22227.834719620303</v>
      </c>
      <c r="Z96">
        <v>1922.7425560569764</v>
      </c>
      <c r="AA96">
        <v>666.60350164361284</v>
      </c>
      <c r="AB96">
        <v>11448.354352093338</v>
      </c>
      <c r="AC96">
        <v>15215.785713651181</v>
      </c>
      <c r="AD96">
        <v>26664.140065744519</v>
      </c>
      <c r="AE96">
        <v>1.1845946904906492</v>
      </c>
      <c r="AF96" s="1" t="s">
        <v>2806</v>
      </c>
      <c r="AG96" s="1" t="s">
        <v>2807</v>
      </c>
      <c r="AH96" s="1" t="s">
        <v>2808</v>
      </c>
      <c r="AI96" s="1" t="str">
        <f>_xlfn.TEXTAFTER(_xlfn.TEXTBEFORE(batch_summary[[#This Row],[video]],"_",1),"-",3)</f>
        <v>16</v>
      </c>
      <c r="AJ96" s="1" t="str">
        <f>_xlfn.TEXTBEFORE(_xlfn.TEXTAFTER(batch_summary[[#This Row],[video]],"_",1),"_",1)</f>
        <v>20260315</v>
      </c>
      <c r="AK96" s="1" t="str">
        <f>_xlfn.TEXTBEFORE(_xlfn.TEXTAFTER(batch_summary[[#This Row],[video]],"_",2),".",1)</f>
        <v>160000</v>
      </c>
    </row>
    <row r="97" spans="1:37" x14ac:dyDescent="0.2">
      <c r="A97" s="1" t="s">
        <v>2809</v>
      </c>
      <c r="B97" s="1" t="s">
        <v>2810</v>
      </c>
      <c r="C97">
        <v>119.95833333333333</v>
      </c>
      <c r="D97">
        <v>2879</v>
      </c>
      <c r="E97">
        <v>0.4090513288974762</v>
      </c>
      <c r="F97">
        <v>38.732672140933573</v>
      </c>
      <c r="G97">
        <v>1.4208104511895665E-4</v>
      </c>
      <c r="H97">
        <v>1.345351585305091E-2</v>
      </c>
      <c r="I97">
        <v>5</v>
      </c>
      <c r="J97" t="b">
        <v>1</v>
      </c>
      <c r="K97">
        <v>0.65</v>
      </c>
      <c r="L97">
        <v>1.3</v>
      </c>
      <c r="M97" t="b">
        <v>1</v>
      </c>
      <c r="N97">
        <v>200</v>
      </c>
      <c r="O97" t="b">
        <v>0</v>
      </c>
      <c r="P97" t="b">
        <v>0</v>
      </c>
      <c r="Q97">
        <v>0.7</v>
      </c>
      <c r="R97">
        <v>2803966.8412299156</v>
      </c>
      <c r="S97">
        <v>3398134.188837707</v>
      </c>
      <c r="T97">
        <v>2423877.5473327637</v>
      </c>
      <c r="U97">
        <v>2951921.9858431816</v>
      </c>
      <c r="V97">
        <v>6202101.0300676227</v>
      </c>
      <c r="W97">
        <v>5375799.5331759453</v>
      </c>
      <c r="X97">
        <v>51702.127378125377</v>
      </c>
      <c r="Y97">
        <v>44813.88982154314</v>
      </c>
      <c r="Z97">
        <v>3284.1189220404622</v>
      </c>
      <c r="AA97">
        <v>1343.9498832939864</v>
      </c>
      <c r="AB97">
        <v>24238.775473327638</v>
      </c>
      <c r="AC97">
        <v>29519.219858431818</v>
      </c>
      <c r="AD97">
        <v>53757.995331759455</v>
      </c>
      <c r="AE97">
        <v>1.15370764698205</v>
      </c>
      <c r="AF97" s="1" t="s">
        <v>2811</v>
      </c>
      <c r="AG97" s="1" t="s">
        <v>2812</v>
      </c>
      <c r="AH97" s="1" t="s">
        <v>2813</v>
      </c>
      <c r="AI97" s="1" t="str">
        <f>_xlfn.TEXTAFTER(_xlfn.TEXTBEFORE(batch_summary[[#This Row],[video]],"_",1),"-",3)</f>
        <v>16</v>
      </c>
      <c r="AJ97" s="1" t="str">
        <f>_xlfn.TEXTBEFORE(_xlfn.TEXTAFTER(batch_summary[[#This Row],[video]],"_",1),"_",1)</f>
        <v>20260315</v>
      </c>
      <c r="AK97" s="1" t="str">
        <f>_xlfn.TEXTBEFORE(_xlfn.TEXTAFTER(batch_summary[[#This Row],[video]],"_",2),".",1)</f>
        <v>170000</v>
      </c>
    </row>
    <row r="98" spans="1:37" x14ac:dyDescent="0.2">
      <c r="A98" s="1" t="s">
        <v>2814</v>
      </c>
      <c r="B98" s="1" t="s">
        <v>2815</v>
      </c>
      <c r="C98">
        <v>119.95833333333333</v>
      </c>
      <c r="D98">
        <v>2879</v>
      </c>
      <c r="E98">
        <v>0.38568532560020685</v>
      </c>
      <c r="F98">
        <v>37.269946433603764</v>
      </c>
      <c r="G98">
        <v>1.3396503146933202E-4</v>
      </c>
      <c r="H98">
        <v>1.2945448570199292E-2</v>
      </c>
      <c r="I98">
        <v>5</v>
      </c>
      <c r="J98" t="b">
        <v>1</v>
      </c>
      <c r="K98">
        <v>0.65</v>
      </c>
      <c r="L98">
        <v>1.3</v>
      </c>
      <c r="M98" t="b">
        <v>1</v>
      </c>
      <c r="N98">
        <v>200</v>
      </c>
      <c r="O98" t="b">
        <v>0</v>
      </c>
      <c r="P98" t="b">
        <v>0</v>
      </c>
      <c r="Q98">
        <v>0.7</v>
      </c>
      <c r="R98">
        <v>114745.57978928089</v>
      </c>
      <c r="S98">
        <v>235889.71559900045</v>
      </c>
      <c r="T98">
        <v>91000.92530632019</v>
      </c>
      <c r="U98">
        <v>191242.35194396973</v>
      </c>
      <c r="V98">
        <v>350635.29538828135</v>
      </c>
      <c r="W98">
        <v>282243.27725028992</v>
      </c>
      <c r="X98">
        <v>2922.9757170263119</v>
      </c>
      <c r="Y98">
        <v>2352.8442702351367</v>
      </c>
      <c r="Z98">
        <v>1026.6478326416016</v>
      </c>
      <c r="AA98">
        <v>70.560819312572477</v>
      </c>
      <c r="AB98">
        <v>910.00925306320187</v>
      </c>
      <c r="AC98">
        <v>1912.4235194396972</v>
      </c>
      <c r="AD98">
        <v>2822.4327725028988</v>
      </c>
      <c r="AE98">
        <v>1.2423158447006772</v>
      </c>
      <c r="AF98" s="1" t="s">
        <v>2816</v>
      </c>
      <c r="AG98" s="1" t="s">
        <v>2817</v>
      </c>
      <c r="AH98" s="1" t="s">
        <v>2818</v>
      </c>
      <c r="AI98" s="1" t="str">
        <f>_xlfn.TEXTAFTER(_xlfn.TEXTBEFORE(batch_summary[[#This Row],[video]],"_",1),"-",3)</f>
        <v>16</v>
      </c>
      <c r="AJ98" s="1" t="str">
        <f>_xlfn.TEXTBEFORE(_xlfn.TEXTAFTER(batch_summary[[#This Row],[video]],"_",1),"_",1)</f>
        <v>20260315</v>
      </c>
      <c r="AK98" s="1" t="str">
        <f>_xlfn.TEXTBEFORE(_xlfn.TEXTAFTER(batch_summary[[#This Row],[video]],"_",2),".",1)</f>
        <v>180000</v>
      </c>
    </row>
    <row r="99" spans="1:37" x14ac:dyDescent="0.2">
      <c r="A99" s="1" t="s">
        <v>2819</v>
      </c>
      <c r="B99" s="1" t="s">
        <v>2820</v>
      </c>
      <c r="C99">
        <v>119.95833333333333</v>
      </c>
      <c r="D99">
        <v>2879</v>
      </c>
      <c r="E99">
        <v>0.37171916663646698</v>
      </c>
      <c r="F99">
        <v>36.706813144497573</v>
      </c>
      <c r="G99">
        <v>1.2911398632735915E-4</v>
      </c>
      <c r="H99">
        <v>1.2749848261374635E-2</v>
      </c>
      <c r="I99">
        <v>5</v>
      </c>
      <c r="J99" t="b">
        <v>1</v>
      </c>
      <c r="K99">
        <v>0.65</v>
      </c>
      <c r="L99">
        <v>1.3</v>
      </c>
      <c r="M99" t="b">
        <v>1</v>
      </c>
      <c r="N99">
        <v>200</v>
      </c>
      <c r="O99" t="b">
        <v>0</v>
      </c>
      <c r="P99" t="b">
        <v>0</v>
      </c>
      <c r="Q99">
        <v>0.7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s="1" t="s">
        <v>2821</v>
      </c>
      <c r="AG99" s="1" t="s">
        <v>2822</v>
      </c>
      <c r="AH99" s="1" t="s">
        <v>2823</v>
      </c>
      <c r="AI99" s="1" t="str">
        <f>_xlfn.TEXTAFTER(_xlfn.TEXTBEFORE(batch_summary[[#This Row],[video]],"_",1),"-",3)</f>
        <v>16</v>
      </c>
      <c r="AJ99" s="1" t="str">
        <f>_xlfn.TEXTBEFORE(_xlfn.TEXTAFTER(batch_summary[[#This Row],[video]],"_",1),"_",1)</f>
        <v>20260315</v>
      </c>
      <c r="AK99" s="1" t="str">
        <f>_xlfn.TEXTBEFORE(_xlfn.TEXTAFTER(batch_summary[[#This Row],[video]],"_",2),".",1)</f>
        <v>190000</v>
      </c>
    </row>
    <row r="100" spans="1:37" x14ac:dyDescent="0.2">
      <c r="A100" s="1" t="s">
        <v>2824</v>
      </c>
      <c r="B100" s="1" t="s">
        <v>2825</v>
      </c>
      <c r="C100">
        <v>119.95833333333333</v>
      </c>
      <c r="D100">
        <v>2879</v>
      </c>
      <c r="E100">
        <v>0.37181966565549374</v>
      </c>
      <c r="F100">
        <v>36.689732279628515</v>
      </c>
      <c r="G100">
        <v>1.2914889394077586E-4</v>
      </c>
      <c r="H100">
        <v>1.2743915345477081E-2</v>
      </c>
      <c r="I100">
        <v>5</v>
      </c>
      <c r="J100" t="b">
        <v>1</v>
      </c>
      <c r="K100">
        <v>0.65</v>
      </c>
      <c r="L100">
        <v>1.3</v>
      </c>
      <c r="M100" t="b">
        <v>1</v>
      </c>
      <c r="N100">
        <v>200</v>
      </c>
      <c r="O100" t="b">
        <v>0</v>
      </c>
      <c r="P100" t="b">
        <v>0</v>
      </c>
      <c r="Q100">
        <v>0.7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s="1" t="s">
        <v>2826</v>
      </c>
      <c r="AG100" s="1" t="s">
        <v>2827</v>
      </c>
      <c r="AH100" s="1" t="s">
        <v>2828</v>
      </c>
      <c r="AI100" s="1" t="str">
        <f>_xlfn.TEXTAFTER(_xlfn.TEXTBEFORE(batch_summary[[#This Row],[video]],"_",1),"-",3)</f>
        <v>16</v>
      </c>
      <c r="AJ100" s="1" t="str">
        <f>_xlfn.TEXTBEFORE(_xlfn.TEXTAFTER(batch_summary[[#This Row],[video]],"_",1),"_",1)</f>
        <v>20260316</v>
      </c>
      <c r="AK100" s="1" t="str">
        <f>_xlfn.TEXTBEFORE(_xlfn.TEXTAFTER(batch_summary[[#This Row],[video]],"_",2),".",1)</f>
        <v>060000</v>
      </c>
    </row>
    <row r="101" spans="1:37" x14ac:dyDescent="0.2">
      <c r="A101" s="1" t="s">
        <v>2829</v>
      </c>
      <c r="B101" s="1" t="s">
        <v>2830</v>
      </c>
      <c r="C101">
        <v>119.95833333333333</v>
      </c>
      <c r="D101">
        <v>2879</v>
      </c>
      <c r="E101">
        <v>0.38279507774859667</v>
      </c>
      <c r="F101">
        <v>37.231104861944914</v>
      </c>
      <c r="G101">
        <v>1.3296112460875188E-4</v>
      </c>
      <c r="H101">
        <v>1.2931957228879789E-2</v>
      </c>
      <c r="I101">
        <v>5</v>
      </c>
      <c r="J101" t="b">
        <v>1</v>
      </c>
      <c r="K101">
        <v>0.65</v>
      </c>
      <c r="L101">
        <v>1.3</v>
      </c>
      <c r="M101" t="b">
        <v>1</v>
      </c>
      <c r="N101">
        <v>200</v>
      </c>
      <c r="O101" t="b">
        <v>0</v>
      </c>
      <c r="P101" t="b">
        <v>0</v>
      </c>
      <c r="Q101">
        <v>0.7</v>
      </c>
      <c r="R101">
        <v>4678.5392273664474</v>
      </c>
      <c r="S101">
        <v>5311.1512835621834</v>
      </c>
      <c r="T101">
        <v>0</v>
      </c>
      <c r="U101">
        <v>0</v>
      </c>
      <c r="V101">
        <v>9989.6905109286308</v>
      </c>
      <c r="W101">
        <v>0</v>
      </c>
      <c r="X101">
        <v>83.27633631896046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9989690510.9286308</v>
      </c>
      <c r="AF101" s="1" t="s">
        <v>2831</v>
      </c>
      <c r="AG101" s="1" t="s">
        <v>2832</v>
      </c>
      <c r="AH101" s="1" t="s">
        <v>2833</v>
      </c>
      <c r="AI101" s="1" t="str">
        <f>_xlfn.TEXTAFTER(_xlfn.TEXTBEFORE(batch_summary[[#This Row],[video]],"_",1),"-",3)</f>
        <v>16</v>
      </c>
      <c r="AJ101" s="1" t="str">
        <f>_xlfn.TEXTBEFORE(_xlfn.TEXTAFTER(batch_summary[[#This Row],[video]],"_",1),"_",1)</f>
        <v>20260316</v>
      </c>
      <c r="AK101" s="1" t="str">
        <f>_xlfn.TEXTBEFORE(_xlfn.TEXTAFTER(batch_summary[[#This Row],[video]],"_",2),".",1)</f>
        <v>070000</v>
      </c>
    </row>
    <row r="102" spans="1:37" x14ac:dyDescent="0.2">
      <c r="A102" s="1" t="s">
        <v>2834</v>
      </c>
      <c r="B102" s="1" t="s">
        <v>2835</v>
      </c>
      <c r="C102">
        <v>119.95833333333333</v>
      </c>
      <c r="D102">
        <v>2879</v>
      </c>
      <c r="E102">
        <v>0.37310295552015305</v>
      </c>
      <c r="F102">
        <v>36.714818791486323</v>
      </c>
      <c r="G102">
        <v>1.2959463547070269E-4</v>
      </c>
      <c r="H102">
        <v>1.2752628965434639E-2</v>
      </c>
      <c r="I102">
        <v>5</v>
      </c>
      <c r="J102" t="b">
        <v>1</v>
      </c>
      <c r="K102">
        <v>0.65</v>
      </c>
      <c r="L102">
        <v>1.3</v>
      </c>
      <c r="M102" t="b">
        <v>1</v>
      </c>
      <c r="N102">
        <v>200</v>
      </c>
      <c r="O102" t="b">
        <v>0</v>
      </c>
      <c r="P102" t="b">
        <v>0</v>
      </c>
      <c r="Q102">
        <v>0.7</v>
      </c>
      <c r="R102">
        <v>1175.7398099303246</v>
      </c>
      <c r="S102">
        <v>1921.066144824028</v>
      </c>
      <c r="T102">
        <v>0</v>
      </c>
      <c r="U102">
        <v>0</v>
      </c>
      <c r="V102">
        <v>3096.8059547543526</v>
      </c>
      <c r="W102">
        <v>0</v>
      </c>
      <c r="X102">
        <v>25.815680067420793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3096805954.7543526</v>
      </c>
      <c r="AF102" s="1" t="s">
        <v>2836</v>
      </c>
      <c r="AG102" s="1" t="s">
        <v>2837</v>
      </c>
      <c r="AH102" s="1" t="s">
        <v>2838</v>
      </c>
      <c r="AI102" s="1" t="str">
        <f>_xlfn.TEXTAFTER(_xlfn.TEXTBEFORE(batch_summary[[#This Row],[video]],"_",1),"-",3)</f>
        <v>16</v>
      </c>
      <c r="AJ102" s="1" t="str">
        <f>_xlfn.TEXTBEFORE(_xlfn.TEXTAFTER(batch_summary[[#This Row],[video]],"_",1),"_",1)</f>
        <v>20260316</v>
      </c>
      <c r="AK102" s="1" t="str">
        <f>_xlfn.TEXTBEFORE(_xlfn.TEXTAFTER(batch_summary[[#This Row],[video]],"_",2),".",1)</f>
        <v>080000</v>
      </c>
    </row>
    <row r="103" spans="1:37" x14ac:dyDescent="0.2">
      <c r="A103" s="1" t="s">
        <v>2839</v>
      </c>
      <c r="B103" s="1" t="s">
        <v>2840</v>
      </c>
      <c r="C103">
        <v>119.95833333333333</v>
      </c>
      <c r="D103">
        <v>2879</v>
      </c>
      <c r="E103">
        <v>0.37174655590206385</v>
      </c>
      <c r="F103">
        <v>36.800621517933905</v>
      </c>
      <c r="G103">
        <v>1.2912349979231116E-4</v>
      </c>
      <c r="H103">
        <v>1.2782431927035048E-2</v>
      </c>
      <c r="I103">
        <v>5</v>
      </c>
      <c r="J103" t="b">
        <v>1</v>
      </c>
      <c r="K103">
        <v>0.65</v>
      </c>
      <c r="L103">
        <v>1.3</v>
      </c>
      <c r="M103" t="b">
        <v>1</v>
      </c>
      <c r="N103">
        <v>200</v>
      </c>
      <c r="O103" t="b">
        <v>0</v>
      </c>
      <c r="P103" t="b">
        <v>0</v>
      </c>
      <c r="Q103">
        <v>0.7</v>
      </c>
      <c r="R103">
        <v>6873.0446454286575</v>
      </c>
      <c r="S103">
        <v>10368.139891147614</v>
      </c>
      <c r="T103">
        <v>0</v>
      </c>
      <c r="U103">
        <v>0</v>
      </c>
      <c r="V103">
        <v>17241.184536576271</v>
      </c>
      <c r="W103">
        <v>0</v>
      </c>
      <c r="X103">
        <v>143.72644281967021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17241184536.576271</v>
      </c>
      <c r="AF103" s="1" t="s">
        <v>2841</v>
      </c>
      <c r="AG103" s="1" t="s">
        <v>2842</v>
      </c>
      <c r="AH103" s="1" t="s">
        <v>2843</v>
      </c>
      <c r="AI103" s="1" t="str">
        <f>_xlfn.TEXTAFTER(_xlfn.TEXTBEFORE(batch_summary[[#This Row],[video]],"_",1),"-",3)</f>
        <v>16</v>
      </c>
      <c r="AJ103" s="1" t="str">
        <f>_xlfn.TEXTBEFORE(_xlfn.TEXTAFTER(batch_summary[[#This Row],[video]],"_",1),"_",1)</f>
        <v>20260316</v>
      </c>
      <c r="AK103" s="1" t="str">
        <f>_xlfn.TEXTBEFORE(_xlfn.TEXTAFTER(batch_summary[[#This Row],[video]],"_",2),".",1)</f>
        <v>090000</v>
      </c>
    </row>
    <row r="104" spans="1:37" x14ac:dyDescent="0.2">
      <c r="A104" s="1" t="s">
        <v>2844</v>
      </c>
      <c r="B104" s="1" t="s">
        <v>2845</v>
      </c>
      <c r="C104">
        <v>119.95833333333333</v>
      </c>
      <c r="D104">
        <v>2879</v>
      </c>
      <c r="E104">
        <v>0.37881750892847776</v>
      </c>
      <c r="F104">
        <v>36.968820278532803</v>
      </c>
      <c r="G104">
        <v>1.3157954460871058E-4</v>
      </c>
      <c r="H104">
        <v>1.2840854560101703E-2</v>
      </c>
      <c r="I104">
        <v>5</v>
      </c>
      <c r="J104" t="b">
        <v>1</v>
      </c>
      <c r="K104">
        <v>0.65</v>
      </c>
      <c r="L104">
        <v>1.3</v>
      </c>
      <c r="M104" t="b">
        <v>1</v>
      </c>
      <c r="N104">
        <v>200</v>
      </c>
      <c r="O104" t="b">
        <v>0</v>
      </c>
      <c r="P104" t="b">
        <v>0</v>
      </c>
      <c r="Q104">
        <v>0.7</v>
      </c>
      <c r="R104">
        <v>17251.944211006165</v>
      </c>
      <c r="S104">
        <v>9800.2178136110306</v>
      </c>
      <c r="T104">
        <v>6733.3813629150391</v>
      </c>
      <c r="U104">
        <v>1171.9897308349609</v>
      </c>
      <c r="V104">
        <v>27052.162024617195</v>
      </c>
      <c r="W104">
        <v>7905.37109375</v>
      </c>
      <c r="X104">
        <v>225.51298665884428</v>
      </c>
      <c r="Y104">
        <v>65.90097473080931</v>
      </c>
      <c r="Z104">
        <v>79.0537109375</v>
      </c>
      <c r="AA104">
        <v>1.9763427734375001</v>
      </c>
      <c r="AB104">
        <v>67.333813629150384</v>
      </c>
      <c r="AC104">
        <v>11.719897308349609</v>
      </c>
      <c r="AD104">
        <v>79.0537109375</v>
      </c>
      <c r="AE104">
        <v>3.4219977410048061</v>
      </c>
      <c r="AF104" s="1" t="s">
        <v>2846</v>
      </c>
      <c r="AG104" s="1" t="s">
        <v>2847</v>
      </c>
      <c r="AH104" s="1" t="s">
        <v>2848</v>
      </c>
      <c r="AI104" s="1" t="str">
        <f>_xlfn.TEXTAFTER(_xlfn.TEXTBEFORE(batch_summary[[#This Row],[video]],"_",1),"-",3)</f>
        <v>16</v>
      </c>
      <c r="AJ104" s="1" t="str">
        <f>_xlfn.TEXTBEFORE(_xlfn.TEXTAFTER(batch_summary[[#This Row],[video]],"_",1),"_",1)</f>
        <v>20260316</v>
      </c>
      <c r="AK104" s="1" t="str">
        <f>_xlfn.TEXTBEFORE(_xlfn.TEXTAFTER(batch_summary[[#This Row],[video]],"_",2),".",1)</f>
        <v>100000</v>
      </c>
    </row>
    <row r="105" spans="1:37" x14ac:dyDescent="0.2">
      <c r="A105" s="1" t="s">
        <v>2849</v>
      </c>
      <c r="B105" s="1" t="s">
        <v>2850</v>
      </c>
      <c r="C105">
        <v>119.95833333333333</v>
      </c>
      <c r="D105">
        <v>2879</v>
      </c>
      <c r="E105">
        <v>0.40821369923651218</v>
      </c>
      <c r="F105">
        <v>38.865389283746481</v>
      </c>
      <c r="G105">
        <v>1.4179010046422793E-4</v>
      </c>
      <c r="H105">
        <v>1.3499614200676096E-2</v>
      </c>
      <c r="I105">
        <v>5</v>
      </c>
      <c r="J105" t="b">
        <v>1</v>
      </c>
      <c r="K105">
        <v>0.65</v>
      </c>
      <c r="L105">
        <v>1.3</v>
      </c>
      <c r="M105" t="b">
        <v>1</v>
      </c>
      <c r="N105">
        <v>200</v>
      </c>
      <c r="O105" t="b">
        <v>0</v>
      </c>
      <c r="P105" t="b">
        <v>0</v>
      </c>
      <c r="Q105">
        <v>0.7</v>
      </c>
      <c r="R105">
        <v>5856740.0057048798</v>
      </c>
      <c r="S105">
        <v>7512348.9622406363</v>
      </c>
      <c r="T105">
        <v>5018692.0915900469</v>
      </c>
      <c r="U105">
        <v>6543223.9438575506</v>
      </c>
      <c r="V105">
        <v>13369088.967945516</v>
      </c>
      <c r="W105">
        <v>11561916.035447598</v>
      </c>
      <c r="X105">
        <v>111447.77187589176</v>
      </c>
      <c r="Y105">
        <v>96382.766533776434</v>
      </c>
      <c r="Z105">
        <v>5268.3613545376065</v>
      </c>
      <c r="AA105">
        <v>2890.4790088618997</v>
      </c>
      <c r="AB105">
        <v>50186.920915900468</v>
      </c>
      <c r="AC105">
        <v>65432.239438575503</v>
      </c>
      <c r="AD105">
        <v>115619.16035447597</v>
      </c>
      <c r="AE105">
        <v>1.1563039315419106</v>
      </c>
      <c r="AF105" s="1" t="s">
        <v>2851</v>
      </c>
      <c r="AG105" s="1" t="s">
        <v>2852</v>
      </c>
      <c r="AH105" s="1" t="s">
        <v>2853</v>
      </c>
      <c r="AI105" s="1" t="str">
        <f>_xlfn.TEXTAFTER(_xlfn.TEXTBEFORE(batch_summary[[#This Row],[video]],"_",1),"-",3)</f>
        <v>16</v>
      </c>
      <c r="AJ105" s="1" t="str">
        <f>_xlfn.TEXTBEFORE(_xlfn.TEXTAFTER(batch_summary[[#This Row],[video]],"_",1),"_",1)</f>
        <v>20260316</v>
      </c>
      <c r="AK105" s="1" t="str">
        <f>_xlfn.TEXTBEFORE(_xlfn.TEXTAFTER(batch_summary[[#This Row],[video]],"_",2),".",1)</f>
        <v>110000</v>
      </c>
    </row>
    <row r="106" spans="1:37" x14ac:dyDescent="0.2">
      <c r="A106" s="1" t="s">
        <v>2854</v>
      </c>
      <c r="B106" s="1" t="s">
        <v>2855</v>
      </c>
      <c r="C106">
        <v>119.95833333333333</v>
      </c>
      <c r="D106">
        <v>2879</v>
      </c>
      <c r="E106">
        <v>0.40055690612643957</v>
      </c>
      <c r="F106">
        <v>38.682060877792537</v>
      </c>
      <c r="G106">
        <v>1.3913056829678347E-4</v>
      </c>
      <c r="H106">
        <v>1.3435936393814706E-2</v>
      </c>
      <c r="I106">
        <v>5</v>
      </c>
      <c r="J106" t="b">
        <v>1</v>
      </c>
      <c r="K106">
        <v>0.65</v>
      </c>
      <c r="L106">
        <v>1.3</v>
      </c>
      <c r="M106" t="b">
        <v>1</v>
      </c>
      <c r="N106">
        <v>200</v>
      </c>
      <c r="O106" t="b">
        <v>0</v>
      </c>
      <c r="P106" t="b">
        <v>0</v>
      </c>
      <c r="Q106">
        <v>0.7</v>
      </c>
      <c r="R106">
        <v>12002327.25108242</v>
      </c>
      <c r="S106">
        <v>11425746.773762226</v>
      </c>
      <c r="T106">
        <v>10855611.491243184</v>
      </c>
      <c r="U106">
        <v>10236369.470179677</v>
      </c>
      <c r="V106">
        <v>23428074.024844646</v>
      </c>
      <c r="W106">
        <v>21091980.961422861</v>
      </c>
      <c r="X106">
        <v>195301.76331930238</v>
      </c>
      <c r="Y106">
        <v>175827.55924770707</v>
      </c>
      <c r="Z106">
        <v>9085.8848159766203</v>
      </c>
      <c r="AA106">
        <v>5272.9952403557154</v>
      </c>
      <c r="AB106">
        <v>108556.11491243183</v>
      </c>
      <c r="AC106">
        <v>102363.69470179678</v>
      </c>
      <c r="AD106">
        <v>210919.80961422861</v>
      </c>
      <c r="AE106">
        <v>1.1107574043279524</v>
      </c>
      <c r="AF106" s="1" t="s">
        <v>2856</v>
      </c>
      <c r="AG106" s="1" t="s">
        <v>2857</v>
      </c>
      <c r="AH106" s="1" t="s">
        <v>2858</v>
      </c>
      <c r="AI106" s="1" t="str">
        <f>_xlfn.TEXTAFTER(_xlfn.TEXTBEFORE(batch_summary[[#This Row],[video]],"_",1),"-",3)</f>
        <v>16</v>
      </c>
      <c r="AJ106" s="1" t="str">
        <f>_xlfn.TEXTBEFORE(_xlfn.TEXTAFTER(batch_summary[[#This Row],[video]],"_",1),"_",1)</f>
        <v>20260316</v>
      </c>
      <c r="AK106" s="1" t="str">
        <f>_xlfn.TEXTBEFORE(_xlfn.TEXTAFTER(batch_summary[[#This Row],[video]],"_",2),".",1)</f>
        <v>120000</v>
      </c>
    </row>
    <row r="107" spans="1:37" x14ac:dyDescent="0.2">
      <c r="A107" s="1" t="s">
        <v>2859</v>
      </c>
      <c r="B107" s="1" t="s">
        <v>2860</v>
      </c>
      <c r="C107">
        <v>119.95833333333333</v>
      </c>
      <c r="D107">
        <v>2879</v>
      </c>
      <c r="E107">
        <v>0.41752637550234795</v>
      </c>
      <c r="F107">
        <v>39.324670461937785</v>
      </c>
      <c r="G107">
        <v>1.4502479176879053E-4</v>
      </c>
      <c r="H107">
        <v>1.3659142223667171E-2</v>
      </c>
      <c r="I107">
        <v>5</v>
      </c>
      <c r="J107" t="b">
        <v>1</v>
      </c>
      <c r="K107">
        <v>0.65</v>
      </c>
      <c r="L107">
        <v>1.3</v>
      </c>
      <c r="M107" t="b">
        <v>1</v>
      </c>
      <c r="N107">
        <v>200</v>
      </c>
      <c r="O107" t="b">
        <v>0</v>
      </c>
      <c r="P107" t="b">
        <v>0</v>
      </c>
      <c r="Q107">
        <v>0.7</v>
      </c>
      <c r="R107">
        <v>8485115.9354435802</v>
      </c>
      <c r="S107">
        <v>7956656.3095009923</v>
      </c>
      <c r="T107">
        <v>7527220.5193161368</v>
      </c>
      <c r="U107">
        <v>7003502.4719840288</v>
      </c>
      <c r="V107">
        <v>16441772.244944572</v>
      </c>
      <c r="W107">
        <v>14530722.991300166</v>
      </c>
      <c r="X107">
        <v>137062.35980502598</v>
      </c>
      <c r="Y107">
        <v>121131.41778089754</v>
      </c>
      <c r="Z107">
        <v>7092.5082190012927</v>
      </c>
      <c r="AA107">
        <v>3632.6807478250412</v>
      </c>
      <c r="AB107">
        <v>75272.205193161368</v>
      </c>
      <c r="AC107">
        <v>70035.024719840294</v>
      </c>
      <c r="AD107">
        <v>145307.22991300165</v>
      </c>
      <c r="AE107">
        <v>1.1315178367097487</v>
      </c>
      <c r="AF107" s="1" t="s">
        <v>2861</v>
      </c>
      <c r="AG107" s="1" t="s">
        <v>2862</v>
      </c>
      <c r="AH107" s="1" t="s">
        <v>2863</v>
      </c>
      <c r="AI107" s="1" t="str">
        <f>_xlfn.TEXTAFTER(_xlfn.TEXTBEFORE(batch_summary[[#This Row],[video]],"_",1),"-",3)</f>
        <v>16</v>
      </c>
      <c r="AJ107" s="1" t="str">
        <f>_xlfn.TEXTBEFORE(_xlfn.TEXTAFTER(batch_summary[[#This Row],[video]],"_",1),"_",1)</f>
        <v>20260316</v>
      </c>
      <c r="AK107" s="1" t="str">
        <f>_xlfn.TEXTBEFORE(_xlfn.TEXTAFTER(batch_summary[[#This Row],[video]],"_",2),".",1)</f>
        <v>130000</v>
      </c>
    </row>
    <row r="108" spans="1:37" x14ac:dyDescent="0.2">
      <c r="A108" s="1" t="s">
        <v>2864</v>
      </c>
      <c r="B108" s="1" t="s">
        <v>2865</v>
      </c>
      <c r="C108">
        <v>119.95833333333333</v>
      </c>
      <c r="D108">
        <v>2879</v>
      </c>
      <c r="E108">
        <v>0.39090526010841131</v>
      </c>
      <c r="F108">
        <v>37.35128200892359</v>
      </c>
      <c r="G108">
        <v>1.3577813828010118E-4</v>
      </c>
      <c r="H108">
        <v>1.2973699898896697E-2</v>
      </c>
      <c r="I108">
        <v>5</v>
      </c>
      <c r="J108" t="b">
        <v>1</v>
      </c>
      <c r="K108">
        <v>0.65</v>
      </c>
      <c r="L108">
        <v>1.3</v>
      </c>
      <c r="M108" t="b">
        <v>1</v>
      </c>
      <c r="N108">
        <v>200</v>
      </c>
      <c r="O108" t="b">
        <v>0</v>
      </c>
      <c r="P108" t="b">
        <v>0</v>
      </c>
      <c r="Q108">
        <v>0.7</v>
      </c>
      <c r="R108">
        <v>709165.35657423735</v>
      </c>
      <c r="S108">
        <v>969502.46943175793</v>
      </c>
      <c r="T108">
        <v>578969.49775505066</v>
      </c>
      <c r="U108">
        <v>827495.86645597219</v>
      </c>
      <c r="V108">
        <v>1678667.8260059953</v>
      </c>
      <c r="W108">
        <v>1406465.3642110229</v>
      </c>
      <c r="X108">
        <v>13993.757493624136</v>
      </c>
      <c r="Y108">
        <v>11724.615748893557</v>
      </c>
      <c r="Z108">
        <v>2367.1605896377564</v>
      </c>
      <c r="AA108">
        <v>351.61634105275573</v>
      </c>
      <c r="AB108">
        <v>5789.6949775505063</v>
      </c>
      <c r="AC108">
        <v>8274.9586645597228</v>
      </c>
      <c r="AD108">
        <v>14064.653642110228</v>
      </c>
      <c r="AE108">
        <v>1.1935365553403929</v>
      </c>
      <c r="AF108" s="1" t="s">
        <v>2866</v>
      </c>
      <c r="AG108" s="1" t="s">
        <v>2867</v>
      </c>
      <c r="AH108" s="1" t="s">
        <v>2868</v>
      </c>
      <c r="AI108" s="1" t="str">
        <f>_xlfn.TEXTAFTER(_xlfn.TEXTBEFORE(batch_summary[[#This Row],[video]],"_",1),"-",3)</f>
        <v>16</v>
      </c>
      <c r="AJ108" s="1" t="str">
        <f>_xlfn.TEXTBEFORE(_xlfn.TEXTAFTER(batch_summary[[#This Row],[video]],"_",1),"_",1)</f>
        <v>20260316</v>
      </c>
      <c r="AK108" s="1" t="str">
        <f>_xlfn.TEXTBEFORE(_xlfn.TEXTAFTER(batch_summary[[#This Row],[video]],"_",2),".",1)</f>
        <v>140000</v>
      </c>
    </row>
    <row r="109" spans="1:37" x14ac:dyDescent="0.2">
      <c r="A109" s="1" t="s">
        <v>2869</v>
      </c>
      <c r="B109" s="1" t="s">
        <v>2870</v>
      </c>
      <c r="C109">
        <v>119.95833333333333</v>
      </c>
      <c r="D109">
        <v>2879</v>
      </c>
      <c r="E109">
        <v>0.39714240096509457</v>
      </c>
      <c r="F109">
        <v>37.976391315460205</v>
      </c>
      <c r="G109">
        <v>1.3794456441997032E-4</v>
      </c>
      <c r="H109">
        <v>1.3190827132844809E-2</v>
      </c>
      <c r="I109">
        <v>5</v>
      </c>
      <c r="J109" t="b">
        <v>1</v>
      </c>
      <c r="K109">
        <v>0.65</v>
      </c>
      <c r="L109">
        <v>1.3</v>
      </c>
      <c r="M109" t="b">
        <v>1</v>
      </c>
      <c r="N109">
        <v>200</v>
      </c>
      <c r="O109" t="b">
        <v>0</v>
      </c>
      <c r="P109" t="b">
        <v>0</v>
      </c>
      <c r="Q109">
        <v>0.7</v>
      </c>
      <c r="R109">
        <v>1763641.4552469254</v>
      </c>
      <c r="S109">
        <v>2251879.3322215676</v>
      </c>
      <c r="T109">
        <v>1509211.6624649763</v>
      </c>
      <c r="U109">
        <v>1927227.0161280036</v>
      </c>
      <c r="V109">
        <v>4015520.787468493</v>
      </c>
      <c r="W109">
        <v>3436438.6785929799</v>
      </c>
      <c r="X109">
        <v>33474.296248434817</v>
      </c>
      <c r="Y109">
        <v>28646.935840997401</v>
      </c>
      <c r="Z109">
        <v>3209.4908454179767</v>
      </c>
      <c r="AA109">
        <v>859.10966964824513</v>
      </c>
      <c r="AB109">
        <v>15092.116624649763</v>
      </c>
      <c r="AC109">
        <v>19272.270161280037</v>
      </c>
      <c r="AD109">
        <v>34364.386785929804</v>
      </c>
      <c r="AE109">
        <v>1.1685122776911048</v>
      </c>
      <c r="AF109" s="1" t="s">
        <v>2871</v>
      </c>
      <c r="AG109" s="1" t="s">
        <v>2872</v>
      </c>
      <c r="AH109" s="1" t="s">
        <v>2873</v>
      </c>
      <c r="AI109" s="1" t="str">
        <f>_xlfn.TEXTAFTER(_xlfn.TEXTBEFORE(batch_summary[[#This Row],[video]],"_",1),"-",3)</f>
        <v>16</v>
      </c>
      <c r="AJ109" s="1" t="str">
        <f>_xlfn.TEXTBEFORE(_xlfn.TEXTAFTER(batch_summary[[#This Row],[video]],"_",1),"_",1)</f>
        <v>20260316</v>
      </c>
      <c r="AK109" s="1" t="str">
        <f>_xlfn.TEXTBEFORE(_xlfn.TEXTAFTER(batch_summary[[#This Row],[video]],"_",2),".",1)</f>
        <v>150000</v>
      </c>
    </row>
    <row r="110" spans="1:37" x14ac:dyDescent="0.2">
      <c r="A110" s="1" t="s">
        <v>2874</v>
      </c>
      <c r="B110" s="1" t="s">
        <v>2875</v>
      </c>
      <c r="C110">
        <v>119.95833333333333</v>
      </c>
      <c r="D110">
        <v>2879</v>
      </c>
      <c r="E110">
        <v>0.39029116742312908</v>
      </c>
      <c r="F110">
        <v>37.776278148405254</v>
      </c>
      <c r="G110">
        <v>1.3556483759052763E-4</v>
      </c>
      <c r="H110">
        <v>1.3121319259605854E-2</v>
      </c>
      <c r="I110">
        <v>5</v>
      </c>
      <c r="J110" t="b">
        <v>1</v>
      </c>
      <c r="K110">
        <v>0.65</v>
      </c>
      <c r="L110">
        <v>1.3</v>
      </c>
      <c r="M110" t="b">
        <v>1</v>
      </c>
      <c r="N110">
        <v>200</v>
      </c>
      <c r="O110" t="b">
        <v>0</v>
      </c>
      <c r="P110" t="b">
        <v>0</v>
      </c>
      <c r="Q110">
        <v>0.7</v>
      </c>
      <c r="R110">
        <v>921277.90429085493</v>
      </c>
      <c r="S110">
        <v>778921.68774372339</v>
      </c>
      <c r="T110">
        <v>773928.98012638092</v>
      </c>
      <c r="U110">
        <v>609659.63737249374</v>
      </c>
      <c r="V110">
        <v>1700199.5920345783</v>
      </c>
      <c r="W110">
        <v>1383588.6174988747</v>
      </c>
      <c r="X110">
        <v>14173.251201399751</v>
      </c>
      <c r="Y110">
        <v>11533.909975676621</v>
      </c>
      <c r="Z110">
        <v>1557.9248044490814</v>
      </c>
      <c r="AA110">
        <v>345.8971543747187</v>
      </c>
      <c r="AB110">
        <v>7739.2898012638088</v>
      </c>
      <c r="AC110">
        <v>6096.5963737249376</v>
      </c>
      <c r="AD110">
        <v>13835.886174988747</v>
      </c>
      <c r="AE110">
        <v>1.2288331737710043</v>
      </c>
      <c r="AF110" s="1" t="s">
        <v>2876</v>
      </c>
      <c r="AG110" s="1" t="s">
        <v>2877</v>
      </c>
      <c r="AH110" s="1" t="s">
        <v>2878</v>
      </c>
      <c r="AI110" s="1" t="str">
        <f>_xlfn.TEXTAFTER(_xlfn.TEXTBEFORE(batch_summary[[#This Row],[video]],"_",1),"-",3)</f>
        <v>16</v>
      </c>
      <c r="AJ110" s="1" t="str">
        <f>_xlfn.TEXTBEFORE(_xlfn.TEXTAFTER(batch_summary[[#This Row],[video]],"_",1),"_",1)</f>
        <v>20260316</v>
      </c>
      <c r="AK110" s="1" t="str">
        <f>_xlfn.TEXTBEFORE(_xlfn.TEXTAFTER(batch_summary[[#This Row],[video]],"_",2),".",1)</f>
        <v>160000</v>
      </c>
    </row>
    <row r="111" spans="1:37" x14ac:dyDescent="0.2">
      <c r="A111" s="1" t="s">
        <v>2879</v>
      </c>
      <c r="B111" s="1" t="s">
        <v>2880</v>
      </c>
      <c r="C111">
        <v>119.95833333333333</v>
      </c>
      <c r="D111">
        <v>2879</v>
      </c>
      <c r="E111">
        <v>0.37849386129528284</v>
      </c>
      <c r="F111">
        <v>36.93304989580065</v>
      </c>
      <c r="G111">
        <v>1.3146712792472484E-4</v>
      </c>
      <c r="H111">
        <v>1.2828429974227389E-2</v>
      </c>
      <c r="I111">
        <v>5</v>
      </c>
      <c r="J111" t="b">
        <v>1</v>
      </c>
      <c r="K111">
        <v>0.65</v>
      </c>
      <c r="L111">
        <v>1.3</v>
      </c>
      <c r="M111" t="b">
        <v>1</v>
      </c>
      <c r="N111">
        <v>200</v>
      </c>
      <c r="O111" t="b">
        <v>0</v>
      </c>
      <c r="P111" t="b">
        <v>0</v>
      </c>
      <c r="Q111">
        <v>0.7</v>
      </c>
      <c r="R111">
        <v>134512.35965251923</v>
      </c>
      <c r="S111">
        <v>33284.594821095467</v>
      </c>
      <c r="T111">
        <v>109306.52149772644</v>
      </c>
      <c r="U111">
        <v>21702.292332291603</v>
      </c>
      <c r="V111">
        <v>167796.95447361469</v>
      </c>
      <c r="W111">
        <v>131008.81383001804</v>
      </c>
      <c r="X111">
        <v>1398.7936461850479</v>
      </c>
      <c r="Y111">
        <v>1092.1193233485353</v>
      </c>
      <c r="Z111">
        <v>681.89696018815039</v>
      </c>
      <c r="AA111">
        <v>32.752203457504514</v>
      </c>
      <c r="AB111">
        <v>1093.0652149772643</v>
      </c>
      <c r="AC111">
        <v>217.02292332291603</v>
      </c>
      <c r="AD111">
        <v>1310.0881383001804</v>
      </c>
      <c r="AE111">
        <v>1.2808066081059912</v>
      </c>
      <c r="AF111" s="1" t="s">
        <v>2881</v>
      </c>
      <c r="AG111" s="1" t="s">
        <v>2882</v>
      </c>
      <c r="AH111" s="1" t="s">
        <v>2883</v>
      </c>
      <c r="AI111" s="1" t="str">
        <f>_xlfn.TEXTAFTER(_xlfn.TEXTBEFORE(batch_summary[[#This Row],[video]],"_",1),"-",3)</f>
        <v>16</v>
      </c>
      <c r="AJ111" s="1" t="str">
        <f>_xlfn.TEXTBEFORE(_xlfn.TEXTAFTER(batch_summary[[#This Row],[video]],"_",1),"_",1)</f>
        <v>20260316</v>
      </c>
      <c r="AK111" s="1" t="str">
        <f>_xlfn.TEXTBEFORE(_xlfn.TEXTAFTER(batch_summary[[#This Row],[video]],"_",2),".",1)</f>
        <v>170000</v>
      </c>
    </row>
    <row r="112" spans="1:37" x14ac:dyDescent="0.2">
      <c r="A112" s="1" t="s">
        <v>2884</v>
      </c>
      <c r="B112" s="1" t="s">
        <v>2885</v>
      </c>
      <c r="C112">
        <v>119.95833333333333</v>
      </c>
      <c r="D112">
        <v>2879</v>
      </c>
      <c r="E112">
        <v>0.38351945672184229</v>
      </c>
      <c r="F112">
        <v>37.268069195561111</v>
      </c>
      <c r="G112">
        <v>1.3321273244940683E-4</v>
      </c>
      <c r="H112">
        <v>1.294479652502991E-2</v>
      </c>
      <c r="I112">
        <v>5</v>
      </c>
      <c r="J112" t="b">
        <v>1</v>
      </c>
      <c r="K112">
        <v>0.65</v>
      </c>
      <c r="L112">
        <v>1.3</v>
      </c>
      <c r="M112" t="b">
        <v>1</v>
      </c>
      <c r="N112">
        <v>200</v>
      </c>
      <c r="O112" t="b">
        <v>0</v>
      </c>
      <c r="P112" t="b">
        <v>0</v>
      </c>
      <c r="Q112">
        <v>0.7</v>
      </c>
      <c r="R112">
        <v>42883.135903000832</v>
      </c>
      <c r="S112">
        <v>68209.206038713455</v>
      </c>
      <c r="T112">
        <v>28396.359344482422</v>
      </c>
      <c r="U112">
        <v>55384.877578735352</v>
      </c>
      <c r="V112">
        <v>111092.34194171429</v>
      </c>
      <c r="W112">
        <v>83781.236923217773</v>
      </c>
      <c r="X112">
        <v>926.09107558219625</v>
      </c>
      <c r="Y112">
        <v>698.41948112442742</v>
      </c>
      <c r="Z112">
        <v>394.26160125732423</v>
      </c>
      <c r="AA112">
        <v>20.945309230804444</v>
      </c>
      <c r="AB112">
        <v>283.9635934448242</v>
      </c>
      <c r="AC112">
        <v>553.84877578735347</v>
      </c>
      <c r="AD112">
        <v>837.81236923217762</v>
      </c>
      <c r="AE112">
        <v>1.3259811626262581</v>
      </c>
      <c r="AF112" s="1" t="s">
        <v>2886</v>
      </c>
      <c r="AG112" s="1" t="s">
        <v>2887</v>
      </c>
      <c r="AH112" s="1" t="s">
        <v>2888</v>
      </c>
      <c r="AI112" s="1" t="str">
        <f>_xlfn.TEXTAFTER(_xlfn.TEXTBEFORE(batch_summary[[#This Row],[video]],"_",1),"-",3)</f>
        <v>16</v>
      </c>
      <c r="AJ112" s="1" t="str">
        <f>_xlfn.TEXTBEFORE(_xlfn.TEXTAFTER(batch_summary[[#This Row],[video]],"_",1),"_",1)</f>
        <v>20260316</v>
      </c>
      <c r="AK112" s="1" t="str">
        <f>_xlfn.TEXTBEFORE(_xlfn.TEXTAFTER(batch_summary[[#This Row],[video]],"_",2),".",1)</f>
        <v>180000</v>
      </c>
    </row>
    <row r="113" spans="1:37" x14ac:dyDescent="0.2">
      <c r="A113" s="1" t="s">
        <v>2889</v>
      </c>
      <c r="B113" s="1" t="s">
        <v>2890</v>
      </c>
      <c r="C113">
        <v>119.95833333333333</v>
      </c>
      <c r="D113">
        <v>2879</v>
      </c>
      <c r="E113">
        <v>0.3781110467389226</v>
      </c>
      <c r="F113">
        <v>36.816994778811932</v>
      </c>
      <c r="G113">
        <v>1.3133416003436004E-4</v>
      </c>
      <c r="H113">
        <v>1.2788119061761699E-2</v>
      </c>
      <c r="I113">
        <v>5</v>
      </c>
      <c r="J113" t="b">
        <v>1</v>
      </c>
      <c r="K113">
        <v>0.65</v>
      </c>
      <c r="L113">
        <v>1.3</v>
      </c>
      <c r="M113" t="b">
        <v>1</v>
      </c>
      <c r="N113">
        <v>200</v>
      </c>
      <c r="O113" t="b">
        <v>0</v>
      </c>
      <c r="P113" t="b">
        <v>0</v>
      </c>
      <c r="Q113">
        <v>0.7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s="1" t="s">
        <v>2891</v>
      </c>
      <c r="AG113" s="1" t="s">
        <v>2892</v>
      </c>
      <c r="AH113" s="1" t="s">
        <v>2893</v>
      </c>
      <c r="AI113" s="1" t="str">
        <f>_xlfn.TEXTAFTER(_xlfn.TEXTBEFORE(batch_summary[[#This Row],[video]],"_",1),"-",3)</f>
        <v>16</v>
      </c>
      <c r="AJ113" s="1" t="str">
        <f>_xlfn.TEXTBEFORE(_xlfn.TEXTAFTER(batch_summary[[#This Row],[video]],"_",1),"_",1)</f>
        <v>20260316</v>
      </c>
      <c r="AK113" s="1" t="str">
        <f>_xlfn.TEXTBEFORE(_xlfn.TEXTAFTER(batch_summary[[#This Row],[video]],"_",2),".",1)</f>
        <v>190000</v>
      </c>
    </row>
    <row r="114" spans="1:37" x14ac:dyDescent="0.2">
      <c r="A114" s="1" t="s">
        <v>2894</v>
      </c>
      <c r="B114" s="1" t="s">
        <v>2895</v>
      </c>
      <c r="C114">
        <v>119.95833333333333</v>
      </c>
      <c r="D114">
        <v>2879</v>
      </c>
      <c r="E114">
        <v>0.37364821508526802</v>
      </c>
      <c r="F114">
        <v>36.923311441205442</v>
      </c>
      <c r="G114">
        <v>1.2978402746970059E-4</v>
      </c>
      <c r="H114">
        <v>1.2825047391874069E-2</v>
      </c>
      <c r="I114">
        <v>5</v>
      </c>
      <c r="J114" t="b">
        <v>1</v>
      </c>
      <c r="K114">
        <v>0.65</v>
      </c>
      <c r="L114">
        <v>1.3</v>
      </c>
      <c r="M114" t="b">
        <v>1</v>
      </c>
      <c r="N114">
        <v>200</v>
      </c>
      <c r="O114" t="b">
        <v>0</v>
      </c>
      <c r="P114" t="b">
        <v>0</v>
      </c>
      <c r="Q114">
        <v>0.7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s="1" t="s">
        <v>2896</v>
      </c>
      <c r="AG114" s="1" t="s">
        <v>2897</v>
      </c>
      <c r="AH114" s="1" t="s">
        <v>2898</v>
      </c>
      <c r="AI114" s="1" t="str">
        <f>_xlfn.TEXTAFTER(_xlfn.TEXTBEFORE(batch_summary[[#This Row],[video]],"_",1),"-",3)</f>
        <v>16</v>
      </c>
      <c r="AJ114" s="1" t="str">
        <f>_xlfn.TEXTBEFORE(_xlfn.TEXTAFTER(batch_summary[[#This Row],[video]],"_",1),"_",1)</f>
        <v>20260317</v>
      </c>
      <c r="AK114" s="1" t="str">
        <f>_xlfn.TEXTBEFORE(_xlfn.TEXTAFTER(batch_summary[[#This Row],[video]],"_",2),".",1)</f>
        <v>060000</v>
      </c>
    </row>
    <row r="115" spans="1:37" x14ac:dyDescent="0.2">
      <c r="A115" s="1" t="s">
        <v>2899</v>
      </c>
      <c r="B115" s="1" t="s">
        <v>2900</v>
      </c>
      <c r="C115">
        <v>119.95833333333333</v>
      </c>
      <c r="D115">
        <v>2879</v>
      </c>
      <c r="E115">
        <v>0.38168720807880163</v>
      </c>
      <c r="F115">
        <v>37.12502914480865</v>
      </c>
      <c r="G115">
        <v>1.3257631402528714E-4</v>
      </c>
      <c r="H115">
        <v>1.2895112589374313E-2</v>
      </c>
      <c r="I115">
        <v>5</v>
      </c>
      <c r="J115" t="b">
        <v>1</v>
      </c>
      <c r="K115">
        <v>0.65</v>
      </c>
      <c r="L115">
        <v>1.3</v>
      </c>
      <c r="M115" t="b">
        <v>1</v>
      </c>
      <c r="N115">
        <v>200</v>
      </c>
      <c r="O115" t="b">
        <v>0</v>
      </c>
      <c r="P115" t="b">
        <v>0</v>
      </c>
      <c r="Q115">
        <v>0.7</v>
      </c>
      <c r="R115">
        <v>5208.4510504603386</v>
      </c>
      <c r="S115">
        <v>5340.3972976207733</v>
      </c>
      <c r="T115">
        <v>0</v>
      </c>
      <c r="U115">
        <v>0</v>
      </c>
      <c r="V115">
        <v>10548.848348081112</v>
      </c>
      <c r="W115">
        <v>0</v>
      </c>
      <c r="X115">
        <v>87.93760345743199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10548848348.081112</v>
      </c>
      <c r="AF115" s="1" t="s">
        <v>2901</v>
      </c>
      <c r="AG115" s="1" t="s">
        <v>2902</v>
      </c>
      <c r="AH115" s="1" t="s">
        <v>2903</v>
      </c>
      <c r="AI115" s="1" t="str">
        <f>_xlfn.TEXTAFTER(_xlfn.TEXTBEFORE(batch_summary[[#This Row],[video]],"_",1),"-",3)</f>
        <v>16</v>
      </c>
      <c r="AJ115" s="1" t="str">
        <f>_xlfn.TEXTBEFORE(_xlfn.TEXTAFTER(batch_summary[[#This Row],[video]],"_",1),"_",1)</f>
        <v>20260317</v>
      </c>
      <c r="AK115" s="1" t="str">
        <f>_xlfn.TEXTBEFORE(_xlfn.TEXTAFTER(batch_summary[[#This Row],[video]],"_",2),".",1)</f>
        <v>070000</v>
      </c>
    </row>
    <row r="116" spans="1:37" x14ac:dyDescent="0.2">
      <c r="A116" s="1" t="s">
        <v>2904</v>
      </c>
      <c r="B116" s="1" t="s">
        <v>2905</v>
      </c>
      <c r="C116">
        <v>119.95833333333333</v>
      </c>
      <c r="D116">
        <v>2879</v>
      </c>
      <c r="E116">
        <v>0.37412493862211704</v>
      </c>
      <c r="F116">
        <v>36.822560309432447</v>
      </c>
      <c r="G116">
        <v>1.2994961397086387E-4</v>
      </c>
      <c r="H116">
        <v>1.2790052208903247E-2</v>
      </c>
      <c r="I116">
        <v>5</v>
      </c>
      <c r="J116" t="b">
        <v>1</v>
      </c>
      <c r="K116">
        <v>0.65</v>
      </c>
      <c r="L116">
        <v>1.3</v>
      </c>
      <c r="M116" t="b">
        <v>1</v>
      </c>
      <c r="N116">
        <v>200</v>
      </c>
      <c r="O116" t="b">
        <v>0</v>
      </c>
      <c r="P116" t="b">
        <v>0</v>
      </c>
      <c r="Q116">
        <v>0.7</v>
      </c>
      <c r="R116">
        <v>23882.612712085247</v>
      </c>
      <c r="S116">
        <v>21034.20345044136</v>
      </c>
      <c r="T116">
        <v>0</v>
      </c>
      <c r="U116">
        <v>361.939453125</v>
      </c>
      <c r="V116">
        <v>44916.816162526608</v>
      </c>
      <c r="W116">
        <v>361.939453125</v>
      </c>
      <c r="X116">
        <v>374.43681413707492</v>
      </c>
      <c r="Y116">
        <v>3.0172097516498786</v>
      </c>
      <c r="Z116">
        <v>3.6193945312500002</v>
      </c>
      <c r="AA116">
        <v>9.0484863281250008E-2</v>
      </c>
      <c r="AB116">
        <v>0</v>
      </c>
      <c r="AC116">
        <v>3.6193945312500002</v>
      </c>
      <c r="AD116">
        <v>3.6193945312500002</v>
      </c>
      <c r="AE116">
        <v>124.10035925819356</v>
      </c>
      <c r="AF116" s="1" t="s">
        <v>2906</v>
      </c>
      <c r="AG116" s="1" t="s">
        <v>2907</v>
      </c>
      <c r="AH116" s="1" t="s">
        <v>2908</v>
      </c>
      <c r="AI116" s="1" t="str">
        <f>_xlfn.TEXTAFTER(_xlfn.TEXTBEFORE(batch_summary[[#This Row],[video]],"_",1),"-",3)</f>
        <v>16</v>
      </c>
      <c r="AJ116" s="1" t="str">
        <f>_xlfn.TEXTBEFORE(_xlfn.TEXTAFTER(batch_summary[[#This Row],[video]],"_",1),"_",1)</f>
        <v>20260317</v>
      </c>
      <c r="AK116" s="1" t="str">
        <f>_xlfn.TEXTBEFORE(_xlfn.TEXTAFTER(batch_summary[[#This Row],[video]],"_",2),".",1)</f>
        <v>080000</v>
      </c>
    </row>
    <row r="117" spans="1:37" x14ac:dyDescent="0.2">
      <c r="A117" s="1" t="s">
        <v>2909</v>
      </c>
      <c r="B117" s="1" t="s">
        <v>2910</v>
      </c>
      <c r="C117">
        <v>119.95833333333333</v>
      </c>
      <c r="D117">
        <v>2879</v>
      </c>
      <c r="E117">
        <v>0.37562122661620378</v>
      </c>
      <c r="F117">
        <v>36.745507950894535</v>
      </c>
      <c r="G117">
        <v>1.3046933887329065E-4</v>
      </c>
      <c r="H117">
        <v>1.2763288624833113E-2</v>
      </c>
      <c r="I117">
        <v>5</v>
      </c>
      <c r="J117" t="b">
        <v>1</v>
      </c>
      <c r="K117">
        <v>0.65</v>
      </c>
      <c r="L117">
        <v>1.3</v>
      </c>
      <c r="M117" t="b">
        <v>1</v>
      </c>
      <c r="N117">
        <v>200</v>
      </c>
      <c r="O117" t="b">
        <v>0</v>
      </c>
      <c r="P117" t="b">
        <v>0</v>
      </c>
      <c r="Q117">
        <v>0.7</v>
      </c>
      <c r="R117">
        <v>12269.874471724033</v>
      </c>
      <c r="S117">
        <v>16755.587947487831</v>
      </c>
      <c r="T117">
        <v>0</v>
      </c>
      <c r="U117">
        <v>0</v>
      </c>
      <c r="V117">
        <v>29025.462419211864</v>
      </c>
      <c r="W117">
        <v>0</v>
      </c>
      <c r="X117">
        <v>241.96286837828578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29025462419.211864</v>
      </c>
      <c r="AF117" s="1" t="s">
        <v>2911</v>
      </c>
      <c r="AG117" s="1" t="s">
        <v>2912</v>
      </c>
      <c r="AH117" s="1" t="s">
        <v>2913</v>
      </c>
      <c r="AI117" s="1" t="str">
        <f>_xlfn.TEXTAFTER(_xlfn.TEXTBEFORE(batch_summary[[#This Row],[video]],"_",1),"-",3)</f>
        <v>16</v>
      </c>
      <c r="AJ117" s="1" t="str">
        <f>_xlfn.TEXTBEFORE(_xlfn.TEXTAFTER(batch_summary[[#This Row],[video]],"_",1),"_",1)</f>
        <v>20260317</v>
      </c>
      <c r="AK117" s="1" t="str">
        <f>_xlfn.TEXTBEFORE(_xlfn.TEXTAFTER(batch_summary[[#This Row],[video]],"_",2),".",1)</f>
        <v>090000</v>
      </c>
    </row>
    <row r="118" spans="1:37" x14ac:dyDescent="0.2">
      <c r="A118" s="1" t="s">
        <v>2914</v>
      </c>
      <c r="B118" s="1" t="s">
        <v>2915</v>
      </c>
      <c r="C118">
        <v>119.95833333333333</v>
      </c>
      <c r="D118">
        <v>2879</v>
      </c>
      <c r="E118">
        <v>0.37338741961866617</v>
      </c>
      <c r="F118">
        <v>36.866095288656652</v>
      </c>
      <c r="G118">
        <v>1.2969344203496569E-4</v>
      </c>
      <c r="H118">
        <v>1.2805173771676504E-2</v>
      </c>
      <c r="I118">
        <v>5</v>
      </c>
      <c r="J118" t="b">
        <v>1</v>
      </c>
      <c r="K118">
        <v>0.65</v>
      </c>
      <c r="L118">
        <v>1.3</v>
      </c>
      <c r="M118" t="b">
        <v>1</v>
      </c>
      <c r="N118">
        <v>200</v>
      </c>
      <c r="O118" t="b">
        <v>0</v>
      </c>
      <c r="P118" t="b">
        <v>0</v>
      </c>
      <c r="Q118">
        <v>0.7</v>
      </c>
      <c r="R118">
        <v>70869.486807882786</v>
      </c>
      <c r="S118">
        <v>101986.0402148366</v>
      </c>
      <c r="T118">
        <v>48884.47167634964</v>
      </c>
      <c r="U118">
        <v>76211.180603027344</v>
      </c>
      <c r="V118">
        <v>172855.52702271938</v>
      </c>
      <c r="W118">
        <v>125095.65227937698</v>
      </c>
      <c r="X118">
        <v>1440.9630595850174</v>
      </c>
      <c r="Y118">
        <v>1042.8258613077624</v>
      </c>
      <c r="Z118">
        <v>405.06710400104527</v>
      </c>
      <c r="AA118">
        <v>31.273913069844248</v>
      </c>
      <c r="AB118">
        <v>488.84471676349642</v>
      </c>
      <c r="AC118">
        <v>762.11180603027344</v>
      </c>
      <c r="AD118">
        <v>1250.9565227937699</v>
      </c>
      <c r="AE118">
        <v>1.3817868476889983</v>
      </c>
      <c r="AF118" s="1" t="s">
        <v>2916</v>
      </c>
      <c r="AG118" s="1" t="s">
        <v>2917</v>
      </c>
      <c r="AH118" s="1" t="s">
        <v>2918</v>
      </c>
      <c r="AI118" s="1" t="str">
        <f>_xlfn.TEXTAFTER(_xlfn.TEXTBEFORE(batch_summary[[#This Row],[video]],"_",1),"-",3)</f>
        <v>16</v>
      </c>
      <c r="AJ118" s="1" t="str">
        <f>_xlfn.TEXTBEFORE(_xlfn.TEXTAFTER(batch_summary[[#This Row],[video]],"_",1),"_",1)</f>
        <v>20260317</v>
      </c>
      <c r="AK118" s="1" t="str">
        <f>_xlfn.TEXTBEFORE(_xlfn.TEXTAFTER(batch_summary[[#This Row],[video]],"_",2),".",1)</f>
        <v>100000</v>
      </c>
    </row>
    <row r="119" spans="1:37" x14ac:dyDescent="0.2">
      <c r="A119" s="1" t="s">
        <v>2919</v>
      </c>
      <c r="B119" s="1" t="s">
        <v>2920</v>
      </c>
      <c r="C119">
        <v>119.95833333333333</v>
      </c>
      <c r="D119">
        <v>2879</v>
      </c>
      <c r="E119">
        <v>0.41364806052297354</v>
      </c>
      <c r="F119">
        <v>38.972743620164692</v>
      </c>
      <c r="G119">
        <v>1.4367768687842083E-4</v>
      </c>
      <c r="H119">
        <v>1.3536902959418094E-2</v>
      </c>
      <c r="I119">
        <v>5</v>
      </c>
      <c r="J119" t="b">
        <v>1</v>
      </c>
      <c r="K119">
        <v>0.65</v>
      </c>
      <c r="L119">
        <v>1.3</v>
      </c>
      <c r="M119" t="b">
        <v>1</v>
      </c>
      <c r="N119">
        <v>200</v>
      </c>
      <c r="O119" t="b">
        <v>0</v>
      </c>
      <c r="P119" t="b">
        <v>0</v>
      </c>
      <c r="Q119">
        <v>0.7</v>
      </c>
      <c r="R119">
        <v>2577457.9769953489</v>
      </c>
      <c r="S119">
        <v>2857154.9277774096</v>
      </c>
      <c r="T119">
        <v>2047659.8837504387</v>
      </c>
      <c r="U119">
        <v>2294752.4444832206</v>
      </c>
      <c r="V119">
        <v>5434612.9047727585</v>
      </c>
      <c r="W119">
        <v>4342412.3282336593</v>
      </c>
      <c r="X119">
        <v>45304.171488206397</v>
      </c>
      <c r="Y119">
        <v>36199.338616744644</v>
      </c>
      <c r="Z119">
        <v>3084.135179257989</v>
      </c>
      <c r="AA119">
        <v>1085.6030820584149</v>
      </c>
      <c r="AB119">
        <v>20476.598837504385</v>
      </c>
      <c r="AC119">
        <v>22947.524444832205</v>
      </c>
      <c r="AD119">
        <v>43424.123282336586</v>
      </c>
      <c r="AE119">
        <v>1.2515193155283271</v>
      </c>
      <c r="AF119" s="1" t="s">
        <v>2921</v>
      </c>
      <c r="AG119" s="1" t="s">
        <v>2922</v>
      </c>
      <c r="AH119" s="1" t="s">
        <v>2923</v>
      </c>
      <c r="AI119" s="1" t="str">
        <f>_xlfn.TEXTAFTER(_xlfn.TEXTBEFORE(batch_summary[[#This Row],[video]],"_",1),"-",3)</f>
        <v>16</v>
      </c>
      <c r="AJ119" s="1" t="str">
        <f>_xlfn.TEXTBEFORE(_xlfn.TEXTAFTER(batch_summary[[#This Row],[video]],"_",1),"_",1)</f>
        <v>20260317</v>
      </c>
      <c r="AK119" s="1" t="str">
        <f>_xlfn.TEXTBEFORE(_xlfn.TEXTAFTER(batch_summary[[#This Row],[video]],"_",2),".",1)</f>
        <v>110000</v>
      </c>
    </row>
    <row r="120" spans="1:37" x14ac:dyDescent="0.2">
      <c r="A120" s="1" t="s">
        <v>2924</v>
      </c>
      <c r="B120" s="1" t="s">
        <v>2925</v>
      </c>
      <c r="C120">
        <v>119.95833333333333</v>
      </c>
      <c r="D120">
        <v>2879</v>
      </c>
      <c r="E120">
        <v>0.40478373225778341</v>
      </c>
      <c r="F120">
        <v>38.582878445275128</v>
      </c>
      <c r="G120">
        <v>1.4059872603604842E-4</v>
      </c>
      <c r="H120">
        <v>1.3401486087278614E-2</v>
      </c>
      <c r="I120">
        <v>5</v>
      </c>
      <c r="J120" t="b">
        <v>1</v>
      </c>
      <c r="K120">
        <v>0.65</v>
      </c>
      <c r="L120">
        <v>1.3</v>
      </c>
      <c r="M120" t="b">
        <v>1</v>
      </c>
      <c r="N120">
        <v>200</v>
      </c>
      <c r="O120" t="b">
        <v>0</v>
      </c>
      <c r="P120" t="b">
        <v>0</v>
      </c>
      <c r="Q120">
        <v>0.7</v>
      </c>
      <c r="R120">
        <v>7379254.0310266018</v>
      </c>
      <c r="S120">
        <v>6877060.6661846042</v>
      </c>
      <c r="T120">
        <v>6264285.5084068179</v>
      </c>
      <c r="U120">
        <v>5889886.3532168865</v>
      </c>
      <c r="V120">
        <v>14256314.697211206</v>
      </c>
      <c r="W120">
        <v>12154171.861623704</v>
      </c>
      <c r="X120">
        <v>118843.88771555018</v>
      </c>
      <c r="Y120">
        <v>101319.94605035392</v>
      </c>
      <c r="Z120">
        <v>6292.6649608421321</v>
      </c>
      <c r="AA120">
        <v>3038.5429654059262</v>
      </c>
      <c r="AB120">
        <v>62642.855084068178</v>
      </c>
      <c r="AC120">
        <v>58898.863532168863</v>
      </c>
      <c r="AD120">
        <v>121541.71861623705</v>
      </c>
      <c r="AE120">
        <v>1.1729564843677198</v>
      </c>
      <c r="AF120" s="1" t="s">
        <v>2926</v>
      </c>
      <c r="AG120" s="1" t="s">
        <v>2927</v>
      </c>
      <c r="AH120" s="1" t="s">
        <v>2928</v>
      </c>
      <c r="AI120" s="1" t="str">
        <f>_xlfn.TEXTAFTER(_xlfn.TEXTBEFORE(batch_summary[[#This Row],[video]],"_",1),"-",3)</f>
        <v>16</v>
      </c>
      <c r="AJ120" s="1" t="str">
        <f>_xlfn.TEXTBEFORE(_xlfn.TEXTAFTER(batch_summary[[#This Row],[video]],"_",1),"_",1)</f>
        <v>20260317</v>
      </c>
      <c r="AK120" s="1" t="str">
        <f>_xlfn.TEXTBEFORE(_xlfn.TEXTAFTER(batch_summary[[#This Row],[video]],"_",2),".",1)</f>
        <v>120000</v>
      </c>
    </row>
    <row r="121" spans="1:37" x14ac:dyDescent="0.2">
      <c r="A121" s="1" t="s">
        <v>2929</v>
      </c>
      <c r="B121" s="1" t="s">
        <v>2930</v>
      </c>
      <c r="C121">
        <v>119.95833333333333</v>
      </c>
      <c r="D121">
        <v>2879</v>
      </c>
      <c r="E121">
        <v>0.39289058838039637</v>
      </c>
      <c r="F121">
        <v>38.840424684807658</v>
      </c>
      <c r="G121">
        <v>1.3646772781535129E-4</v>
      </c>
      <c r="H121">
        <v>1.3490942926296512E-2</v>
      </c>
      <c r="I121">
        <v>5</v>
      </c>
      <c r="J121" t="b">
        <v>1</v>
      </c>
      <c r="K121">
        <v>0.65</v>
      </c>
      <c r="L121">
        <v>1.3</v>
      </c>
      <c r="M121" t="b">
        <v>1</v>
      </c>
      <c r="N121">
        <v>200</v>
      </c>
      <c r="O121" t="b">
        <v>0</v>
      </c>
      <c r="P121" t="b">
        <v>0</v>
      </c>
      <c r="Q121">
        <v>0.7</v>
      </c>
      <c r="R121">
        <v>5076460.8799048066</v>
      </c>
      <c r="S121">
        <v>5506808.360781908</v>
      </c>
      <c r="T121">
        <v>4345437.1765142083</v>
      </c>
      <c r="U121">
        <v>4774886.5440969467</v>
      </c>
      <c r="V121">
        <v>10583269.240686715</v>
      </c>
      <c r="W121">
        <v>9120323.720611155</v>
      </c>
      <c r="X121">
        <v>88224.543861229991</v>
      </c>
      <c r="Y121">
        <v>76029.096663656732</v>
      </c>
      <c r="Z121">
        <v>5779.2579323768623</v>
      </c>
      <c r="AA121">
        <v>2280.0809301527888</v>
      </c>
      <c r="AB121">
        <v>43454.371765142081</v>
      </c>
      <c r="AC121">
        <v>47748.865440969465</v>
      </c>
      <c r="AD121">
        <v>91203.237206111546</v>
      </c>
      <c r="AE121">
        <v>1.1604049993060475</v>
      </c>
      <c r="AF121" s="1" t="s">
        <v>2931</v>
      </c>
      <c r="AG121" s="1" t="s">
        <v>2932</v>
      </c>
      <c r="AH121" s="1" t="s">
        <v>2933</v>
      </c>
      <c r="AI121" s="1" t="str">
        <f>_xlfn.TEXTAFTER(_xlfn.TEXTBEFORE(batch_summary[[#This Row],[video]],"_",1),"-",3)</f>
        <v>16</v>
      </c>
      <c r="AJ121" s="1" t="str">
        <f>_xlfn.TEXTBEFORE(_xlfn.TEXTAFTER(batch_summary[[#This Row],[video]],"_",1),"_",1)</f>
        <v>20260317</v>
      </c>
      <c r="AK121" s="1" t="str">
        <f>_xlfn.TEXTBEFORE(_xlfn.TEXTAFTER(batch_summary[[#This Row],[video]],"_",2),".",1)</f>
        <v>130000</v>
      </c>
    </row>
    <row r="122" spans="1:37" x14ac:dyDescent="0.2">
      <c r="A122" s="1" t="s">
        <v>2934</v>
      </c>
      <c r="B122" s="1" t="s">
        <v>2935</v>
      </c>
      <c r="C122">
        <v>119.95833333333333</v>
      </c>
      <c r="D122">
        <v>2879</v>
      </c>
      <c r="E122">
        <v>0.35609194915741682</v>
      </c>
      <c r="F122">
        <v>38.858992611058056</v>
      </c>
      <c r="G122">
        <v>1.2368598442425037E-4</v>
      </c>
      <c r="H122">
        <v>1.3497392362298735E-2</v>
      </c>
      <c r="I122">
        <v>5</v>
      </c>
      <c r="J122" t="b">
        <v>1</v>
      </c>
      <c r="K122">
        <v>0.65</v>
      </c>
      <c r="L122">
        <v>1.3</v>
      </c>
      <c r="M122" t="b">
        <v>1</v>
      </c>
      <c r="N122">
        <v>200</v>
      </c>
      <c r="O122" t="b">
        <v>0</v>
      </c>
      <c r="P122" t="b">
        <v>0</v>
      </c>
      <c r="Q122">
        <v>0.7</v>
      </c>
      <c r="R122">
        <v>6298947.9257512093</v>
      </c>
      <c r="S122">
        <v>6617472.2656290531</v>
      </c>
      <c r="T122">
        <v>5553049.9925891161</v>
      </c>
      <c r="U122">
        <v>5829235.1500048041</v>
      </c>
      <c r="V122">
        <v>12916420.191380262</v>
      </c>
      <c r="W122">
        <v>11382285.14259392</v>
      </c>
      <c r="X122">
        <v>107674.22181074203</v>
      </c>
      <c r="Y122">
        <v>94885.322480810733</v>
      </c>
      <c r="Z122">
        <v>6227.1791366767884</v>
      </c>
      <c r="AA122">
        <v>2845.5712856484802</v>
      </c>
      <c r="AB122">
        <v>55530.499925891163</v>
      </c>
      <c r="AC122">
        <v>58292.35150004804</v>
      </c>
      <c r="AD122">
        <v>113822.85142593921</v>
      </c>
      <c r="AE122">
        <v>1.1347826934193925</v>
      </c>
      <c r="AF122" s="1" t="s">
        <v>2936</v>
      </c>
      <c r="AG122" s="1" t="s">
        <v>2937</v>
      </c>
      <c r="AH122" s="1" t="s">
        <v>2938</v>
      </c>
      <c r="AI122" s="1" t="str">
        <f>_xlfn.TEXTAFTER(_xlfn.TEXTBEFORE(batch_summary[[#This Row],[video]],"_",1),"-",3)</f>
        <v>16</v>
      </c>
      <c r="AJ122" s="1" t="str">
        <f>_xlfn.TEXTBEFORE(_xlfn.TEXTAFTER(batch_summary[[#This Row],[video]],"_",1),"_",1)</f>
        <v>20260317</v>
      </c>
      <c r="AK122" s="1" t="str">
        <f>_xlfn.TEXTBEFORE(_xlfn.TEXTAFTER(batch_summary[[#This Row],[video]],"_",2),".",1)</f>
        <v>140000</v>
      </c>
    </row>
    <row r="123" spans="1:37" x14ac:dyDescent="0.2">
      <c r="A123" s="1" t="s">
        <v>2939</v>
      </c>
      <c r="B123" s="1" t="s">
        <v>2940</v>
      </c>
      <c r="C123">
        <v>119.95833333333333</v>
      </c>
      <c r="D123">
        <v>2879</v>
      </c>
      <c r="E123">
        <v>0.38954830914735794</v>
      </c>
      <c r="F123">
        <v>38.672434530220926</v>
      </c>
      <c r="G123">
        <v>1.3530681109668563E-4</v>
      </c>
      <c r="H123">
        <v>1.3432592751031929E-2</v>
      </c>
      <c r="I123">
        <v>5</v>
      </c>
      <c r="J123" t="b">
        <v>1</v>
      </c>
      <c r="K123">
        <v>0.65</v>
      </c>
      <c r="L123">
        <v>1.3</v>
      </c>
      <c r="M123" t="b">
        <v>1</v>
      </c>
      <c r="N123">
        <v>200</v>
      </c>
      <c r="O123" t="b">
        <v>0</v>
      </c>
      <c r="P123" t="b">
        <v>0</v>
      </c>
      <c r="Q123">
        <v>0.7</v>
      </c>
      <c r="R123">
        <v>2940249.2894220352</v>
      </c>
      <c r="S123">
        <v>3041239.0426753163</v>
      </c>
      <c r="T123">
        <v>2515775.4393841028</v>
      </c>
      <c r="U123">
        <v>2539014.8554987907</v>
      </c>
      <c r="V123">
        <v>5981488.3320973516</v>
      </c>
      <c r="W123">
        <v>5054790.2948828936</v>
      </c>
      <c r="X123">
        <v>49863.049659720891</v>
      </c>
      <c r="Y123">
        <v>42137.88366696403</v>
      </c>
      <c r="Z123">
        <v>3301.4756939315794</v>
      </c>
      <c r="AA123">
        <v>1263.6975737207235</v>
      </c>
      <c r="AB123">
        <v>25157.754393841027</v>
      </c>
      <c r="AC123">
        <v>25390.148554987907</v>
      </c>
      <c r="AD123">
        <v>50547.902948828938</v>
      </c>
      <c r="AE123">
        <v>1.183330659266435</v>
      </c>
      <c r="AF123" s="1" t="s">
        <v>2941</v>
      </c>
      <c r="AG123" s="1" t="s">
        <v>2942</v>
      </c>
      <c r="AH123" s="1" t="s">
        <v>2943</v>
      </c>
      <c r="AI123" s="1" t="str">
        <f>_xlfn.TEXTAFTER(_xlfn.TEXTBEFORE(batch_summary[[#This Row],[video]],"_",1),"-",3)</f>
        <v>16</v>
      </c>
      <c r="AJ123" s="1" t="str">
        <f>_xlfn.TEXTBEFORE(_xlfn.TEXTAFTER(batch_summary[[#This Row],[video]],"_",1),"_",1)</f>
        <v>20260317</v>
      </c>
      <c r="AK123" s="1" t="str">
        <f>_xlfn.TEXTBEFORE(_xlfn.TEXTAFTER(batch_summary[[#This Row],[video]],"_",2),".",1)</f>
        <v>150000</v>
      </c>
    </row>
    <row r="124" spans="1:37" x14ac:dyDescent="0.2">
      <c r="A124" s="1" t="s">
        <v>2944</v>
      </c>
      <c r="B124" s="1" t="s">
        <v>2945</v>
      </c>
      <c r="C124">
        <v>119.95833333333333</v>
      </c>
      <c r="D124">
        <v>2879</v>
      </c>
      <c r="E124">
        <v>0.41550238616764545</v>
      </c>
      <c r="F124">
        <v>38.932808014564216</v>
      </c>
      <c r="G124">
        <v>1.44321773590707E-4</v>
      </c>
      <c r="H124">
        <v>1.3523031613256067E-2</v>
      </c>
      <c r="I124">
        <v>5</v>
      </c>
      <c r="J124" t="b">
        <v>1</v>
      </c>
      <c r="K124">
        <v>0.65</v>
      </c>
      <c r="L124">
        <v>1.3</v>
      </c>
      <c r="M124" t="b">
        <v>1</v>
      </c>
      <c r="N124">
        <v>200</v>
      </c>
      <c r="O124" t="b">
        <v>0</v>
      </c>
      <c r="P124" t="b">
        <v>0</v>
      </c>
      <c r="Q124">
        <v>0.7</v>
      </c>
      <c r="R124">
        <v>3283068.1175661087</v>
      </c>
      <c r="S124">
        <v>3042832.947807014</v>
      </c>
      <c r="T124">
        <v>2907090.1510368586</v>
      </c>
      <c r="U124">
        <v>2633051.0334572196</v>
      </c>
      <c r="V124">
        <v>6325901.0653731227</v>
      </c>
      <c r="W124">
        <v>5540141.1844940782</v>
      </c>
      <c r="X124">
        <v>52734.15268112364</v>
      </c>
      <c r="Y124">
        <v>46183.879273309438</v>
      </c>
      <c r="Z124">
        <v>3681.1321080356838</v>
      </c>
      <c r="AA124">
        <v>1385.0352961235196</v>
      </c>
      <c r="AB124">
        <v>29070.901510368585</v>
      </c>
      <c r="AC124">
        <v>26330.510334572195</v>
      </c>
      <c r="AD124">
        <v>55401.411844940783</v>
      </c>
      <c r="AE124">
        <v>1.1418302990324964</v>
      </c>
      <c r="AF124" s="1" t="s">
        <v>2946</v>
      </c>
      <c r="AG124" s="1" t="s">
        <v>2947</v>
      </c>
      <c r="AH124" s="1" t="s">
        <v>2948</v>
      </c>
      <c r="AI124" s="1" t="str">
        <f>_xlfn.TEXTAFTER(_xlfn.TEXTBEFORE(batch_summary[[#This Row],[video]],"_",1),"-",3)</f>
        <v>16</v>
      </c>
      <c r="AJ124" s="1" t="str">
        <f>_xlfn.TEXTBEFORE(_xlfn.TEXTAFTER(batch_summary[[#This Row],[video]],"_",1),"_",1)</f>
        <v>20260317</v>
      </c>
      <c r="AK124" s="1" t="str">
        <f>_xlfn.TEXTBEFORE(_xlfn.TEXTAFTER(batch_summary[[#This Row],[video]],"_",2),".",1)</f>
        <v>160000</v>
      </c>
    </row>
    <row r="125" spans="1:37" x14ac:dyDescent="0.2">
      <c r="A125" s="1" t="s">
        <v>2949</v>
      </c>
      <c r="B125" s="1" t="s">
        <v>2950</v>
      </c>
      <c r="C125">
        <v>119.95833333333333</v>
      </c>
      <c r="D125">
        <v>2879</v>
      </c>
      <c r="E125">
        <v>0.39734981954097748</v>
      </c>
      <c r="F125">
        <v>37.74188937060535</v>
      </c>
      <c r="G125">
        <v>1.3801660977456667E-4</v>
      </c>
      <c r="H125">
        <v>1.3109374564295015E-2</v>
      </c>
      <c r="I125">
        <v>5</v>
      </c>
      <c r="J125" t="b">
        <v>1</v>
      </c>
      <c r="K125">
        <v>0.65</v>
      </c>
      <c r="L125">
        <v>1.3</v>
      </c>
      <c r="M125" t="b">
        <v>1</v>
      </c>
      <c r="N125">
        <v>200</v>
      </c>
      <c r="O125" t="b">
        <v>0</v>
      </c>
      <c r="P125" t="b">
        <v>0</v>
      </c>
      <c r="Q125">
        <v>0.7</v>
      </c>
      <c r="R125">
        <v>1655503.1058152914</v>
      </c>
      <c r="S125">
        <v>1767498.0719073415</v>
      </c>
      <c r="T125">
        <v>1375065.5523389578</v>
      </c>
      <c r="U125">
        <v>1489719.0994400978</v>
      </c>
      <c r="V125">
        <v>3423001.1777226329</v>
      </c>
      <c r="W125">
        <v>2864784.6517790556</v>
      </c>
      <c r="X125">
        <v>28534.917771914967</v>
      </c>
      <c r="Y125">
        <v>23881.497618165104</v>
      </c>
      <c r="Z125">
        <v>2454.0565270996094</v>
      </c>
      <c r="AA125">
        <v>716.19616294476396</v>
      </c>
      <c r="AB125">
        <v>13750.655523389578</v>
      </c>
      <c r="AC125">
        <v>14897.190994400979</v>
      </c>
      <c r="AD125">
        <v>28647.846517790556</v>
      </c>
      <c r="AE125">
        <v>1.1948546204326109</v>
      </c>
      <c r="AF125" s="1" t="s">
        <v>2951</v>
      </c>
      <c r="AG125" s="1" t="s">
        <v>2952</v>
      </c>
      <c r="AH125" s="1" t="s">
        <v>2953</v>
      </c>
      <c r="AI125" s="1" t="str">
        <f>_xlfn.TEXTAFTER(_xlfn.TEXTBEFORE(batch_summary[[#This Row],[video]],"_",1),"-",3)</f>
        <v>16</v>
      </c>
      <c r="AJ125" s="1" t="str">
        <f>_xlfn.TEXTBEFORE(_xlfn.TEXTAFTER(batch_summary[[#This Row],[video]],"_",1),"_",1)</f>
        <v>20260317</v>
      </c>
      <c r="AK125" s="1" t="str">
        <f>_xlfn.TEXTBEFORE(_xlfn.TEXTAFTER(batch_summary[[#This Row],[video]],"_",2),".",1)</f>
        <v>170000</v>
      </c>
    </row>
    <row r="126" spans="1:37" x14ac:dyDescent="0.2">
      <c r="A126" s="1" t="s">
        <v>2954</v>
      </c>
      <c r="B126" s="1" t="s">
        <v>2955</v>
      </c>
      <c r="C126">
        <v>119.95833333333333</v>
      </c>
      <c r="D126">
        <v>2879</v>
      </c>
      <c r="E126">
        <v>0.39174394775182009</v>
      </c>
      <c r="F126">
        <v>37.495548089966178</v>
      </c>
      <c r="G126">
        <v>1.3606945041744358E-4</v>
      </c>
      <c r="H126">
        <v>1.3023809687379708E-2</v>
      </c>
      <c r="I126">
        <v>5</v>
      </c>
      <c r="J126" t="b">
        <v>1</v>
      </c>
      <c r="K126">
        <v>0.65</v>
      </c>
      <c r="L126">
        <v>1.3</v>
      </c>
      <c r="M126" t="b">
        <v>1</v>
      </c>
      <c r="N126">
        <v>200</v>
      </c>
      <c r="O126" t="b">
        <v>0</v>
      </c>
      <c r="P126" t="b">
        <v>0</v>
      </c>
      <c r="Q126">
        <v>0.7</v>
      </c>
      <c r="R126">
        <v>1288372.9543801546</v>
      </c>
      <c r="S126">
        <v>870194.52247458696</v>
      </c>
      <c r="T126">
        <v>1136514.0563361049</v>
      </c>
      <c r="U126">
        <v>717792.09978914261</v>
      </c>
      <c r="V126">
        <v>2158567.4768547416</v>
      </c>
      <c r="W126">
        <v>1854306.1561252475</v>
      </c>
      <c r="X126">
        <v>17994.310331543522</v>
      </c>
      <c r="Y126">
        <v>15457.918633902724</v>
      </c>
      <c r="Z126">
        <v>2119.6620470809935</v>
      </c>
      <c r="AA126">
        <v>463.57653903131188</v>
      </c>
      <c r="AB126">
        <v>11365.140563361048</v>
      </c>
      <c r="AC126">
        <v>7177.9209978914259</v>
      </c>
      <c r="AD126">
        <v>18543.061561252474</v>
      </c>
      <c r="AE126">
        <v>1.1640836491452293</v>
      </c>
      <c r="AF126" s="1" t="s">
        <v>2956</v>
      </c>
      <c r="AG126" s="1" t="s">
        <v>2957</v>
      </c>
      <c r="AH126" s="1" t="s">
        <v>2958</v>
      </c>
      <c r="AI126" s="1" t="str">
        <f>_xlfn.TEXTAFTER(_xlfn.TEXTBEFORE(batch_summary[[#This Row],[video]],"_",1),"-",3)</f>
        <v>16</v>
      </c>
      <c r="AJ126" s="1" t="str">
        <f>_xlfn.TEXTBEFORE(_xlfn.TEXTAFTER(batch_summary[[#This Row],[video]],"_",1),"_",1)</f>
        <v>20260317</v>
      </c>
      <c r="AK126" s="1" t="str">
        <f>_xlfn.TEXTBEFORE(_xlfn.TEXTAFTER(batch_summary[[#This Row],[video]],"_",2),".",1)</f>
        <v>180000</v>
      </c>
    </row>
    <row r="127" spans="1:37" x14ac:dyDescent="0.2">
      <c r="A127" s="1" t="s">
        <v>2959</v>
      </c>
      <c r="B127" s="1" t="s">
        <v>2960</v>
      </c>
      <c r="C127">
        <v>119.95833333333333</v>
      </c>
      <c r="D127">
        <v>2879</v>
      </c>
      <c r="E127">
        <v>0.37474524322897196</v>
      </c>
      <c r="F127">
        <v>36.918507967144251</v>
      </c>
      <c r="G127">
        <v>1.3016507232683987E-4</v>
      </c>
      <c r="H127">
        <v>1.2823378939612452E-2</v>
      </c>
      <c r="I127">
        <v>5</v>
      </c>
      <c r="J127" t="b">
        <v>1</v>
      </c>
      <c r="K127">
        <v>0.65</v>
      </c>
      <c r="L127">
        <v>1.3</v>
      </c>
      <c r="M127" t="b">
        <v>1</v>
      </c>
      <c r="N127">
        <v>200</v>
      </c>
      <c r="O127" t="b">
        <v>0</v>
      </c>
      <c r="P127" t="b">
        <v>0</v>
      </c>
      <c r="Q127">
        <v>0.7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s="1" t="s">
        <v>2961</v>
      </c>
      <c r="AG127" s="1" t="s">
        <v>2962</v>
      </c>
      <c r="AH127" s="1" t="s">
        <v>2963</v>
      </c>
      <c r="AI127" s="1" t="str">
        <f>_xlfn.TEXTAFTER(_xlfn.TEXTBEFORE(batch_summary[[#This Row],[video]],"_",1),"-",3)</f>
        <v>16</v>
      </c>
      <c r="AJ127" s="1" t="str">
        <f>_xlfn.TEXTBEFORE(_xlfn.TEXTAFTER(batch_summary[[#This Row],[video]],"_",1),"_",1)</f>
        <v>20260317</v>
      </c>
      <c r="AK127" s="1" t="str">
        <f>_xlfn.TEXTBEFORE(_xlfn.TEXTAFTER(batch_summary[[#This Row],[video]],"_",2),".",1)</f>
        <v>190000</v>
      </c>
    </row>
    <row r="128" spans="1:37" x14ac:dyDescent="0.2">
      <c r="A128" s="1" t="s">
        <v>2964</v>
      </c>
      <c r="B128" s="1" t="s">
        <v>2965</v>
      </c>
      <c r="C128">
        <v>119.95833333333333</v>
      </c>
      <c r="D128">
        <v>2879</v>
      </c>
      <c r="E128">
        <v>0.37500453181564808</v>
      </c>
      <c r="F128">
        <v>36.849484868347645</v>
      </c>
      <c r="G128">
        <v>1.3025513435764086E-4</v>
      </c>
      <c r="H128">
        <v>1.2799404261322558E-2</v>
      </c>
      <c r="I128">
        <v>5</v>
      </c>
      <c r="J128" t="b">
        <v>1</v>
      </c>
      <c r="K128">
        <v>0.65</v>
      </c>
      <c r="L128">
        <v>1.3</v>
      </c>
      <c r="M128" t="b">
        <v>1</v>
      </c>
      <c r="N128">
        <v>200</v>
      </c>
      <c r="O128" t="b">
        <v>0</v>
      </c>
      <c r="P128" t="b">
        <v>0</v>
      </c>
      <c r="Q128">
        <v>0.7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s="1" t="s">
        <v>2966</v>
      </c>
      <c r="AG128" s="1" t="s">
        <v>2967</v>
      </c>
      <c r="AH128" s="1" t="s">
        <v>2968</v>
      </c>
      <c r="AI128" s="1" t="str">
        <f>_xlfn.TEXTAFTER(_xlfn.TEXTBEFORE(batch_summary[[#This Row],[video]],"_",1),"-",3)</f>
        <v>16</v>
      </c>
      <c r="AJ128" s="1" t="str">
        <f>_xlfn.TEXTBEFORE(_xlfn.TEXTAFTER(batch_summary[[#This Row],[video]],"_",1),"_",1)</f>
        <v>20260318</v>
      </c>
      <c r="AK128" s="1" t="str">
        <f>_xlfn.TEXTBEFORE(_xlfn.TEXTAFTER(batch_summary[[#This Row],[video]],"_",2),".",1)</f>
        <v>060000</v>
      </c>
    </row>
    <row r="129" spans="1:37" x14ac:dyDescent="0.2">
      <c r="A129" s="1" t="s">
        <v>2969</v>
      </c>
      <c r="B129" s="1" t="s">
        <v>2970</v>
      </c>
      <c r="C129">
        <v>119.95833333333333</v>
      </c>
      <c r="D129">
        <v>2879</v>
      </c>
      <c r="E129">
        <v>0.38024554401636124</v>
      </c>
      <c r="F129">
        <v>37.408423143438995</v>
      </c>
      <c r="G129">
        <v>1.3207556235372047E-4</v>
      </c>
      <c r="H129">
        <v>1.2993547462118442E-2</v>
      </c>
      <c r="I129">
        <v>5</v>
      </c>
      <c r="J129" t="b">
        <v>1</v>
      </c>
      <c r="K129">
        <v>0.65</v>
      </c>
      <c r="L129">
        <v>1.3</v>
      </c>
      <c r="M129" t="b">
        <v>1</v>
      </c>
      <c r="N129">
        <v>200</v>
      </c>
      <c r="O129" t="b">
        <v>0</v>
      </c>
      <c r="P129" t="b">
        <v>0</v>
      </c>
      <c r="Q129">
        <v>0.7</v>
      </c>
      <c r="R129">
        <v>32378.047776460648</v>
      </c>
      <c r="S129">
        <v>30513.531709372997</v>
      </c>
      <c r="T129">
        <v>0</v>
      </c>
      <c r="U129">
        <v>434.61004638671875</v>
      </c>
      <c r="V129">
        <v>62891.579485833645</v>
      </c>
      <c r="W129">
        <v>434.61004638671875</v>
      </c>
      <c r="X129">
        <v>524.27853687391712</v>
      </c>
      <c r="Y129">
        <v>3.6230083755752869</v>
      </c>
      <c r="Z129">
        <v>4.3461004638671872</v>
      </c>
      <c r="AA129">
        <v>0.10865251159667969</v>
      </c>
      <c r="AB129">
        <v>0</v>
      </c>
      <c r="AC129">
        <v>4.3461004638671872</v>
      </c>
      <c r="AD129">
        <v>4.3461004638671872</v>
      </c>
      <c r="AE129">
        <v>144.70806648098585</v>
      </c>
      <c r="AF129" s="1" t="s">
        <v>2971</v>
      </c>
      <c r="AG129" s="1" t="s">
        <v>2972</v>
      </c>
      <c r="AH129" s="1" t="s">
        <v>2973</v>
      </c>
      <c r="AI129" s="1" t="str">
        <f>_xlfn.TEXTAFTER(_xlfn.TEXTBEFORE(batch_summary[[#This Row],[video]],"_",1),"-",3)</f>
        <v>16</v>
      </c>
      <c r="AJ129" s="1" t="str">
        <f>_xlfn.TEXTBEFORE(_xlfn.TEXTAFTER(batch_summary[[#This Row],[video]],"_",1),"_",1)</f>
        <v>20260318</v>
      </c>
      <c r="AK129" s="1" t="str">
        <f>_xlfn.TEXTBEFORE(_xlfn.TEXTAFTER(batch_summary[[#This Row],[video]],"_",2),".",1)</f>
        <v>070000</v>
      </c>
    </row>
    <row r="130" spans="1:37" x14ac:dyDescent="0.2">
      <c r="A130" s="1" t="s">
        <v>2974</v>
      </c>
      <c r="B130" s="1" t="s">
        <v>2975</v>
      </c>
      <c r="C130">
        <v>119.95833333333333</v>
      </c>
      <c r="D130">
        <v>2879</v>
      </c>
      <c r="E130">
        <v>0.37992324121296406</v>
      </c>
      <c r="F130">
        <v>37.233468778431416</v>
      </c>
      <c r="G130">
        <v>1.3196361278671902E-4</v>
      </c>
      <c r="H130">
        <v>1.293277831831588E-2</v>
      </c>
      <c r="I130">
        <v>5</v>
      </c>
      <c r="J130" t="b">
        <v>1</v>
      </c>
      <c r="K130">
        <v>0.65</v>
      </c>
      <c r="L130">
        <v>1.3</v>
      </c>
      <c r="M130" t="b">
        <v>1</v>
      </c>
      <c r="N130">
        <v>200</v>
      </c>
      <c r="O130" t="b">
        <v>0</v>
      </c>
      <c r="P130" t="b">
        <v>0</v>
      </c>
      <c r="Q130">
        <v>0.7</v>
      </c>
      <c r="R130">
        <v>15286.999807536602</v>
      </c>
      <c r="S130">
        <v>20057.03366369009</v>
      </c>
      <c r="T130">
        <v>0</v>
      </c>
      <c r="U130">
        <v>742.4783935546875</v>
      </c>
      <c r="V130">
        <v>35344.033471226692</v>
      </c>
      <c r="W130">
        <v>742.4783935546875</v>
      </c>
      <c r="X130">
        <v>294.63591639786057</v>
      </c>
      <c r="Y130">
        <v>6.1894690674930537</v>
      </c>
      <c r="Z130">
        <v>7.4247839355468752</v>
      </c>
      <c r="AA130">
        <v>0.18561959838867187</v>
      </c>
      <c r="AB130">
        <v>0</v>
      </c>
      <c r="AC130">
        <v>7.4247839355468752</v>
      </c>
      <c r="AD130">
        <v>7.4247839355468752</v>
      </c>
      <c r="AE130">
        <v>47.602777101719681</v>
      </c>
      <c r="AF130" s="1" t="s">
        <v>2976</v>
      </c>
      <c r="AG130" s="1" t="s">
        <v>2977</v>
      </c>
      <c r="AH130" s="1" t="s">
        <v>2978</v>
      </c>
      <c r="AI130" s="1" t="str">
        <f>_xlfn.TEXTAFTER(_xlfn.TEXTBEFORE(batch_summary[[#This Row],[video]],"_",1),"-",3)</f>
        <v>16</v>
      </c>
      <c r="AJ130" s="1" t="str">
        <f>_xlfn.TEXTBEFORE(_xlfn.TEXTAFTER(batch_summary[[#This Row],[video]],"_",1),"_",1)</f>
        <v>20260318</v>
      </c>
      <c r="AK130" s="1" t="str">
        <f>_xlfn.TEXTBEFORE(_xlfn.TEXTAFTER(batch_summary[[#This Row],[video]],"_",2),".",1)</f>
        <v>080000</v>
      </c>
    </row>
    <row r="131" spans="1:37" x14ac:dyDescent="0.2">
      <c r="A131" s="1" t="s">
        <v>2979</v>
      </c>
      <c r="B131" s="1" t="s">
        <v>2980</v>
      </c>
      <c r="C131">
        <v>119.95833333333333</v>
      </c>
      <c r="D131">
        <v>2879</v>
      </c>
      <c r="E131">
        <v>0.37957308068871498</v>
      </c>
      <c r="F131">
        <v>37.173710059374571</v>
      </c>
      <c r="G131">
        <v>1.3184198704019277E-4</v>
      </c>
      <c r="H131">
        <v>1.2912021555878629E-2</v>
      </c>
      <c r="I131">
        <v>5</v>
      </c>
      <c r="J131" t="b">
        <v>1</v>
      </c>
      <c r="K131">
        <v>0.65</v>
      </c>
      <c r="L131">
        <v>1.3</v>
      </c>
      <c r="M131" t="b">
        <v>1</v>
      </c>
      <c r="N131">
        <v>200</v>
      </c>
      <c r="O131" t="b">
        <v>0</v>
      </c>
      <c r="P131" t="b">
        <v>0</v>
      </c>
      <c r="Q131">
        <v>0.7</v>
      </c>
      <c r="R131">
        <v>18976.267237484455</v>
      </c>
      <c r="S131">
        <v>18986.654837310314</v>
      </c>
      <c r="T131">
        <v>0</v>
      </c>
      <c r="U131">
        <v>0</v>
      </c>
      <c r="V131">
        <v>37962.922074794769</v>
      </c>
      <c r="W131">
        <v>0</v>
      </c>
      <c r="X131">
        <v>316.46756852902899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37962922074.794769</v>
      </c>
      <c r="AF131" s="1" t="s">
        <v>2981</v>
      </c>
      <c r="AG131" s="1" t="s">
        <v>2982</v>
      </c>
      <c r="AH131" s="1" t="s">
        <v>2983</v>
      </c>
      <c r="AI131" s="1" t="str">
        <f>_xlfn.TEXTAFTER(_xlfn.TEXTBEFORE(batch_summary[[#This Row],[video]],"_",1),"-",3)</f>
        <v>16</v>
      </c>
      <c r="AJ131" s="1" t="str">
        <f>_xlfn.TEXTBEFORE(_xlfn.TEXTAFTER(batch_summary[[#This Row],[video]],"_",1),"_",1)</f>
        <v>20260318</v>
      </c>
      <c r="AK131" s="1" t="str">
        <f>_xlfn.TEXTBEFORE(_xlfn.TEXTAFTER(batch_summary[[#This Row],[video]],"_",2),".",1)</f>
        <v>090000</v>
      </c>
    </row>
    <row r="132" spans="1:37" x14ac:dyDescent="0.2">
      <c r="A132" s="1" t="s">
        <v>2984</v>
      </c>
      <c r="B132" s="1" t="s">
        <v>2985</v>
      </c>
      <c r="C132">
        <v>119.95833333333333</v>
      </c>
      <c r="D132">
        <v>2879</v>
      </c>
      <c r="E132">
        <v>0.38268055394291878</v>
      </c>
      <c r="F132">
        <v>37.212948927655816</v>
      </c>
      <c r="G132">
        <v>1.3292134558628649E-4</v>
      </c>
      <c r="H132">
        <v>1.292565089533026E-2</v>
      </c>
      <c r="I132">
        <v>5</v>
      </c>
      <c r="J132" t="b">
        <v>1</v>
      </c>
      <c r="K132">
        <v>0.65</v>
      </c>
      <c r="L132">
        <v>1.3</v>
      </c>
      <c r="M132" t="b">
        <v>1</v>
      </c>
      <c r="N132">
        <v>200</v>
      </c>
      <c r="O132" t="b">
        <v>0</v>
      </c>
      <c r="P132" t="b">
        <v>0</v>
      </c>
      <c r="Q132">
        <v>0.7</v>
      </c>
      <c r="R132">
        <v>42493.878951191902</v>
      </c>
      <c r="S132">
        <v>72086.969904661179</v>
      </c>
      <c r="T132">
        <v>23706.879014968872</v>
      </c>
      <c r="U132">
        <v>42581.015182495117</v>
      </c>
      <c r="V132">
        <v>114580.84885585308</v>
      </c>
      <c r="W132">
        <v>66287.894197463989</v>
      </c>
      <c r="X132">
        <v>955.17206409880998</v>
      </c>
      <c r="Y132">
        <v>552.59099018379152</v>
      </c>
      <c r="Z132">
        <v>355.055203037262</v>
      </c>
      <c r="AA132">
        <v>16.571973549366</v>
      </c>
      <c r="AB132">
        <v>237.06879014968871</v>
      </c>
      <c r="AC132">
        <v>425.81015182495116</v>
      </c>
      <c r="AD132">
        <v>662.87894197463993</v>
      </c>
      <c r="AE132">
        <v>1.7285335466311533</v>
      </c>
      <c r="AF132" s="1" t="s">
        <v>2986</v>
      </c>
      <c r="AG132" s="1" t="s">
        <v>2987</v>
      </c>
      <c r="AH132" s="1" t="s">
        <v>2988</v>
      </c>
      <c r="AI132" s="1" t="str">
        <f>_xlfn.TEXTAFTER(_xlfn.TEXTBEFORE(batch_summary[[#This Row],[video]],"_",1),"-",3)</f>
        <v>16</v>
      </c>
      <c r="AJ132" s="1" t="str">
        <f>_xlfn.TEXTBEFORE(_xlfn.TEXTAFTER(batch_summary[[#This Row],[video]],"_",1),"_",1)</f>
        <v>20260318</v>
      </c>
      <c r="AK132" s="1" t="str">
        <f>_xlfn.TEXTBEFORE(_xlfn.TEXTAFTER(batch_summary[[#This Row],[video]],"_",2),".",1)</f>
        <v>100000</v>
      </c>
    </row>
    <row r="133" spans="1:37" x14ac:dyDescent="0.2">
      <c r="A133" s="1" t="s">
        <v>2989</v>
      </c>
      <c r="B133" s="1" t="s">
        <v>2990</v>
      </c>
      <c r="C133">
        <v>119.95833333333333</v>
      </c>
      <c r="D133">
        <v>2879</v>
      </c>
      <c r="E133">
        <v>0.37917721550911665</v>
      </c>
      <c r="F133">
        <v>36.855699582956731</v>
      </c>
      <c r="G133">
        <v>1.3170448610945351E-4</v>
      </c>
      <c r="H133">
        <v>1.280156289786618E-2</v>
      </c>
      <c r="I133">
        <v>5</v>
      </c>
      <c r="J133" t="b">
        <v>1</v>
      </c>
      <c r="K133">
        <v>0.65</v>
      </c>
      <c r="L133">
        <v>1.3</v>
      </c>
      <c r="M133" t="b">
        <v>1</v>
      </c>
      <c r="N133">
        <v>200</v>
      </c>
      <c r="O133" t="b">
        <v>0</v>
      </c>
      <c r="P133" t="b">
        <v>0</v>
      </c>
      <c r="Q133">
        <v>0.7</v>
      </c>
      <c r="R133">
        <v>6598.8670257329941</v>
      </c>
      <c r="S133">
        <v>7996.6054270267487</v>
      </c>
      <c r="T133">
        <v>0</v>
      </c>
      <c r="U133">
        <v>0</v>
      </c>
      <c r="V133">
        <v>14595.472452759743</v>
      </c>
      <c r="W133">
        <v>0</v>
      </c>
      <c r="X133">
        <v>121.67118404523579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14595472452.759743</v>
      </c>
      <c r="AF133" s="1" t="s">
        <v>2991</v>
      </c>
      <c r="AG133" s="1" t="s">
        <v>2992</v>
      </c>
      <c r="AH133" s="1" t="s">
        <v>2993</v>
      </c>
      <c r="AI133" s="1" t="str">
        <f>_xlfn.TEXTAFTER(_xlfn.TEXTBEFORE(batch_summary[[#This Row],[video]],"_",1),"-",3)</f>
        <v>16</v>
      </c>
      <c r="AJ133" s="1" t="str">
        <f>_xlfn.TEXTBEFORE(_xlfn.TEXTAFTER(batch_summary[[#This Row],[video]],"_",1),"_",1)</f>
        <v>20260318</v>
      </c>
      <c r="AK133" s="1" t="str">
        <f>_xlfn.TEXTBEFORE(_xlfn.TEXTAFTER(batch_summary[[#This Row],[video]],"_",2),".",1)</f>
        <v>110000</v>
      </c>
    </row>
    <row r="134" spans="1:37" x14ac:dyDescent="0.2">
      <c r="A134" s="1" t="s">
        <v>2994</v>
      </c>
      <c r="B134" s="1" t="s">
        <v>2995</v>
      </c>
      <c r="C134">
        <v>119.95833333333333</v>
      </c>
      <c r="D134">
        <v>2879</v>
      </c>
      <c r="E134">
        <v>0.37717720679938793</v>
      </c>
      <c r="F134">
        <v>36.991462383419275</v>
      </c>
      <c r="G134">
        <v>1.3100979742945048E-4</v>
      </c>
      <c r="H134">
        <v>1.2848719132830592E-2</v>
      </c>
      <c r="I134">
        <v>5</v>
      </c>
      <c r="J134" t="b">
        <v>1</v>
      </c>
      <c r="K134">
        <v>0.65</v>
      </c>
      <c r="L134">
        <v>1.3</v>
      </c>
      <c r="M134" t="b">
        <v>1</v>
      </c>
      <c r="N134">
        <v>200</v>
      </c>
      <c r="O134" t="b">
        <v>0</v>
      </c>
      <c r="P134" t="b">
        <v>0</v>
      </c>
      <c r="Q134">
        <v>0.7</v>
      </c>
      <c r="R134">
        <v>5036.8116662502289</v>
      </c>
      <c r="S134">
        <v>8183.3587590456009</v>
      </c>
      <c r="T134">
        <v>0</v>
      </c>
      <c r="U134">
        <v>0</v>
      </c>
      <c r="V134">
        <v>13220.17042529583</v>
      </c>
      <c r="W134">
        <v>0</v>
      </c>
      <c r="X134">
        <v>110.20635297224729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13220170425.29583</v>
      </c>
      <c r="AF134" s="1" t="s">
        <v>2996</v>
      </c>
      <c r="AG134" s="1" t="s">
        <v>2997</v>
      </c>
      <c r="AH134" s="1" t="s">
        <v>2998</v>
      </c>
      <c r="AI134" s="1" t="str">
        <f>_xlfn.TEXTAFTER(_xlfn.TEXTBEFORE(batch_summary[[#This Row],[video]],"_",1),"-",3)</f>
        <v>16</v>
      </c>
      <c r="AJ134" s="1" t="str">
        <f>_xlfn.TEXTBEFORE(_xlfn.TEXTAFTER(batch_summary[[#This Row],[video]],"_",1),"_",1)</f>
        <v>20260318</v>
      </c>
      <c r="AK134" s="1" t="str">
        <f>_xlfn.TEXTBEFORE(_xlfn.TEXTAFTER(batch_summary[[#This Row],[video]],"_",2),".",1)</f>
        <v>120000</v>
      </c>
    </row>
    <row r="135" spans="1:37" x14ac:dyDescent="0.2">
      <c r="A135" s="1" t="s">
        <v>2999</v>
      </c>
      <c r="B135" s="1" t="s">
        <v>3000</v>
      </c>
      <c r="C135">
        <v>119.95833333333333</v>
      </c>
      <c r="D135">
        <v>2879</v>
      </c>
      <c r="E135">
        <v>0.37842756882309914</v>
      </c>
      <c r="F135">
        <v>37.131244114600122</v>
      </c>
      <c r="G135">
        <v>1.3144410171000317E-4</v>
      </c>
      <c r="H135">
        <v>1.2897271314553706E-2</v>
      </c>
      <c r="I135">
        <v>5</v>
      </c>
      <c r="J135" t="b">
        <v>1</v>
      </c>
      <c r="K135">
        <v>0.65</v>
      </c>
      <c r="L135">
        <v>1.3</v>
      </c>
      <c r="M135" t="b">
        <v>1</v>
      </c>
      <c r="N135">
        <v>200</v>
      </c>
      <c r="O135" t="b">
        <v>0</v>
      </c>
      <c r="P135" t="b">
        <v>0</v>
      </c>
      <c r="Q135">
        <v>0.7</v>
      </c>
      <c r="R135">
        <v>200462.39424216747</v>
      </c>
      <c r="S135">
        <v>208419.34659326077</v>
      </c>
      <c r="T135">
        <v>156765.23062467575</v>
      </c>
      <c r="U135">
        <v>172624.42147189379</v>
      </c>
      <c r="V135">
        <v>408881.74083542824</v>
      </c>
      <c r="W135">
        <v>329389.65209656954</v>
      </c>
      <c r="X135">
        <v>3408.5313581279188</v>
      </c>
      <c r="Y135">
        <v>2745.867193580295</v>
      </c>
      <c r="Z135">
        <v>748.88342624187476</v>
      </c>
      <c r="AA135">
        <v>82.347413024142384</v>
      </c>
      <c r="AB135">
        <v>1567.6523062467575</v>
      </c>
      <c r="AC135">
        <v>1726.2442147189379</v>
      </c>
      <c r="AD135">
        <v>3293.8965209656953</v>
      </c>
      <c r="AE135">
        <v>1.2413314693794735</v>
      </c>
      <c r="AF135" s="1" t="s">
        <v>3001</v>
      </c>
      <c r="AG135" s="1" t="s">
        <v>3002</v>
      </c>
      <c r="AH135" s="1" t="s">
        <v>3003</v>
      </c>
      <c r="AI135" s="1" t="str">
        <f>_xlfn.TEXTAFTER(_xlfn.TEXTBEFORE(batch_summary[[#This Row],[video]],"_",1),"-",3)</f>
        <v>16</v>
      </c>
      <c r="AJ135" s="1" t="str">
        <f>_xlfn.TEXTBEFORE(_xlfn.TEXTAFTER(batch_summary[[#This Row],[video]],"_",1),"_",1)</f>
        <v>20260318</v>
      </c>
      <c r="AK135" s="1" t="str">
        <f>_xlfn.TEXTBEFORE(_xlfn.TEXTAFTER(batch_summary[[#This Row],[video]],"_",2),".",1)</f>
        <v>130000</v>
      </c>
    </row>
    <row r="136" spans="1:37" x14ac:dyDescent="0.2">
      <c r="A136" s="1" t="s">
        <v>3004</v>
      </c>
      <c r="B136" s="1" t="s">
        <v>3005</v>
      </c>
      <c r="C136">
        <v>119.95833333333333</v>
      </c>
      <c r="D136">
        <v>2879</v>
      </c>
      <c r="E136">
        <v>0.38136132806539536</v>
      </c>
      <c r="F136">
        <v>37.009735794737935</v>
      </c>
      <c r="G136">
        <v>1.3246312194004702E-4</v>
      </c>
      <c r="H136">
        <v>1.2855066271183721E-2</v>
      </c>
      <c r="I136">
        <v>5</v>
      </c>
      <c r="J136" t="b">
        <v>1</v>
      </c>
      <c r="K136">
        <v>0.65</v>
      </c>
      <c r="L136">
        <v>1.3</v>
      </c>
      <c r="M136" t="b">
        <v>1</v>
      </c>
      <c r="N136">
        <v>200</v>
      </c>
      <c r="O136" t="b">
        <v>0</v>
      </c>
      <c r="P136" t="b">
        <v>0</v>
      </c>
      <c r="Q136">
        <v>0.7</v>
      </c>
      <c r="R136">
        <v>2752.4004138708115</v>
      </c>
      <c r="S136">
        <v>2653.197188615799</v>
      </c>
      <c r="T136">
        <v>0</v>
      </c>
      <c r="U136">
        <v>0</v>
      </c>
      <c r="V136">
        <v>5405.5976024866104</v>
      </c>
      <c r="W136">
        <v>0</v>
      </c>
      <c r="X136">
        <v>45.062293317012383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5405597602.4866104</v>
      </c>
      <c r="AF136" s="1" t="s">
        <v>3006</v>
      </c>
      <c r="AG136" s="1" t="s">
        <v>3007</v>
      </c>
      <c r="AH136" s="1" t="s">
        <v>3008</v>
      </c>
      <c r="AI136" s="1" t="str">
        <f>_xlfn.TEXTAFTER(_xlfn.TEXTBEFORE(batch_summary[[#This Row],[video]],"_",1),"-",3)</f>
        <v>16</v>
      </c>
      <c r="AJ136" s="1" t="str">
        <f>_xlfn.TEXTBEFORE(_xlfn.TEXTAFTER(batch_summary[[#This Row],[video]],"_",1),"_",1)</f>
        <v>20260318</v>
      </c>
      <c r="AK136" s="1" t="str">
        <f>_xlfn.TEXTBEFORE(_xlfn.TEXTAFTER(batch_summary[[#This Row],[video]],"_",2),".",1)</f>
        <v>140000</v>
      </c>
    </row>
    <row r="137" spans="1:37" x14ac:dyDescent="0.2">
      <c r="A137" s="1" t="s">
        <v>3009</v>
      </c>
      <c r="B137" s="1" t="s">
        <v>3010</v>
      </c>
      <c r="C137">
        <v>119.95833333333333</v>
      </c>
      <c r="D137">
        <v>2879</v>
      </c>
      <c r="E137">
        <v>0.3835109630599618</v>
      </c>
      <c r="F137">
        <v>37.108309926465154</v>
      </c>
      <c r="G137">
        <v>1.3320978223687455E-4</v>
      </c>
      <c r="H137">
        <v>1.2889305288803457E-2</v>
      </c>
      <c r="I137">
        <v>5</v>
      </c>
      <c r="J137" t="b">
        <v>1</v>
      </c>
      <c r="K137">
        <v>0.65</v>
      </c>
      <c r="L137">
        <v>1.3</v>
      </c>
      <c r="M137" t="b">
        <v>1</v>
      </c>
      <c r="N137">
        <v>200</v>
      </c>
      <c r="O137" t="b">
        <v>0</v>
      </c>
      <c r="P137" t="b">
        <v>0</v>
      </c>
      <c r="Q137">
        <v>0.7</v>
      </c>
      <c r="R137">
        <v>90485.707675635815</v>
      </c>
      <c r="S137">
        <v>140368.93019247055</v>
      </c>
      <c r="T137">
        <v>70229.078094482422</v>
      </c>
      <c r="U137">
        <v>116054.3267364502</v>
      </c>
      <c r="V137">
        <v>230854.63786810637</v>
      </c>
      <c r="W137">
        <v>186283.40483093262</v>
      </c>
      <c r="X137">
        <v>1924.4568630894591</v>
      </c>
      <c r="Y137">
        <v>1552.9009086288236</v>
      </c>
      <c r="Z137">
        <v>1076.7805851745607</v>
      </c>
      <c r="AA137">
        <v>46.570851207733156</v>
      </c>
      <c r="AB137">
        <v>702.29078094482418</v>
      </c>
      <c r="AC137">
        <v>1160.5432673645018</v>
      </c>
      <c r="AD137">
        <v>1862.8340483093261</v>
      </c>
      <c r="AE137">
        <v>1.2392657203019548</v>
      </c>
      <c r="AF137" s="1" t="s">
        <v>3011</v>
      </c>
      <c r="AG137" s="1" t="s">
        <v>3012</v>
      </c>
      <c r="AH137" s="1" t="s">
        <v>3013</v>
      </c>
      <c r="AI137" s="1" t="str">
        <f>_xlfn.TEXTAFTER(_xlfn.TEXTBEFORE(batch_summary[[#This Row],[video]],"_",1),"-",3)</f>
        <v>16</v>
      </c>
      <c r="AJ137" s="1" t="str">
        <f>_xlfn.TEXTBEFORE(_xlfn.TEXTAFTER(batch_summary[[#This Row],[video]],"_",1),"_",1)</f>
        <v>20260318</v>
      </c>
      <c r="AK137" s="1" t="str">
        <f>_xlfn.TEXTBEFORE(_xlfn.TEXTAFTER(batch_summary[[#This Row],[video]],"_",2),".",1)</f>
        <v>150000</v>
      </c>
    </row>
    <row r="138" spans="1:37" x14ac:dyDescent="0.2">
      <c r="A138" s="1" t="s">
        <v>3014</v>
      </c>
      <c r="B138" s="1" t="s">
        <v>3015</v>
      </c>
      <c r="C138">
        <v>119.95833333333333</v>
      </c>
      <c r="D138">
        <v>2879</v>
      </c>
      <c r="E138">
        <v>0.38216561265289783</v>
      </c>
      <c r="F138">
        <v>37.22243108600378</v>
      </c>
      <c r="G138">
        <v>1.3274248442268074E-4</v>
      </c>
      <c r="H138">
        <v>1.2928944455020417E-2</v>
      </c>
      <c r="I138">
        <v>5</v>
      </c>
      <c r="J138" t="b">
        <v>1</v>
      </c>
      <c r="K138">
        <v>0.65</v>
      </c>
      <c r="L138">
        <v>1.3</v>
      </c>
      <c r="M138" t="b">
        <v>1</v>
      </c>
      <c r="N138">
        <v>200</v>
      </c>
      <c r="O138" t="b">
        <v>0</v>
      </c>
      <c r="P138" t="b">
        <v>0</v>
      </c>
      <c r="Q138">
        <v>0.7</v>
      </c>
      <c r="R138">
        <v>259856.67856532335</v>
      </c>
      <c r="S138">
        <v>320293.87786835432</v>
      </c>
      <c r="T138">
        <v>189132.68821632862</v>
      </c>
      <c r="U138">
        <v>245634.9600315094</v>
      </c>
      <c r="V138">
        <v>580150.55643367767</v>
      </c>
      <c r="W138">
        <v>434767.64824783802</v>
      </c>
      <c r="X138">
        <v>4836.2672297354165</v>
      </c>
      <c r="Y138">
        <v>3624.3221806002475</v>
      </c>
      <c r="Z138">
        <v>1764.2558264636993</v>
      </c>
      <c r="AA138">
        <v>108.69191206195951</v>
      </c>
      <c r="AB138">
        <v>1891.3268821632862</v>
      </c>
      <c r="AC138">
        <v>2456.349600315094</v>
      </c>
      <c r="AD138">
        <v>4347.6764824783804</v>
      </c>
      <c r="AE138">
        <v>1.3343921949384894</v>
      </c>
      <c r="AF138" s="1" t="s">
        <v>3016</v>
      </c>
      <c r="AG138" s="1" t="s">
        <v>3017</v>
      </c>
      <c r="AH138" s="1" t="s">
        <v>3018</v>
      </c>
      <c r="AI138" s="1" t="str">
        <f>_xlfn.TEXTAFTER(_xlfn.TEXTBEFORE(batch_summary[[#This Row],[video]],"_",1),"-",3)</f>
        <v>16</v>
      </c>
      <c r="AJ138" s="1" t="str">
        <f>_xlfn.TEXTBEFORE(_xlfn.TEXTAFTER(batch_summary[[#This Row],[video]],"_",1),"_",1)</f>
        <v>20260318</v>
      </c>
      <c r="AK138" s="1" t="str">
        <f>_xlfn.TEXTBEFORE(_xlfn.TEXTAFTER(batch_summary[[#This Row],[video]],"_",2),".",1)</f>
        <v>160000</v>
      </c>
    </row>
    <row r="139" spans="1:37" x14ac:dyDescent="0.2">
      <c r="A139" s="1" t="s">
        <v>3019</v>
      </c>
      <c r="B139" s="1" t="s">
        <v>3020</v>
      </c>
      <c r="C139">
        <v>119.95833333333333</v>
      </c>
      <c r="D139">
        <v>2879</v>
      </c>
      <c r="E139">
        <v>0.37864156160503626</v>
      </c>
      <c r="F139">
        <v>37.075039674527943</v>
      </c>
      <c r="G139">
        <v>1.3151843056791811E-4</v>
      </c>
      <c r="H139">
        <v>1.2877749105428254E-2</v>
      </c>
      <c r="I139">
        <v>5</v>
      </c>
      <c r="J139" t="b">
        <v>1</v>
      </c>
      <c r="K139">
        <v>0.65</v>
      </c>
      <c r="L139">
        <v>1.3</v>
      </c>
      <c r="M139" t="b">
        <v>1</v>
      </c>
      <c r="N139">
        <v>200</v>
      </c>
      <c r="O139" t="b">
        <v>0</v>
      </c>
      <c r="P139" t="b">
        <v>0</v>
      </c>
      <c r="Q139">
        <v>0.7</v>
      </c>
      <c r="R139">
        <v>20355.481933057308</v>
      </c>
      <c r="S139">
        <v>21909.688808977604</v>
      </c>
      <c r="T139">
        <v>0</v>
      </c>
      <c r="U139">
        <v>0</v>
      </c>
      <c r="V139">
        <v>42265.170742034912</v>
      </c>
      <c r="W139">
        <v>0</v>
      </c>
      <c r="X139">
        <v>352.33209371616459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42265170742.034912</v>
      </c>
      <c r="AF139" s="1" t="s">
        <v>3021</v>
      </c>
      <c r="AG139" s="1" t="s">
        <v>3022</v>
      </c>
      <c r="AH139" s="1" t="s">
        <v>3023</v>
      </c>
      <c r="AI139" s="1" t="str">
        <f>_xlfn.TEXTAFTER(_xlfn.TEXTBEFORE(batch_summary[[#This Row],[video]],"_",1),"-",3)</f>
        <v>16</v>
      </c>
      <c r="AJ139" s="1" t="str">
        <f>_xlfn.TEXTBEFORE(_xlfn.TEXTAFTER(batch_summary[[#This Row],[video]],"_",1),"_",1)</f>
        <v>20260318</v>
      </c>
      <c r="AK139" s="1" t="str">
        <f>_xlfn.TEXTBEFORE(_xlfn.TEXTAFTER(batch_summary[[#This Row],[video]],"_",2),".",1)</f>
        <v>170000</v>
      </c>
    </row>
    <row r="140" spans="1:37" x14ac:dyDescent="0.2">
      <c r="A140" s="1" t="s">
        <v>3024</v>
      </c>
      <c r="B140" s="1" t="s">
        <v>3025</v>
      </c>
      <c r="C140">
        <v>119.95833333333333</v>
      </c>
      <c r="D140">
        <v>2879</v>
      </c>
      <c r="E140">
        <v>0.38295629061758518</v>
      </c>
      <c r="F140">
        <v>37.148459672927856</v>
      </c>
      <c r="G140">
        <v>1.3301712074247489E-4</v>
      </c>
      <c r="H140">
        <v>1.2903251015258025E-2</v>
      </c>
      <c r="I140">
        <v>5</v>
      </c>
      <c r="J140" t="b">
        <v>1</v>
      </c>
      <c r="K140">
        <v>0.65</v>
      </c>
      <c r="L140">
        <v>1.3</v>
      </c>
      <c r="M140" t="b">
        <v>1</v>
      </c>
      <c r="N140">
        <v>200</v>
      </c>
      <c r="O140" t="b">
        <v>0</v>
      </c>
      <c r="P140" t="b">
        <v>0</v>
      </c>
      <c r="Q140">
        <v>0.7</v>
      </c>
      <c r="R140">
        <v>19676.825363576412</v>
      </c>
      <c r="S140">
        <v>18362.471747994423</v>
      </c>
      <c r="T140">
        <v>0</v>
      </c>
      <c r="U140">
        <v>0</v>
      </c>
      <c r="V140">
        <v>38039.297111570835</v>
      </c>
      <c r="W140">
        <v>0</v>
      </c>
      <c r="X140">
        <v>317.104248238173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38039297111.570839</v>
      </c>
      <c r="AF140" s="1" t="s">
        <v>3026</v>
      </c>
      <c r="AG140" s="1" t="s">
        <v>3027</v>
      </c>
      <c r="AH140" s="1" t="s">
        <v>3028</v>
      </c>
      <c r="AI140" s="1" t="str">
        <f>_xlfn.TEXTAFTER(_xlfn.TEXTBEFORE(batch_summary[[#This Row],[video]],"_",1),"-",3)</f>
        <v>16</v>
      </c>
      <c r="AJ140" s="1" t="str">
        <f>_xlfn.TEXTBEFORE(_xlfn.TEXTAFTER(batch_summary[[#This Row],[video]],"_",1),"_",1)</f>
        <v>20260318</v>
      </c>
      <c r="AK140" s="1" t="str">
        <f>_xlfn.TEXTBEFORE(_xlfn.TEXTAFTER(batch_summary[[#This Row],[video]],"_",2),".",1)</f>
        <v>180000</v>
      </c>
    </row>
    <row r="141" spans="1:37" x14ac:dyDescent="0.2">
      <c r="A141" s="1" t="s">
        <v>3029</v>
      </c>
      <c r="B141" s="1" t="s">
        <v>3030</v>
      </c>
      <c r="C141">
        <v>119.95833333333333</v>
      </c>
      <c r="D141">
        <v>2879</v>
      </c>
      <c r="E141">
        <v>0.3768793186172843</v>
      </c>
      <c r="F141">
        <v>36.664930501021445</v>
      </c>
      <c r="G141">
        <v>1.3090632810603832E-4</v>
      </c>
      <c r="H141">
        <v>1.2735300625571881E-2</v>
      </c>
      <c r="I141">
        <v>5</v>
      </c>
      <c r="J141" t="b">
        <v>1</v>
      </c>
      <c r="K141">
        <v>0.65</v>
      </c>
      <c r="L141">
        <v>1.3</v>
      </c>
      <c r="M141" t="b">
        <v>1</v>
      </c>
      <c r="N141">
        <v>200</v>
      </c>
      <c r="O141" t="b">
        <v>0</v>
      </c>
      <c r="P141" t="b">
        <v>0</v>
      </c>
      <c r="Q141">
        <v>0.7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s="1" t="s">
        <v>3031</v>
      </c>
      <c r="AG141" s="1" t="s">
        <v>3032</v>
      </c>
      <c r="AH141" s="1" t="s">
        <v>3033</v>
      </c>
      <c r="AI141" s="1" t="str">
        <f>_xlfn.TEXTAFTER(_xlfn.TEXTBEFORE(batch_summary[[#This Row],[video]],"_",1),"-",3)</f>
        <v>16</v>
      </c>
      <c r="AJ141" s="1" t="str">
        <f>_xlfn.TEXTBEFORE(_xlfn.TEXTAFTER(batch_summary[[#This Row],[video]],"_",1),"_",1)</f>
        <v>20260318</v>
      </c>
      <c r="AK141" s="1" t="str">
        <f>_xlfn.TEXTBEFORE(_xlfn.TEXTAFTER(batch_summary[[#This Row],[video]],"_",2),".",1)</f>
        <v>190000</v>
      </c>
    </row>
    <row r="142" spans="1:37" x14ac:dyDescent="0.2">
      <c r="A142" s="1" t="s">
        <v>3034</v>
      </c>
      <c r="B142" s="1" t="s">
        <v>3035</v>
      </c>
      <c r="C142">
        <v>119.95833333333333</v>
      </c>
      <c r="D142">
        <v>2879</v>
      </c>
      <c r="E142">
        <v>0.37472354061901569</v>
      </c>
      <c r="F142">
        <v>36.700452569872141</v>
      </c>
      <c r="G142">
        <v>1.3015753408093632E-4</v>
      </c>
      <c r="H142">
        <v>1.2747638961400536E-2</v>
      </c>
      <c r="I142">
        <v>5</v>
      </c>
      <c r="J142" t="b">
        <v>1</v>
      </c>
      <c r="K142">
        <v>0.65</v>
      </c>
      <c r="L142">
        <v>1.3</v>
      </c>
      <c r="M142" t="b">
        <v>1</v>
      </c>
      <c r="N142">
        <v>200</v>
      </c>
      <c r="O142" t="b">
        <v>0</v>
      </c>
      <c r="P142" t="b">
        <v>0</v>
      </c>
      <c r="Q142">
        <v>0.7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s="1" t="s">
        <v>3036</v>
      </c>
      <c r="AG142" s="1" t="s">
        <v>3037</v>
      </c>
      <c r="AH142" s="1" t="s">
        <v>3038</v>
      </c>
      <c r="AI142" s="1" t="str">
        <f>_xlfn.TEXTAFTER(_xlfn.TEXTBEFORE(batch_summary[[#This Row],[video]],"_",1),"-",3)</f>
        <v>16</v>
      </c>
      <c r="AJ142" s="1" t="str">
        <f>_xlfn.TEXTBEFORE(_xlfn.TEXTAFTER(batch_summary[[#This Row],[video]],"_",1),"_",1)</f>
        <v>20260319</v>
      </c>
      <c r="AK142" s="1" t="str">
        <f>_xlfn.TEXTBEFORE(_xlfn.TEXTAFTER(batch_summary[[#This Row],[video]],"_",2),".",1)</f>
        <v>060000</v>
      </c>
    </row>
    <row r="143" spans="1:37" x14ac:dyDescent="0.2">
      <c r="A143" s="1" t="s">
        <v>3039</v>
      </c>
      <c r="B143" s="1" t="s">
        <v>3040</v>
      </c>
      <c r="C143">
        <v>119.95833333333333</v>
      </c>
      <c r="D143">
        <v>2879</v>
      </c>
      <c r="E143">
        <v>0.38297395221889019</v>
      </c>
      <c r="F143">
        <v>37.368827264755964</v>
      </c>
      <c r="G143">
        <v>1.3302325537300805E-4</v>
      </c>
      <c r="H143">
        <v>1.2979794117664454E-2</v>
      </c>
      <c r="I143">
        <v>5</v>
      </c>
      <c r="J143" t="b">
        <v>1</v>
      </c>
      <c r="K143">
        <v>0.65</v>
      </c>
      <c r="L143">
        <v>1.3</v>
      </c>
      <c r="M143" t="b">
        <v>1</v>
      </c>
      <c r="N143">
        <v>200</v>
      </c>
      <c r="O143" t="b">
        <v>0</v>
      </c>
      <c r="P143" t="b">
        <v>0</v>
      </c>
      <c r="Q143">
        <v>0.7</v>
      </c>
      <c r="R143">
        <v>27716.446187674999</v>
      </c>
      <c r="S143">
        <v>28900.425099372864</v>
      </c>
      <c r="T143">
        <v>0</v>
      </c>
      <c r="U143">
        <v>0</v>
      </c>
      <c r="V143">
        <v>56616.871287047863</v>
      </c>
      <c r="W143">
        <v>0</v>
      </c>
      <c r="X143">
        <v>471.97113959331324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56616871287.047867</v>
      </c>
      <c r="AF143" s="1" t="s">
        <v>3041</v>
      </c>
      <c r="AG143" s="1" t="s">
        <v>3042</v>
      </c>
      <c r="AH143" s="1" t="s">
        <v>3043</v>
      </c>
      <c r="AI143" s="1" t="str">
        <f>_xlfn.TEXTAFTER(_xlfn.TEXTBEFORE(batch_summary[[#This Row],[video]],"_",1),"-",3)</f>
        <v>16</v>
      </c>
      <c r="AJ143" s="1" t="str">
        <f>_xlfn.TEXTBEFORE(_xlfn.TEXTAFTER(batch_summary[[#This Row],[video]],"_",1),"_",1)</f>
        <v>20260319</v>
      </c>
      <c r="AK143" s="1" t="str">
        <f>_xlfn.TEXTBEFORE(_xlfn.TEXTAFTER(batch_summary[[#This Row],[video]],"_",2),".",1)</f>
        <v>070000</v>
      </c>
    </row>
    <row r="144" spans="1:37" x14ac:dyDescent="0.2">
      <c r="A144" s="1" t="s">
        <v>3044</v>
      </c>
      <c r="B144" s="1" t="s">
        <v>3045</v>
      </c>
      <c r="C144">
        <v>119.95833333333333</v>
      </c>
      <c r="D144">
        <v>2879</v>
      </c>
      <c r="E144">
        <v>0.37779407855123281</v>
      </c>
      <c r="F144">
        <v>36.746880356222391</v>
      </c>
      <c r="G144">
        <v>1.3122406340786133E-4</v>
      </c>
      <c r="H144">
        <v>1.276376531997999E-2</v>
      </c>
      <c r="I144">
        <v>5</v>
      </c>
      <c r="J144" t="b">
        <v>1</v>
      </c>
      <c r="K144">
        <v>0.65</v>
      </c>
      <c r="L144">
        <v>1.3</v>
      </c>
      <c r="M144" t="b">
        <v>1</v>
      </c>
      <c r="N144">
        <v>200</v>
      </c>
      <c r="O144" t="b">
        <v>0</v>
      </c>
      <c r="P144" t="b">
        <v>0</v>
      </c>
      <c r="Q144">
        <v>0.7</v>
      </c>
      <c r="R144">
        <v>21797.012294411659</v>
      </c>
      <c r="S144">
        <v>20843.28856086731</v>
      </c>
      <c r="T144">
        <v>0</v>
      </c>
      <c r="U144">
        <v>0</v>
      </c>
      <c r="V144">
        <v>42640.300855278969</v>
      </c>
      <c r="W144">
        <v>0</v>
      </c>
      <c r="X144">
        <v>355.45926381614981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42640300855.278969</v>
      </c>
      <c r="AF144" s="1" t="s">
        <v>3046</v>
      </c>
      <c r="AG144" s="1" t="s">
        <v>3047</v>
      </c>
      <c r="AH144" s="1" t="s">
        <v>3048</v>
      </c>
      <c r="AI144" s="1" t="str">
        <f>_xlfn.TEXTAFTER(_xlfn.TEXTBEFORE(batch_summary[[#This Row],[video]],"_",1),"-",3)</f>
        <v>16</v>
      </c>
      <c r="AJ144" s="1" t="str">
        <f>_xlfn.TEXTBEFORE(_xlfn.TEXTAFTER(batch_summary[[#This Row],[video]],"_",1),"_",1)</f>
        <v>20260319</v>
      </c>
      <c r="AK144" s="1" t="str">
        <f>_xlfn.TEXTBEFORE(_xlfn.TEXTAFTER(batch_summary[[#This Row],[video]],"_",2),".",1)</f>
        <v>080000</v>
      </c>
    </row>
    <row r="145" spans="1:37" x14ac:dyDescent="0.2">
      <c r="A145" s="1" t="s">
        <v>3049</v>
      </c>
      <c r="B145" s="1" t="s">
        <v>3050</v>
      </c>
      <c r="C145">
        <v>119.95833333333333</v>
      </c>
      <c r="D145">
        <v>2879</v>
      </c>
      <c r="E145">
        <v>0.3750819293782115</v>
      </c>
      <c r="F145">
        <v>36.67109923157841</v>
      </c>
      <c r="G145">
        <v>1.3028201784585325E-4</v>
      </c>
      <c r="H145">
        <v>1.2737443289884824E-2</v>
      </c>
      <c r="I145">
        <v>5</v>
      </c>
      <c r="J145" t="b">
        <v>1</v>
      </c>
      <c r="K145">
        <v>0.65</v>
      </c>
      <c r="L145">
        <v>1.3</v>
      </c>
      <c r="M145" t="b">
        <v>1</v>
      </c>
      <c r="N145">
        <v>200</v>
      </c>
      <c r="O145" t="b">
        <v>0</v>
      </c>
      <c r="P145" t="b">
        <v>0</v>
      </c>
      <c r="Q145">
        <v>0.7</v>
      </c>
      <c r="R145">
        <v>14500.935373902321</v>
      </c>
      <c r="S145">
        <v>15899.290638208389</v>
      </c>
      <c r="T145">
        <v>0</v>
      </c>
      <c r="U145">
        <v>0</v>
      </c>
      <c r="V145">
        <v>30400.22601211071</v>
      </c>
      <c r="W145">
        <v>0</v>
      </c>
      <c r="X145">
        <v>253.42321093805387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30400226012.11071</v>
      </c>
      <c r="AF145" s="1" t="s">
        <v>3051</v>
      </c>
      <c r="AG145" s="1" t="s">
        <v>3052</v>
      </c>
      <c r="AH145" s="1" t="s">
        <v>3053</v>
      </c>
      <c r="AI145" s="1" t="str">
        <f>_xlfn.TEXTAFTER(_xlfn.TEXTBEFORE(batch_summary[[#This Row],[video]],"_",1),"-",3)</f>
        <v>16</v>
      </c>
      <c r="AJ145" s="1" t="str">
        <f>_xlfn.TEXTBEFORE(_xlfn.TEXTAFTER(batch_summary[[#This Row],[video]],"_",1),"_",1)</f>
        <v>20260319</v>
      </c>
      <c r="AK145" s="1" t="str">
        <f>_xlfn.TEXTBEFORE(_xlfn.TEXTAFTER(batch_summary[[#This Row],[video]],"_",2),".",1)</f>
        <v>090000</v>
      </c>
    </row>
    <row r="146" spans="1:37" x14ac:dyDescent="0.2">
      <c r="A146" s="1" t="s">
        <v>3054</v>
      </c>
      <c r="B146" s="1" t="s">
        <v>3055</v>
      </c>
      <c r="C146">
        <v>119.95833333333333</v>
      </c>
      <c r="D146">
        <v>2879</v>
      </c>
      <c r="E146">
        <v>0.37177390791475773</v>
      </c>
      <c r="F146">
        <v>36.707584940828383</v>
      </c>
      <c r="G146">
        <v>1.2913300031773453E-4</v>
      </c>
      <c r="H146">
        <v>1.2750116339294333E-2</v>
      </c>
      <c r="I146">
        <v>5</v>
      </c>
      <c r="J146" t="b">
        <v>1</v>
      </c>
      <c r="K146">
        <v>0.65</v>
      </c>
      <c r="L146">
        <v>1.3</v>
      </c>
      <c r="M146" t="b">
        <v>1</v>
      </c>
      <c r="N146">
        <v>200</v>
      </c>
      <c r="O146" t="b">
        <v>0</v>
      </c>
      <c r="P146" t="b">
        <v>0</v>
      </c>
      <c r="Q146">
        <v>0.7</v>
      </c>
      <c r="R146">
        <v>7335.2102627158165</v>
      </c>
      <c r="S146">
        <v>6039.622678399086</v>
      </c>
      <c r="T146">
        <v>0</v>
      </c>
      <c r="U146">
        <v>0</v>
      </c>
      <c r="V146">
        <v>13374.832941114902</v>
      </c>
      <c r="W146">
        <v>0</v>
      </c>
      <c r="X146">
        <v>111.49565494503567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13374832941.114902</v>
      </c>
      <c r="AF146" s="1" t="s">
        <v>3056</v>
      </c>
      <c r="AG146" s="1" t="s">
        <v>3057</v>
      </c>
      <c r="AH146" s="1" t="s">
        <v>3058</v>
      </c>
      <c r="AI146" s="1" t="str">
        <f>_xlfn.TEXTAFTER(_xlfn.TEXTBEFORE(batch_summary[[#This Row],[video]],"_",1),"-",3)</f>
        <v>16</v>
      </c>
      <c r="AJ146" s="1" t="str">
        <f>_xlfn.TEXTBEFORE(_xlfn.TEXTAFTER(batch_summary[[#This Row],[video]],"_",1),"_",1)</f>
        <v>20260319</v>
      </c>
      <c r="AK146" s="1" t="str">
        <f>_xlfn.TEXTBEFORE(_xlfn.TEXTAFTER(batch_summary[[#This Row],[video]],"_",2),".",1)</f>
        <v>100000</v>
      </c>
    </row>
    <row r="147" spans="1:37" x14ac:dyDescent="0.2">
      <c r="A147" s="1" t="s">
        <v>3059</v>
      </c>
      <c r="B147" s="1" t="s">
        <v>3060</v>
      </c>
      <c r="C147">
        <v>119.95833333333333</v>
      </c>
      <c r="D147">
        <v>2879</v>
      </c>
      <c r="E147">
        <v>0.40119756758213043</v>
      </c>
      <c r="F147">
        <v>38.664252808317542</v>
      </c>
      <c r="G147">
        <v>1.3935309745819049E-4</v>
      </c>
      <c r="H147">
        <v>1.3429750888613248E-2</v>
      </c>
      <c r="I147">
        <v>5</v>
      </c>
      <c r="J147" t="b">
        <v>1</v>
      </c>
      <c r="K147">
        <v>0.65</v>
      </c>
      <c r="L147">
        <v>1.3</v>
      </c>
      <c r="M147" t="b">
        <v>1</v>
      </c>
      <c r="N147">
        <v>200</v>
      </c>
      <c r="O147" t="b">
        <v>0</v>
      </c>
      <c r="P147" t="b">
        <v>0</v>
      </c>
      <c r="Q147">
        <v>0.7</v>
      </c>
      <c r="R147">
        <v>2898769.5777124166</v>
      </c>
      <c r="S147">
        <v>3110364.8744533062</v>
      </c>
      <c r="T147">
        <v>2298792.588285327</v>
      </c>
      <c r="U147">
        <v>2527324.0238353014</v>
      </c>
      <c r="V147">
        <v>6009134.4521657228</v>
      </c>
      <c r="W147">
        <v>4826116.6121206284</v>
      </c>
      <c r="X147">
        <v>50093.514015969908</v>
      </c>
      <c r="Y147">
        <v>40231.607742582521</v>
      </c>
      <c r="Z147">
        <v>3399.7050540423397</v>
      </c>
      <c r="AA147">
        <v>1206.529153030157</v>
      </c>
      <c r="AB147">
        <v>22987.925882853269</v>
      </c>
      <c r="AC147">
        <v>25273.240238353013</v>
      </c>
      <c r="AD147">
        <v>48261.166121206283</v>
      </c>
      <c r="AE147">
        <v>1.245128316434374</v>
      </c>
      <c r="AF147" s="1" t="s">
        <v>3061</v>
      </c>
      <c r="AG147" s="1" t="s">
        <v>3062</v>
      </c>
      <c r="AH147" s="1" t="s">
        <v>3063</v>
      </c>
      <c r="AI147" s="1" t="str">
        <f>_xlfn.TEXTAFTER(_xlfn.TEXTBEFORE(batch_summary[[#This Row],[video]],"_",1),"-",3)</f>
        <v>16</v>
      </c>
      <c r="AJ147" s="1" t="str">
        <f>_xlfn.TEXTBEFORE(_xlfn.TEXTAFTER(batch_summary[[#This Row],[video]],"_",1),"_",1)</f>
        <v>20260319</v>
      </c>
      <c r="AK147" s="1" t="str">
        <f>_xlfn.TEXTBEFORE(_xlfn.TEXTAFTER(batch_summary[[#This Row],[video]],"_",2),".",1)</f>
        <v>110000</v>
      </c>
    </row>
    <row r="148" spans="1:37" x14ac:dyDescent="0.2">
      <c r="A148" s="1" t="s">
        <v>3064</v>
      </c>
      <c r="B148" s="1" t="s">
        <v>3065</v>
      </c>
      <c r="C148">
        <v>119.95833333333333</v>
      </c>
      <c r="D148">
        <v>2879</v>
      </c>
      <c r="E148">
        <v>0.38836466427892447</v>
      </c>
      <c r="F148">
        <v>38.665983309037983</v>
      </c>
      <c r="G148">
        <v>1.3489568054148124E-4</v>
      </c>
      <c r="H148">
        <v>1.3430351965626253E-2</v>
      </c>
      <c r="I148">
        <v>5</v>
      </c>
      <c r="J148" t="b">
        <v>1</v>
      </c>
      <c r="K148">
        <v>0.65</v>
      </c>
      <c r="L148">
        <v>1.3</v>
      </c>
      <c r="M148" t="b">
        <v>1</v>
      </c>
      <c r="N148">
        <v>200</v>
      </c>
      <c r="O148" t="b">
        <v>0</v>
      </c>
      <c r="P148" t="b">
        <v>0</v>
      </c>
      <c r="Q148">
        <v>0.7</v>
      </c>
      <c r="R148">
        <v>8315225.0557763577</v>
      </c>
      <c r="S148">
        <v>8750442.8418767452</v>
      </c>
      <c r="T148">
        <v>7249022.5202906132</v>
      </c>
      <c r="U148">
        <v>7739350.2626866102</v>
      </c>
      <c r="V148">
        <v>17065667.897653103</v>
      </c>
      <c r="W148">
        <v>14988372.782977223</v>
      </c>
      <c r="X148">
        <v>142263.29612493035</v>
      </c>
      <c r="Y148">
        <v>124946.49072297791</v>
      </c>
      <c r="Z148">
        <v>7691.1306671142574</v>
      </c>
      <c r="AA148">
        <v>3747.0931957443063</v>
      </c>
      <c r="AB148">
        <v>72490.225202906135</v>
      </c>
      <c r="AC148">
        <v>77393.502626866102</v>
      </c>
      <c r="AD148">
        <v>149883.72782977222</v>
      </c>
      <c r="AE148">
        <v>1.1385937716357797</v>
      </c>
      <c r="AF148" s="1" t="s">
        <v>3066</v>
      </c>
      <c r="AG148" s="1" t="s">
        <v>3067</v>
      </c>
      <c r="AH148" s="1" t="s">
        <v>3068</v>
      </c>
      <c r="AI148" s="1" t="str">
        <f>_xlfn.TEXTAFTER(_xlfn.TEXTBEFORE(batch_summary[[#This Row],[video]],"_",1),"-",3)</f>
        <v>16</v>
      </c>
      <c r="AJ148" s="1" t="str">
        <f>_xlfn.TEXTBEFORE(_xlfn.TEXTAFTER(batch_summary[[#This Row],[video]],"_",1),"_",1)</f>
        <v>20260319</v>
      </c>
      <c r="AK148" s="1" t="str">
        <f>_xlfn.TEXTBEFORE(_xlfn.TEXTAFTER(batch_summary[[#This Row],[video]],"_",2),".",1)</f>
        <v>120000</v>
      </c>
    </row>
    <row r="149" spans="1:37" x14ac:dyDescent="0.2">
      <c r="A149" s="1" t="s">
        <v>3069</v>
      </c>
      <c r="B149" s="1" t="s">
        <v>3070</v>
      </c>
      <c r="C149">
        <v>119.95833333333333</v>
      </c>
      <c r="D149">
        <v>2879</v>
      </c>
      <c r="E149">
        <v>0.40501452051103115</v>
      </c>
      <c r="F149">
        <v>38.685130058787763</v>
      </c>
      <c r="G149">
        <v>1.4067888868045541E-4</v>
      </c>
      <c r="H149">
        <v>1.3437002451819299E-2</v>
      </c>
      <c r="I149">
        <v>5</v>
      </c>
      <c r="J149" t="b">
        <v>1</v>
      </c>
      <c r="K149">
        <v>0.65</v>
      </c>
      <c r="L149">
        <v>1.3</v>
      </c>
      <c r="M149" t="b">
        <v>1</v>
      </c>
      <c r="N149">
        <v>200</v>
      </c>
      <c r="O149" t="b">
        <v>0</v>
      </c>
      <c r="P149" t="b">
        <v>0</v>
      </c>
      <c r="Q149">
        <v>0.7</v>
      </c>
      <c r="R149">
        <v>6405328.8815862536</v>
      </c>
      <c r="S149">
        <v>5973150.1927168965</v>
      </c>
      <c r="T149">
        <v>5497053.0559471846</v>
      </c>
      <c r="U149">
        <v>5123201.2061649561</v>
      </c>
      <c r="V149">
        <v>12378479.07430315</v>
      </c>
      <c r="W149">
        <v>10620254.262112141</v>
      </c>
      <c r="X149">
        <v>103189.82208519473</v>
      </c>
      <c r="Y149">
        <v>88532.85942712448</v>
      </c>
      <c r="Z149">
        <v>5571.5517808794975</v>
      </c>
      <c r="AA149">
        <v>2655.0635655280353</v>
      </c>
      <c r="AB149">
        <v>54970.530559471845</v>
      </c>
      <c r="AC149">
        <v>51232.012061649562</v>
      </c>
      <c r="AD149">
        <v>106202.54262112141</v>
      </c>
      <c r="AE149">
        <v>1.1655539282579601</v>
      </c>
      <c r="AF149" s="1" t="s">
        <v>3071</v>
      </c>
      <c r="AG149" s="1" t="s">
        <v>3072</v>
      </c>
      <c r="AH149" s="1" t="s">
        <v>3073</v>
      </c>
      <c r="AI149" s="1" t="str">
        <f>_xlfn.TEXTAFTER(_xlfn.TEXTBEFORE(batch_summary[[#This Row],[video]],"_",1),"-",3)</f>
        <v>16</v>
      </c>
      <c r="AJ149" s="1" t="str">
        <f>_xlfn.TEXTBEFORE(_xlfn.TEXTAFTER(batch_summary[[#This Row],[video]],"_",1),"_",1)</f>
        <v>20260319</v>
      </c>
      <c r="AK149" s="1" t="str">
        <f>_xlfn.TEXTBEFORE(_xlfn.TEXTAFTER(batch_summary[[#This Row],[video]],"_",2),".",1)</f>
        <v>130000</v>
      </c>
    </row>
    <row r="150" spans="1:37" x14ac:dyDescent="0.2">
      <c r="A150" s="1" t="s">
        <v>3074</v>
      </c>
      <c r="B150" s="1" t="s">
        <v>3075</v>
      </c>
      <c r="C150">
        <v>119.95833333333333</v>
      </c>
      <c r="D150">
        <v>2879</v>
      </c>
      <c r="E150">
        <v>0.40712722111493349</v>
      </c>
      <c r="F150">
        <v>38.644111226312816</v>
      </c>
      <c r="G150">
        <v>1.4141272008160247E-4</v>
      </c>
      <c r="H150">
        <v>1.3422754854572009E-2</v>
      </c>
      <c r="I150">
        <v>5</v>
      </c>
      <c r="J150" t="b">
        <v>1</v>
      </c>
      <c r="K150">
        <v>0.65</v>
      </c>
      <c r="L150">
        <v>1.3</v>
      </c>
      <c r="M150" t="b">
        <v>1</v>
      </c>
      <c r="N150">
        <v>200</v>
      </c>
      <c r="O150" t="b">
        <v>0</v>
      </c>
      <c r="P150" t="b">
        <v>0</v>
      </c>
      <c r="Q150">
        <v>0.7</v>
      </c>
      <c r="R150">
        <v>4706494.2960057259</v>
      </c>
      <c r="S150">
        <v>5755389.7400453687</v>
      </c>
      <c r="T150">
        <v>4065057.9010328054</v>
      </c>
      <c r="U150">
        <v>5011619.7336713672</v>
      </c>
      <c r="V150">
        <v>10461884.036051095</v>
      </c>
      <c r="W150">
        <v>9076677.6347041726</v>
      </c>
      <c r="X150">
        <v>87212.649136931665</v>
      </c>
      <c r="Y150">
        <v>75665.252946474517</v>
      </c>
      <c r="Z150">
        <v>6427.2149978387351</v>
      </c>
      <c r="AA150">
        <v>2269.1694086760431</v>
      </c>
      <c r="AB150">
        <v>40650.579010328052</v>
      </c>
      <c r="AC150">
        <v>50116.197336713674</v>
      </c>
      <c r="AD150">
        <v>90766.776347041727</v>
      </c>
      <c r="AE150">
        <v>1.1526116115494354</v>
      </c>
      <c r="AF150" s="1" t="s">
        <v>3076</v>
      </c>
      <c r="AG150" s="1" t="s">
        <v>3077</v>
      </c>
      <c r="AH150" s="1" t="s">
        <v>3078</v>
      </c>
      <c r="AI150" s="1" t="str">
        <f>_xlfn.TEXTAFTER(_xlfn.TEXTBEFORE(batch_summary[[#This Row],[video]],"_",1),"-",3)</f>
        <v>16</v>
      </c>
      <c r="AJ150" s="1" t="str">
        <f>_xlfn.TEXTBEFORE(_xlfn.TEXTAFTER(batch_summary[[#This Row],[video]],"_",1),"_",1)</f>
        <v>20260319</v>
      </c>
      <c r="AK150" s="1" t="str">
        <f>_xlfn.TEXTBEFORE(_xlfn.TEXTAFTER(batch_summary[[#This Row],[video]],"_",2),".",1)</f>
        <v>140000</v>
      </c>
    </row>
    <row r="151" spans="1:37" x14ac:dyDescent="0.2">
      <c r="A151" s="1" t="s">
        <v>3079</v>
      </c>
      <c r="B151" s="1" t="s">
        <v>3080</v>
      </c>
      <c r="C151">
        <v>119.95833333333333</v>
      </c>
      <c r="D151">
        <v>2879</v>
      </c>
      <c r="E151">
        <v>0.38141502626240253</v>
      </c>
      <c r="F151">
        <v>37.080943390727043</v>
      </c>
      <c r="G151">
        <v>1.3248177362362018E-4</v>
      </c>
      <c r="H151">
        <v>1.2879799718904843E-2</v>
      </c>
      <c r="I151">
        <v>5</v>
      </c>
      <c r="J151" t="b">
        <v>1</v>
      </c>
      <c r="K151">
        <v>0.65</v>
      </c>
      <c r="L151">
        <v>1.3</v>
      </c>
      <c r="M151" t="b">
        <v>1</v>
      </c>
      <c r="N151">
        <v>200</v>
      </c>
      <c r="O151" t="b">
        <v>0</v>
      </c>
      <c r="P151" t="b">
        <v>0</v>
      </c>
      <c r="Q151">
        <v>0.7</v>
      </c>
      <c r="R151">
        <v>405732.63347488642</v>
      </c>
      <c r="S151">
        <v>276008.95438742638</v>
      </c>
      <c r="T151">
        <v>296675.18845796585</v>
      </c>
      <c r="U151">
        <v>198172.1995087266</v>
      </c>
      <c r="V151">
        <v>681741.58786231279</v>
      </c>
      <c r="W151">
        <v>494847.38796669245</v>
      </c>
      <c r="X151">
        <v>5683.1532159414755</v>
      </c>
      <c r="Y151">
        <v>4125.1605804795481</v>
      </c>
      <c r="Z151">
        <v>652.29324201583859</v>
      </c>
      <c r="AA151">
        <v>123.71184699167311</v>
      </c>
      <c r="AB151">
        <v>2966.7518845796585</v>
      </c>
      <c r="AC151">
        <v>1981.7219950872659</v>
      </c>
      <c r="AD151">
        <v>4948.4738796669244</v>
      </c>
      <c r="AE151">
        <v>1.3776804817815871</v>
      </c>
      <c r="AF151" s="1" t="s">
        <v>3081</v>
      </c>
      <c r="AG151" s="1" t="s">
        <v>3082</v>
      </c>
      <c r="AH151" s="1" t="s">
        <v>3083</v>
      </c>
      <c r="AI151" s="1" t="str">
        <f>_xlfn.TEXTAFTER(_xlfn.TEXTBEFORE(batch_summary[[#This Row],[video]],"_",1),"-",3)</f>
        <v>16</v>
      </c>
      <c r="AJ151" s="1" t="str">
        <f>_xlfn.TEXTBEFORE(_xlfn.TEXTAFTER(batch_summary[[#This Row],[video]],"_",1),"_",1)</f>
        <v>20260319</v>
      </c>
      <c r="AK151" s="1" t="str">
        <f>_xlfn.TEXTBEFORE(_xlfn.TEXTAFTER(batch_summary[[#This Row],[video]],"_",2),".",1)</f>
        <v>150000</v>
      </c>
    </row>
    <row r="152" spans="1:37" x14ac:dyDescent="0.2">
      <c r="A152" s="1" t="s">
        <v>3084</v>
      </c>
      <c r="B152" s="1" t="s">
        <v>3085</v>
      </c>
      <c r="C152">
        <v>119.95833333333333</v>
      </c>
      <c r="D152">
        <v>2879</v>
      </c>
      <c r="E152">
        <v>0.41186392307281494</v>
      </c>
      <c r="F152">
        <v>38.977952666580677</v>
      </c>
      <c r="G152">
        <v>1.4305797953206493E-4</v>
      </c>
      <c r="H152">
        <v>1.3538712284328127E-2</v>
      </c>
      <c r="I152">
        <v>5</v>
      </c>
      <c r="J152" t="b">
        <v>1</v>
      </c>
      <c r="K152">
        <v>0.65</v>
      </c>
      <c r="L152">
        <v>1.3</v>
      </c>
      <c r="M152" t="b">
        <v>1</v>
      </c>
      <c r="N152">
        <v>200</v>
      </c>
      <c r="O152" t="b">
        <v>0</v>
      </c>
      <c r="P152" t="b">
        <v>0</v>
      </c>
      <c r="Q152">
        <v>0.7</v>
      </c>
      <c r="R152">
        <v>5628305.9428713322</v>
      </c>
      <c r="S152">
        <v>3701003.5095915794</v>
      </c>
      <c r="T152">
        <v>5011623.5728048682</v>
      </c>
      <c r="U152">
        <v>3159366.0224885941</v>
      </c>
      <c r="V152">
        <v>9329309.4524629116</v>
      </c>
      <c r="W152">
        <v>8170989.5952934623</v>
      </c>
      <c r="X152">
        <v>77771.249343212883</v>
      </c>
      <c r="Y152">
        <v>68115.231082682571</v>
      </c>
      <c r="Z152">
        <v>4840.3815025329586</v>
      </c>
      <c r="AA152">
        <v>2042.7473988233658</v>
      </c>
      <c r="AB152">
        <v>50116.235728048683</v>
      </c>
      <c r="AC152">
        <v>31593.660224885942</v>
      </c>
      <c r="AD152">
        <v>81709.895952934632</v>
      </c>
      <c r="AE152">
        <v>1.1417600455441343</v>
      </c>
      <c r="AF152" s="1" t="s">
        <v>3086</v>
      </c>
      <c r="AG152" s="1" t="s">
        <v>3087</v>
      </c>
      <c r="AH152" s="1" t="s">
        <v>3088</v>
      </c>
      <c r="AI152" s="1" t="str">
        <f>_xlfn.TEXTAFTER(_xlfn.TEXTBEFORE(batch_summary[[#This Row],[video]],"_",1),"-",3)</f>
        <v>16</v>
      </c>
      <c r="AJ152" s="1" t="str">
        <f>_xlfn.TEXTBEFORE(_xlfn.TEXTAFTER(batch_summary[[#This Row],[video]],"_",1),"_",1)</f>
        <v>20260319</v>
      </c>
      <c r="AK152" s="1" t="str">
        <f>_xlfn.TEXTBEFORE(_xlfn.TEXTAFTER(batch_summary[[#This Row],[video]],"_",2),".",1)</f>
        <v>160000</v>
      </c>
    </row>
    <row r="153" spans="1:37" x14ac:dyDescent="0.2">
      <c r="A153" s="1" t="s">
        <v>3089</v>
      </c>
      <c r="B153" s="1" t="s">
        <v>3090</v>
      </c>
      <c r="C153">
        <v>119.95833333333333</v>
      </c>
      <c r="D153">
        <v>2879</v>
      </c>
      <c r="E153">
        <v>0.40040922537446022</v>
      </c>
      <c r="F153">
        <v>37.996563233435154</v>
      </c>
      <c r="G153">
        <v>1.3907927244684274E-4</v>
      </c>
      <c r="H153">
        <v>1.3197833703867717E-2</v>
      </c>
      <c r="I153">
        <v>5</v>
      </c>
      <c r="J153" t="b">
        <v>1</v>
      </c>
      <c r="K153">
        <v>0.65</v>
      </c>
      <c r="L153">
        <v>1.3</v>
      </c>
      <c r="M153" t="b">
        <v>1</v>
      </c>
      <c r="N153">
        <v>200</v>
      </c>
      <c r="O153" t="b">
        <v>0</v>
      </c>
      <c r="P153" t="b">
        <v>0</v>
      </c>
      <c r="Q153">
        <v>0.7</v>
      </c>
      <c r="R153">
        <v>1385206.1367509365</v>
      </c>
      <c r="S153">
        <v>1281287.6406863928</v>
      </c>
      <c r="T153">
        <v>1221113.1053481102</v>
      </c>
      <c r="U153">
        <v>1095820.7148236632</v>
      </c>
      <c r="V153">
        <v>2666493.7774373293</v>
      </c>
      <c r="W153">
        <v>2316933.8201717734</v>
      </c>
      <c r="X153">
        <v>22228.499707709587</v>
      </c>
      <c r="Y153">
        <v>19314.488254297521</v>
      </c>
      <c r="Z153">
        <v>1996.0466590905189</v>
      </c>
      <c r="AA153">
        <v>579.23345504294343</v>
      </c>
      <c r="AB153">
        <v>12211.131053481102</v>
      </c>
      <c r="AC153">
        <v>10958.207148236632</v>
      </c>
      <c r="AD153">
        <v>23169.338201717736</v>
      </c>
      <c r="AE153">
        <v>1.1508717919442517</v>
      </c>
      <c r="AF153" s="1" t="s">
        <v>3091</v>
      </c>
      <c r="AG153" s="1" t="s">
        <v>3092</v>
      </c>
      <c r="AH153" s="1" t="s">
        <v>3093</v>
      </c>
      <c r="AI153" s="1" t="str">
        <f>_xlfn.TEXTAFTER(_xlfn.TEXTBEFORE(batch_summary[[#This Row],[video]],"_",1),"-",3)</f>
        <v>16</v>
      </c>
      <c r="AJ153" s="1" t="str">
        <f>_xlfn.TEXTBEFORE(_xlfn.TEXTAFTER(batch_summary[[#This Row],[video]],"_",1),"_",1)</f>
        <v>20260319</v>
      </c>
      <c r="AK153" s="1" t="str">
        <f>_xlfn.TEXTBEFORE(_xlfn.TEXTAFTER(batch_summary[[#This Row],[video]],"_",2),".",1)</f>
        <v>170000</v>
      </c>
    </row>
    <row r="154" spans="1:37" x14ac:dyDescent="0.2">
      <c r="A154" s="1" t="s">
        <v>3094</v>
      </c>
      <c r="B154" s="1" t="s">
        <v>3095</v>
      </c>
      <c r="C154">
        <v>119.95833333333333</v>
      </c>
      <c r="D154">
        <v>2879</v>
      </c>
      <c r="E154">
        <v>0.38210345339030027</v>
      </c>
      <c r="F154">
        <v>37.231787585653365</v>
      </c>
      <c r="G154">
        <v>1.3272089384866283E-4</v>
      </c>
      <c r="H154">
        <v>1.2932194368062996E-2</v>
      </c>
      <c r="I154">
        <v>5</v>
      </c>
      <c r="J154" t="b">
        <v>1</v>
      </c>
      <c r="K154">
        <v>0.65</v>
      </c>
      <c r="L154">
        <v>1.3</v>
      </c>
      <c r="M154" t="b">
        <v>1</v>
      </c>
      <c r="N154">
        <v>200</v>
      </c>
      <c r="O154" t="b">
        <v>0</v>
      </c>
      <c r="P154" t="b">
        <v>0</v>
      </c>
      <c r="Q154">
        <v>0.7</v>
      </c>
      <c r="R154">
        <v>95311.752020120621</v>
      </c>
      <c r="S154">
        <v>42662.546175718307</v>
      </c>
      <c r="T154">
        <v>72270.631896972656</v>
      </c>
      <c r="U154">
        <v>24465.153474807739</v>
      </c>
      <c r="V154">
        <v>137974.29819583893</v>
      </c>
      <c r="W154">
        <v>96735.785371780396</v>
      </c>
      <c r="X154">
        <v>1150.1851881556563</v>
      </c>
      <c r="Y154">
        <v>806.41154877482791</v>
      </c>
      <c r="Z154">
        <v>525.71034179687501</v>
      </c>
      <c r="AA154">
        <v>24.183946342945099</v>
      </c>
      <c r="AB154">
        <v>722.70631896972657</v>
      </c>
      <c r="AC154">
        <v>244.65153474807738</v>
      </c>
      <c r="AD154">
        <v>967.35785371780389</v>
      </c>
      <c r="AE154">
        <v>1.4263004912356723</v>
      </c>
      <c r="AF154" s="1" t="s">
        <v>3096</v>
      </c>
      <c r="AG154" s="1" t="s">
        <v>3097</v>
      </c>
      <c r="AH154" s="1" t="s">
        <v>3098</v>
      </c>
      <c r="AI154" s="1" t="str">
        <f>_xlfn.TEXTAFTER(_xlfn.TEXTBEFORE(batch_summary[[#This Row],[video]],"_",1),"-",3)</f>
        <v>16</v>
      </c>
      <c r="AJ154" s="1" t="str">
        <f>_xlfn.TEXTBEFORE(_xlfn.TEXTAFTER(batch_summary[[#This Row],[video]],"_",1),"_",1)</f>
        <v>20260319</v>
      </c>
      <c r="AK154" s="1" t="str">
        <f>_xlfn.TEXTBEFORE(_xlfn.TEXTAFTER(batch_summary[[#This Row],[video]],"_",2),".",1)</f>
        <v>180000</v>
      </c>
    </row>
    <row r="155" spans="1:37" x14ac:dyDescent="0.2">
      <c r="A155" s="1" t="s">
        <v>3099</v>
      </c>
      <c r="B155" s="1" t="s">
        <v>3100</v>
      </c>
      <c r="C155">
        <v>119.95833333333333</v>
      </c>
      <c r="D155">
        <v>2879</v>
      </c>
      <c r="E155">
        <v>0.37220918666571379</v>
      </c>
      <c r="F155">
        <v>37.097165708430111</v>
      </c>
      <c r="G155">
        <v>1.2928419126978597E-4</v>
      </c>
      <c r="H155">
        <v>1.2885434424602332E-2</v>
      </c>
      <c r="I155">
        <v>5</v>
      </c>
      <c r="J155" t="b">
        <v>1</v>
      </c>
      <c r="K155">
        <v>0.65</v>
      </c>
      <c r="L155">
        <v>1.3</v>
      </c>
      <c r="M155" t="b">
        <v>1</v>
      </c>
      <c r="N155">
        <v>200</v>
      </c>
      <c r="O155" t="b">
        <v>0</v>
      </c>
      <c r="P155" t="b">
        <v>0</v>
      </c>
      <c r="Q155">
        <v>0.7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s="1" t="s">
        <v>3101</v>
      </c>
      <c r="AG155" s="1" t="s">
        <v>3102</v>
      </c>
      <c r="AH155" s="1" t="s">
        <v>3103</v>
      </c>
      <c r="AI155" s="1" t="str">
        <f>_xlfn.TEXTAFTER(_xlfn.TEXTBEFORE(batch_summary[[#This Row],[video]],"_",1),"-",3)</f>
        <v>16</v>
      </c>
      <c r="AJ155" s="1" t="str">
        <f>_xlfn.TEXTBEFORE(_xlfn.TEXTAFTER(batch_summary[[#This Row],[video]],"_",1),"_",1)</f>
        <v>20260319</v>
      </c>
      <c r="AK155" s="1" t="str">
        <f>_xlfn.TEXTBEFORE(_xlfn.TEXTAFTER(batch_summary[[#This Row],[video]],"_",2),".",1)</f>
        <v>190000</v>
      </c>
    </row>
    <row r="156" spans="1:37" x14ac:dyDescent="0.2">
      <c r="A156" s="1" t="s">
        <v>3104</v>
      </c>
      <c r="B156" s="1" t="s">
        <v>3105</v>
      </c>
      <c r="C156">
        <v>119.95833333333333</v>
      </c>
      <c r="D156">
        <v>2879</v>
      </c>
      <c r="E156">
        <v>0.37569810636341572</v>
      </c>
      <c r="F156">
        <v>36.878063003532588</v>
      </c>
      <c r="G156">
        <v>1.3049604250205479E-4</v>
      </c>
      <c r="H156">
        <v>1.2809330671598677E-2</v>
      </c>
      <c r="I156">
        <v>5</v>
      </c>
      <c r="J156" t="b">
        <v>1</v>
      </c>
      <c r="K156">
        <v>0.65</v>
      </c>
      <c r="L156">
        <v>1.3</v>
      </c>
      <c r="M156" t="b">
        <v>1</v>
      </c>
      <c r="N156">
        <v>200</v>
      </c>
      <c r="O156" t="b">
        <v>0</v>
      </c>
      <c r="P156" t="b">
        <v>0</v>
      </c>
      <c r="Q156">
        <v>0.7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s="1" t="s">
        <v>3106</v>
      </c>
      <c r="AG156" s="1" t="s">
        <v>3107</v>
      </c>
      <c r="AH156" s="1" t="s">
        <v>3108</v>
      </c>
      <c r="AI156" s="1" t="str">
        <f>_xlfn.TEXTAFTER(_xlfn.TEXTBEFORE(batch_summary[[#This Row],[video]],"_",1),"-",3)</f>
        <v>16</v>
      </c>
      <c r="AJ156" s="1" t="str">
        <f>_xlfn.TEXTBEFORE(_xlfn.TEXTAFTER(batch_summary[[#This Row],[video]],"_",1),"_",1)</f>
        <v>20260320</v>
      </c>
      <c r="AK156" s="1" t="str">
        <f>_xlfn.TEXTBEFORE(_xlfn.TEXTAFTER(batch_summary[[#This Row],[video]],"_",2),".",1)</f>
        <v>060000</v>
      </c>
    </row>
    <row r="157" spans="1:37" x14ac:dyDescent="0.2">
      <c r="A157" s="1" t="s">
        <v>3109</v>
      </c>
      <c r="B157" s="1" t="s">
        <v>3110</v>
      </c>
      <c r="C157">
        <v>119.95833333333333</v>
      </c>
      <c r="D157">
        <v>2879</v>
      </c>
      <c r="E157">
        <v>0.38400019705295563</v>
      </c>
      <c r="F157">
        <v>37.292444602586329</v>
      </c>
      <c r="G157">
        <v>1.3337971415524683E-4</v>
      </c>
      <c r="H157">
        <v>1.2953263147824358E-2</v>
      </c>
      <c r="I157">
        <v>5</v>
      </c>
      <c r="J157" t="b">
        <v>1</v>
      </c>
      <c r="K157">
        <v>0.65</v>
      </c>
      <c r="L157">
        <v>1.3</v>
      </c>
      <c r="M157" t="b">
        <v>1</v>
      </c>
      <c r="N157">
        <v>200</v>
      </c>
      <c r="O157" t="b">
        <v>0</v>
      </c>
      <c r="P157" t="b">
        <v>0</v>
      </c>
      <c r="Q157">
        <v>0.7</v>
      </c>
      <c r="R157">
        <v>5971.4656465053558</v>
      </c>
      <c r="S157">
        <v>6274.3885309696198</v>
      </c>
      <c r="T157">
        <v>0</v>
      </c>
      <c r="U157">
        <v>0</v>
      </c>
      <c r="V157">
        <v>12245.854177474976</v>
      </c>
      <c r="W157">
        <v>0</v>
      </c>
      <c r="X157">
        <v>102.08423072573791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12245854177.474976</v>
      </c>
      <c r="AF157" s="1" t="s">
        <v>3111</v>
      </c>
      <c r="AG157" s="1" t="s">
        <v>3112</v>
      </c>
      <c r="AH157" s="1" t="s">
        <v>3113</v>
      </c>
      <c r="AI157" s="1" t="str">
        <f>_xlfn.TEXTAFTER(_xlfn.TEXTBEFORE(batch_summary[[#This Row],[video]],"_",1),"-",3)</f>
        <v>16</v>
      </c>
      <c r="AJ157" s="1" t="str">
        <f>_xlfn.TEXTBEFORE(_xlfn.TEXTAFTER(batch_summary[[#This Row],[video]],"_",1),"_",1)</f>
        <v>20260320</v>
      </c>
      <c r="AK157" s="1" t="str">
        <f>_xlfn.TEXTBEFORE(_xlfn.TEXTAFTER(batch_summary[[#This Row],[video]],"_",2),".",1)</f>
        <v>070000</v>
      </c>
    </row>
    <row r="158" spans="1:37" x14ac:dyDescent="0.2">
      <c r="A158" s="1" t="s">
        <v>3114</v>
      </c>
      <c r="B158" s="1" t="s">
        <v>3115</v>
      </c>
      <c r="C158">
        <v>119.95833333333333</v>
      </c>
      <c r="D158">
        <v>2879</v>
      </c>
      <c r="E158">
        <v>0.37890983186662197</v>
      </c>
      <c r="F158">
        <v>36.860431593842804</v>
      </c>
      <c r="G158">
        <v>1.3161161231907675E-4</v>
      </c>
      <c r="H158">
        <v>1.2803206527906497E-2</v>
      </c>
      <c r="I158">
        <v>5</v>
      </c>
      <c r="J158" t="b">
        <v>1</v>
      </c>
      <c r="K158">
        <v>0.65</v>
      </c>
      <c r="L158">
        <v>1.3</v>
      </c>
      <c r="M158" t="b">
        <v>1</v>
      </c>
      <c r="N158">
        <v>200</v>
      </c>
      <c r="O158" t="b">
        <v>0</v>
      </c>
      <c r="P158" t="b">
        <v>0</v>
      </c>
      <c r="Q158">
        <v>0.7</v>
      </c>
      <c r="R158">
        <v>1368.837260723114</v>
      </c>
      <c r="S158">
        <v>1955.8769416809082</v>
      </c>
      <c r="T158">
        <v>0</v>
      </c>
      <c r="U158">
        <v>0</v>
      </c>
      <c r="V158">
        <v>3324.7142024040222</v>
      </c>
      <c r="W158">
        <v>0</v>
      </c>
      <c r="X158">
        <v>27.71557515029404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3324714202.4040222</v>
      </c>
      <c r="AF158" s="1" t="s">
        <v>3116</v>
      </c>
      <c r="AG158" s="1" t="s">
        <v>3117</v>
      </c>
      <c r="AH158" s="1" t="s">
        <v>3118</v>
      </c>
      <c r="AI158" s="1" t="str">
        <f>_xlfn.TEXTAFTER(_xlfn.TEXTBEFORE(batch_summary[[#This Row],[video]],"_",1),"-",3)</f>
        <v>16</v>
      </c>
      <c r="AJ158" s="1" t="str">
        <f>_xlfn.TEXTBEFORE(_xlfn.TEXTAFTER(batch_summary[[#This Row],[video]],"_",1),"_",1)</f>
        <v>20260320</v>
      </c>
      <c r="AK158" s="1" t="str">
        <f>_xlfn.TEXTBEFORE(_xlfn.TEXTAFTER(batch_summary[[#This Row],[video]],"_",2),".",1)</f>
        <v>080000</v>
      </c>
    </row>
    <row r="159" spans="1:37" x14ac:dyDescent="0.2">
      <c r="A159" s="1" t="s">
        <v>3119</v>
      </c>
      <c r="B159" s="1" t="s">
        <v>3120</v>
      </c>
      <c r="C159">
        <v>119.95833333333333</v>
      </c>
      <c r="D159">
        <v>2879</v>
      </c>
      <c r="E159">
        <v>0.37944594118744135</v>
      </c>
      <c r="F159">
        <v>37.056599482893944</v>
      </c>
      <c r="G159">
        <v>1.3179782604634991E-4</v>
      </c>
      <c r="H159">
        <v>1.2871344037128845E-2</v>
      </c>
      <c r="I159">
        <v>5</v>
      </c>
      <c r="J159" t="b">
        <v>1</v>
      </c>
      <c r="K159">
        <v>0.65</v>
      </c>
      <c r="L159">
        <v>1.3</v>
      </c>
      <c r="M159" t="b">
        <v>1</v>
      </c>
      <c r="N159">
        <v>200</v>
      </c>
      <c r="O159" t="b">
        <v>0</v>
      </c>
      <c r="P159" t="b">
        <v>0</v>
      </c>
      <c r="Q159">
        <v>0.7</v>
      </c>
      <c r="R159">
        <v>204349.59288775921</v>
      </c>
      <c r="S159">
        <v>146176.44322264194</v>
      </c>
      <c r="T159">
        <v>164868.90335774422</v>
      </c>
      <c r="U159">
        <v>101099.78084480762</v>
      </c>
      <c r="V159">
        <v>350526.03611040115</v>
      </c>
      <c r="W159">
        <v>265968.68420255184</v>
      </c>
      <c r="X159">
        <v>2922.0649067904233</v>
      </c>
      <c r="Y159">
        <v>2217.1755543109566</v>
      </c>
      <c r="Z159">
        <v>878.09581578493112</v>
      </c>
      <c r="AA159">
        <v>66.49217105063795</v>
      </c>
      <c r="AB159">
        <v>1648.6890335774422</v>
      </c>
      <c r="AC159">
        <v>1010.9978084480763</v>
      </c>
      <c r="AD159">
        <v>2659.6868420255187</v>
      </c>
      <c r="AE159">
        <v>1.3179222101330306</v>
      </c>
      <c r="AF159" s="1" t="s">
        <v>3121</v>
      </c>
      <c r="AG159" s="1" t="s">
        <v>3122</v>
      </c>
      <c r="AH159" s="1" t="s">
        <v>3123</v>
      </c>
      <c r="AI159" s="1" t="str">
        <f>_xlfn.TEXTAFTER(_xlfn.TEXTBEFORE(batch_summary[[#This Row],[video]],"_",1),"-",3)</f>
        <v>16</v>
      </c>
      <c r="AJ159" s="1" t="str">
        <f>_xlfn.TEXTBEFORE(_xlfn.TEXTAFTER(batch_summary[[#This Row],[video]],"_",1),"_",1)</f>
        <v>20260320</v>
      </c>
      <c r="AK159" s="1" t="str">
        <f>_xlfn.TEXTBEFORE(_xlfn.TEXTAFTER(batch_summary[[#This Row],[video]],"_",2),".",1)</f>
        <v>090000</v>
      </c>
    </row>
    <row r="160" spans="1:37" x14ac:dyDescent="0.2">
      <c r="A160" s="1" t="s">
        <v>3124</v>
      </c>
      <c r="B160" s="1" t="s">
        <v>3125</v>
      </c>
      <c r="C160">
        <v>119.95833333333333</v>
      </c>
      <c r="D160">
        <v>2879</v>
      </c>
      <c r="E160">
        <v>0.37931331619620323</v>
      </c>
      <c r="F160">
        <v>37.037529026158154</v>
      </c>
      <c r="G160">
        <v>1.3175175970691326E-4</v>
      </c>
      <c r="H160">
        <v>1.2864720050766986E-2</v>
      </c>
      <c r="I160">
        <v>5</v>
      </c>
      <c r="J160" t="b">
        <v>1</v>
      </c>
      <c r="K160">
        <v>0.65</v>
      </c>
      <c r="L160">
        <v>1.3</v>
      </c>
      <c r="M160" t="b">
        <v>1</v>
      </c>
      <c r="N160">
        <v>200</v>
      </c>
      <c r="O160" t="b">
        <v>0</v>
      </c>
      <c r="P160" t="b">
        <v>0</v>
      </c>
      <c r="Q160">
        <v>0.7</v>
      </c>
      <c r="R160">
        <v>87146.620142579079</v>
      </c>
      <c r="S160">
        <v>131293.42028355598</v>
      </c>
      <c r="T160">
        <v>65078.160453796387</v>
      </c>
      <c r="U160">
        <v>110679.77828216553</v>
      </c>
      <c r="V160">
        <v>218440.04042613506</v>
      </c>
      <c r="W160">
        <v>175757.93873596191</v>
      </c>
      <c r="X160">
        <v>1820.9659500615637</v>
      </c>
      <c r="Y160">
        <v>1465.1582249611274</v>
      </c>
      <c r="Z160">
        <v>975.4692290878296</v>
      </c>
      <c r="AA160">
        <v>43.939484683990479</v>
      </c>
      <c r="AB160">
        <v>650.78160453796386</v>
      </c>
      <c r="AC160">
        <v>1106.7977828216553</v>
      </c>
      <c r="AD160">
        <v>1757.5793873596192</v>
      </c>
      <c r="AE160">
        <v>1.2428459391202449</v>
      </c>
      <c r="AF160" s="1" t="s">
        <v>3126</v>
      </c>
      <c r="AG160" s="1" t="s">
        <v>3127</v>
      </c>
      <c r="AH160" s="1" t="s">
        <v>3128</v>
      </c>
      <c r="AI160" s="1" t="str">
        <f>_xlfn.TEXTAFTER(_xlfn.TEXTBEFORE(batch_summary[[#This Row],[video]],"_",1),"-",3)</f>
        <v>16</v>
      </c>
      <c r="AJ160" s="1" t="str">
        <f>_xlfn.TEXTBEFORE(_xlfn.TEXTAFTER(batch_summary[[#This Row],[video]],"_",1),"_",1)</f>
        <v>20260320</v>
      </c>
      <c r="AK160" s="1" t="str">
        <f>_xlfn.TEXTBEFORE(_xlfn.TEXTAFTER(batch_summary[[#This Row],[video]],"_",2),".",1)</f>
        <v>100000</v>
      </c>
    </row>
    <row r="161" spans="1:37" x14ac:dyDescent="0.2">
      <c r="A161" s="1" t="s">
        <v>3129</v>
      </c>
      <c r="B161" s="1" t="s">
        <v>3130</v>
      </c>
      <c r="C161">
        <v>119.95833333333333</v>
      </c>
      <c r="D161">
        <v>2879</v>
      </c>
      <c r="E161">
        <v>0.39986462984234095</v>
      </c>
      <c r="F161">
        <v>37.98811690043658</v>
      </c>
      <c r="G161">
        <v>1.3889011109494303E-4</v>
      </c>
      <c r="H161">
        <v>1.3194899930683077E-2</v>
      </c>
      <c r="I161">
        <v>5</v>
      </c>
      <c r="J161" t="b">
        <v>1</v>
      </c>
      <c r="K161">
        <v>0.65</v>
      </c>
      <c r="L161">
        <v>1.3</v>
      </c>
      <c r="M161" t="b">
        <v>1</v>
      </c>
      <c r="N161">
        <v>200</v>
      </c>
      <c r="O161" t="b">
        <v>0</v>
      </c>
      <c r="P161" t="b">
        <v>0</v>
      </c>
      <c r="Q161">
        <v>0.7</v>
      </c>
      <c r="R161">
        <v>2724322.3740863204</v>
      </c>
      <c r="S161">
        <v>2372318.9474385381</v>
      </c>
      <c r="T161">
        <v>2229870.7421019077</v>
      </c>
      <c r="U161">
        <v>1906150.1568844914</v>
      </c>
      <c r="V161">
        <v>5096641.3215248585</v>
      </c>
      <c r="W161">
        <v>4136020.8989863992</v>
      </c>
      <c r="X161">
        <v>42486.763361096426</v>
      </c>
      <c r="Y161">
        <v>34478.812634829308</v>
      </c>
      <c r="Z161">
        <v>3843.1667176485062</v>
      </c>
      <c r="AA161">
        <v>1034.0052247465999</v>
      </c>
      <c r="AB161">
        <v>22298.707421019077</v>
      </c>
      <c r="AC161">
        <v>19061.501568844913</v>
      </c>
      <c r="AD161">
        <v>41360.20898986399</v>
      </c>
      <c r="AE161">
        <v>1.2322571490811072</v>
      </c>
      <c r="AF161" s="1" t="s">
        <v>3131</v>
      </c>
      <c r="AG161" s="1" t="s">
        <v>3132</v>
      </c>
      <c r="AH161" s="1" t="s">
        <v>3133</v>
      </c>
      <c r="AI161" s="1" t="str">
        <f>_xlfn.TEXTAFTER(_xlfn.TEXTBEFORE(batch_summary[[#This Row],[video]],"_",1),"-",3)</f>
        <v>16</v>
      </c>
      <c r="AJ161" s="1" t="str">
        <f>_xlfn.TEXTBEFORE(_xlfn.TEXTAFTER(batch_summary[[#This Row],[video]],"_",1),"_",1)</f>
        <v>20260320</v>
      </c>
      <c r="AK161" s="1" t="str">
        <f>_xlfn.TEXTBEFORE(_xlfn.TEXTAFTER(batch_summary[[#This Row],[video]],"_",2),".",1)</f>
        <v>110000</v>
      </c>
    </row>
    <row r="162" spans="1:37" x14ac:dyDescent="0.2">
      <c r="A162" s="1" t="s">
        <v>3134</v>
      </c>
      <c r="B162" s="1" t="s">
        <v>3135</v>
      </c>
      <c r="C162">
        <v>119.95833333333333</v>
      </c>
      <c r="D162">
        <v>2879</v>
      </c>
      <c r="E162">
        <v>0.40121338050812483</v>
      </c>
      <c r="F162">
        <v>38.369563277810812</v>
      </c>
      <c r="G162">
        <v>1.393585899646144E-4</v>
      </c>
      <c r="H162">
        <v>1.3327392593890522E-2</v>
      </c>
      <c r="I162">
        <v>5</v>
      </c>
      <c r="J162" t="b">
        <v>1</v>
      </c>
      <c r="K162">
        <v>0.65</v>
      </c>
      <c r="L162">
        <v>1.3</v>
      </c>
      <c r="M162" t="b">
        <v>1</v>
      </c>
      <c r="N162">
        <v>200</v>
      </c>
      <c r="O162" t="b">
        <v>0</v>
      </c>
      <c r="P162" t="b">
        <v>0</v>
      </c>
      <c r="Q162">
        <v>0.7</v>
      </c>
      <c r="R162">
        <v>2210282.3720781207</v>
      </c>
      <c r="S162">
        <v>2555243.8527632952</v>
      </c>
      <c r="T162">
        <v>1729123.3239080906</v>
      </c>
      <c r="U162">
        <v>2076060.9682098031</v>
      </c>
      <c r="V162">
        <v>4765526.2248414159</v>
      </c>
      <c r="W162">
        <v>3805184.2921178937</v>
      </c>
      <c r="X162">
        <v>39726.512468285509</v>
      </c>
      <c r="Y162">
        <v>31720.883296571537</v>
      </c>
      <c r="Z162">
        <v>2790.1598077392578</v>
      </c>
      <c r="AA162">
        <v>951.29607302947329</v>
      </c>
      <c r="AB162">
        <v>17291.233239080906</v>
      </c>
      <c r="AC162">
        <v>20760.609682098031</v>
      </c>
      <c r="AD162">
        <v>38051.842921178933</v>
      </c>
      <c r="AE162">
        <v>1.2523772461462082</v>
      </c>
      <c r="AF162" s="1" t="s">
        <v>3136</v>
      </c>
      <c r="AG162" s="1" t="s">
        <v>3137</v>
      </c>
      <c r="AH162" s="1" t="s">
        <v>3138</v>
      </c>
      <c r="AI162" s="1" t="str">
        <f>_xlfn.TEXTAFTER(_xlfn.TEXTBEFORE(batch_summary[[#This Row],[video]],"_",1),"-",3)</f>
        <v>16</v>
      </c>
      <c r="AJ162" s="1" t="str">
        <f>_xlfn.TEXTBEFORE(_xlfn.TEXTAFTER(batch_summary[[#This Row],[video]],"_",1),"_",1)</f>
        <v>20260320</v>
      </c>
      <c r="AK162" s="1" t="str">
        <f>_xlfn.TEXTBEFORE(_xlfn.TEXTAFTER(batch_summary[[#This Row],[video]],"_",2),".",1)</f>
        <v>120000</v>
      </c>
    </row>
    <row r="163" spans="1:37" x14ac:dyDescent="0.2">
      <c r="A163" s="1" t="s">
        <v>3139</v>
      </c>
      <c r="B163" s="1" t="s">
        <v>3140</v>
      </c>
      <c r="C163">
        <v>119.95833333333333</v>
      </c>
      <c r="D163">
        <v>2879</v>
      </c>
      <c r="E163">
        <v>0.40670871548354626</v>
      </c>
      <c r="F163">
        <v>38.56566450279206</v>
      </c>
      <c r="G163">
        <v>1.4126735515232588E-4</v>
      </c>
      <c r="H163">
        <v>1.339550694782635E-2</v>
      </c>
      <c r="I163">
        <v>5</v>
      </c>
      <c r="J163" t="b">
        <v>1</v>
      </c>
      <c r="K163">
        <v>0.65</v>
      </c>
      <c r="L163">
        <v>1.3</v>
      </c>
      <c r="M163" t="b">
        <v>1</v>
      </c>
      <c r="N163">
        <v>200</v>
      </c>
      <c r="O163" t="b">
        <v>0</v>
      </c>
      <c r="P163" t="b">
        <v>0</v>
      </c>
      <c r="Q163">
        <v>0.7</v>
      </c>
      <c r="R163">
        <v>4012375.0680354834</v>
      </c>
      <c r="S163">
        <v>4225772.9596251845</v>
      </c>
      <c r="T163">
        <v>3354891.0787036419</v>
      </c>
      <c r="U163">
        <v>3607243.0224487185</v>
      </c>
      <c r="V163">
        <v>8238148.0276606679</v>
      </c>
      <c r="W163">
        <v>6962134.1011523604</v>
      </c>
      <c r="X163">
        <v>68675.079077407441</v>
      </c>
      <c r="Y163">
        <v>58037.936237463233</v>
      </c>
      <c r="Z163">
        <v>4321.0769459152225</v>
      </c>
      <c r="AA163">
        <v>1740.5335252880898</v>
      </c>
      <c r="AB163">
        <v>33548.910787036417</v>
      </c>
      <c r="AC163">
        <v>36072.430224487187</v>
      </c>
      <c r="AD163">
        <v>69621.341011523604</v>
      </c>
      <c r="AE163">
        <v>1.1832791365361812</v>
      </c>
      <c r="AF163" s="1" t="s">
        <v>3141</v>
      </c>
      <c r="AG163" s="1" t="s">
        <v>3142</v>
      </c>
      <c r="AH163" s="1" t="s">
        <v>3143</v>
      </c>
      <c r="AI163" s="1" t="str">
        <f>_xlfn.TEXTAFTER(_xlfn.TEXTBEFORE(batch_summary[[#This Row],[video]],"_",1),"-",3)</f>
        <v>16</v>
      </c>
      <c r="AJ163" s="1" t="str">
        <f>_xlfn.TEXTBEFORE(_xlfn.TEXTAFTER(batch_summary[[#This Row],[video]],"_",1),"_",1)</f>
        <v>20260320</v>
      </c>
      <c r="AK163" s="1" t="str">
        <f>_xlfn.TEXTBEFORE(_xlfn.TEXTAFTER(batch_summary[[#This Row],[video]],"_",2),".",1)</f>
        <v>130000</v>
      </c>
    </row>
    <row r="164" spans="1:37" x14ac:dyDescent="0.2">
      <c r="A164" s="1" t="s">
        <v>3144</v>
      </c>
      <c r="B164" s="1" t="s">
        <v>3145</v>
      </c>
      <c r="C164">
        <v>119.95833333333333</v>
      </c>
      <c r="D164">
        <v>2879</v>
      </c>
      <c r="E164">
        <v>0.40692106541246176</v>
      </c>
      <c r="F164">
        <v>38.635232172906399</v>
      </c>
      <c r="G164">
        <v>1.4134111337702734E-4</v>
      </c>
      <c r="H164">
        <v>1.341967077905745E-2</v>
      </c>
      <c r="I164">
        <v>5</v>
      </c>
      <c r="J164" t="b">
        <v>1</v>
      </c>
      <c r="K164">
        <v>0.65</v>
      </c>
      <c r="L164">
        <v>1.3</v>
      </c>
      <c r="M164" t="b">
        <v>1</v>
      </c>
      <c r="N164">
        <v>200</v>
      </c>
      <c r="O164" t="b">
        <v>0</v>
      </c>
      <c r="P164" t="b">
        <v>0</v>
      </c>
      <c r="Q164">
        <v>0.7</v>
      </c>
      <c r="R164">
        <v>5518680.6731706262</v>
      </c>
      <c r="S164">
        <v>4436626.3386853337</v>
      </c>
      <c r="T164">
        <v>4892847.1355314255</v>
      </c>
      <c r="U164">
        <v>3820894.6094269156</v>
      </c>
      <c r="V164">
        <v>9955307.0118559599</v>
      </c>
      <c r="W164">
        <v>8713741.7449583411</v>
      </c>
      <c r="X164">
        <v>82989.707636173334</v>
      </c>
      <c r="Y164">
        <v>72639.73667210844</v>
      </c>
      <c r="Z164">
        <v>5259.4946399879454</v>
      </c>
      <c r="AA164">
        <v>2178.4354362395852</v>
      </c>
      <c r="AB164">
        <v>48928.471355314257</v>
      </c>
      <c r="AC164">
        <v>38208.946094269158</v>
      </c>
      <c r="AD164">
        <v>87137.417449583416</v>
      </c>
      <c r="AE164">
        <v>1.1424835969709537</v>
      </c>
      <c r="AF164" s="1" t="s">
        <v>3146</v>
      </c>
      <c r="AG164" s="1" t="s">
        <v>3147</v>
      </c>
      <c r="AH164" s="1" t="s">
        <v>3148</v>
      </c>
      <c r="AI164" s="1" t="str">
        <f>_xlfn.TEXTAFTER(_xlfn.TEXTBEFORE(batch_summary[[#This Row],[video]],"_",1),"-",3)</f>
        <v>16</v>
      </c>
      <c r="AJ164" s="1" t="str">
        <f>_xlfn.TEXTBEFORE(_xlfn.TEXTAFTER(batch_summary[[#This Row],[video]],"_",1),"_",1)</f>
        <v>20260320</v>
      </c>
      <c r="AK164" s="1" t="str">
        <f>_xlfn.TEXTBEFORE(_xlfn.TEXTAFTER(batch_summary[[#This Row],[video]],"_",2),".",1)</f>
        <v>140000</v>
      </c>
    </row>
    <row r="165" spans="1:37" x14ac:dyDescent="0.2">
      <c r="A165" s="1" t="s">
        <v>3149</v>
      </c>
      <c r="B165" s="1" t="s">
        <v>3150</v>
      </c>
      <c r="C165">
        <v>119.95833333333333</v>
      </c>
      <c r="D165">
        <v>2879</v>
      </c>
      <c r="E165">
        <v>0.41325650177896023</v>
      </c>
      <c r="F165">
        <v>38.887342425994575</v>
      </c>
      <c r="G165">
        <v>1.4354168175719355E-4</v>
      </c>
      <c r="H165">
        <v>1.3507239467174218E-2</v>
      </c>
      <c r="I165">
        <v>5</v>
      </c>
      <c r="J165" t="b">
        <v>1</v>
      </c>
      <c r="K165">
        <v>0.65</v>
      </c>
      <c r="L165">
        <v>1.3</v>
      </c>
      <c r="M165" t="b">
        <v>1</v>
      </c>
      <c r="N165">
        <v>200</v>
      </c>
      <c r="O165" t="b">
        <v>0</v>
      </c>
      <c r="P165" t="b">
        <v>0</v>
      </c>
      <c r="Q165">
        <v>0.7</v>
      </c>
      <c r="R165">
        <v>2671594.2119088173</v>
      </c>
      <c r="S165">
        <v>2663452.1048969626</v>
      </c>
      <c r="T165">
        <v>2050960.3097121716</v>
      </c>
      <c r="U165">
        <v>2001767.0093698502</v>
      </c>
      <c r="V165">
        <v>5335046.3168057799</v>
      </c>
      <c r="W165">
        <v>4052727.3190820217</v>
      </c>
      <c r="X165">
        <v>44474.161723980105</v>
      </c>
      <c r="Y165">
        <v>33784.458373729947</v>
      </c>
      <c r="Z165">
        <v>2391.1845088976625</v>
      </c>
      <c r="AA165">
        <v>1013.1818297705055</v>
      </c>
      <c r="AB165">
        <v>20509.603097121715</v>
      </c>
      <c r="AC165">
        <v>20017.6700936985</v>
      </c>
      <c r="AD165">
        <v>40527.273190820211</v>
      </c>
      <c r="AE165">
        <v>1.316408901158002</v>
      </c>
      <c r="AF165" s="1" t="s">
        <v>3151</v>
      </c>
      <c r="AG165" s="1" t="s">
        <v>3152</v>
      </c>
      <c r="AH165" s="1" t="s">
        <v>3153</v>
      </c>
      <c r="AI165" s="1" t="str">
        <f>_xlfn.TEXTAFTER(_xlfn.TEXTBEFORE(batch_summary[[#This Row],[video]],"_",1),"-",3)</f>
        <v>16</v>
      </c>
      <c r="AJ165" s="1" t="str">
        <f>_xlfn.TEXTBEFORE(_xlfn.TEXTAFTER(batch_summary[[#This Row],[video]],"_",1),"_",1)</f>
        <v>20260320</v>
      </c>
      <c r="AK165" s="1" t="str">
        <f>_xlfn.TEXTBEFORE(_xlfn.TEXTAFTER(batch_summary[[#This Row],[video]],"_",2),".",1)</f>
        <v>150000</v>
      </c>
    </row>
    <row r="166" spans="1:37" x14ac:dyDescent="0.2">
      <c r="A166" s="1" t="s">
        <v>3154</v>
      </c>
      <c r="B166" s="1" t="s">
        <v>3155</v>
      </c>
      <c r="C166">
        <v>119.95833333333333</v>
      </c>
      <c r="D166">
        <v>2879</v>
      </c>
      <c r="E166">
        <v>0.39982108771800995</v>
      </c>
      <c r="F166">
        <v>38.25726415310055</v>
      </c>
      <c r="G166">
        <v>1.3887498705036816E-4</v>
      </c>
      <c r="H166">
        <v>1.3288386298402415E-2</v>
      </c>
      <c r="I166">
        <v>5</v>
      </c>
      <c r="J166" t="b">
        <v>1</v>
      </c>
      <c r="K166">
        <v>0.65</v>
      </c>
      <c r="L166">
        <v>1.3</v>
      </c>
      <c r="M166" t="b">
        <v>1</v>
      </c>
      <c r="N166">
        <v>200</v>
      </c>
      <c r="O166" t="b">
        <v>0</v>
      </c>
      <c r="P166" t="b">
        <v>0</v>
      </c>
      <c r="Q166">
        <v>0.7</v>
      </c>
      <c r="R166">
        <v>1976863.9041855335</v>
      </c>
      <c r="S166">
        <v>1824317.5464684367</v>
      </c>
      <c r="T166">
        <v>1690351.016559124</v>
      </c>
      <c r="U166">
        <v>1548800.1675588489</v>
      </c>
      <c r="V166">
        <v>3801181.4506539702</v>
      </c>
      <c r="W166">
        <v>3239151.1841179729</v>
      </c>
      <c r="X166">
        <v>31687.514698053245</v>
      </c>
      <c r="Y166">
        <v>27002.30233373788</v>
      </c>
      <c r="Z166">
        <v>3322.3993969202043</v>
      </c>
      <c r="AA166">
        <v>809.78779602949328</v>
      </c>
      <c r="AB166">
        <v>16903.51016559124</v>
      </c>
      <c r="AC166">
        <v>15488.001675588488</v>
      </c>
      <c r="AD166">
        <v>32391.51184117973</v>
      </c>
      <c r="AE166">
        <v>1.173511588249327</v>
      </c>
      <c r="AF166" s="1" t="s">
        <v>3156</v>
      </c>
      <c r="AG166" s="1" t="s">
        <v>3157</v>
      </c>
      <c r="AH166" s="1" t="s">
        <v>3158</v>
      </c>
      <c r="AI166" s="1" t="str">
        <f>_xlfn.TEXTAFTER(_xlfn.TEXTBEFORE(batch_summary[[#This Row],[video]],"_",1),"-",3)</f>
        <v>16</v>
      </c>
      <c r="AJ166" s="1" t="str">
        <f>_xlfn.TEXTBEFORE(_xlfn.TEXTAFTER(batch_summary[[#This Row],[video]],"_",1),"_",1)</f>
        <v>20260320</v>
      </c>
      <c r="AK166" s="1" t="str">
        <f>_xlfn.TEXTBEFORE(_xlfn.TEXTAFTER(batch_summary[[#This Row],[video]],"_",2),".",1)</f>
        <v>160000</v>
      </c>
    </row>
    <row r="167" spans="1:37" x14ac:dyDescent="0.2">
      <c r="A167" s="1" t="s">
        <v>3159</v>
      </c>
      <c r="B167" s="1" t="s">
        <v>3160</v>
      </c>
      <c r="C167">
        <v>119.95833333333333</v>
      </c>
      <c r="D167">
        <v>2879</v>
      </c>
      <c r="E167">
        <v>0.40713545493781567</v>
      </c>
      <c r="F167">
        <v>38.430068966001272</v>
      </c>
      <c r="G167">
        <v>1.4141558004092243E-4</v>
      </c>
      <c r="H167">
        <v>1.3348408810698601E-2</v>
      </c>
      <c r="I167">
        <v>5</v>
      </c>
      <c r="J167" t="b">
        <v>1</v>
      </c>
      <c r="K167">
        <v>0.65</v>
      </c>
      <c r="L167">
        <v>1.3</v>
      </c>
      <c r="M167" t="b">
        <v>1</v>
      </c>
      <c r="N167">
        <v>200</v>
      </c>
      <c r="O167" t="b">
        <v>0</v>
      </c>
      <c r="P167" t="b">
        <v>0</v>
      </c>
      <c r="Q167">
        <v>0.7</v>
      </c>
      <c r="R167">
        <v>2422072.0952498913</v>
      </c>
      <c r="S167">
        <v>2417362.947748661</v>
      </c>
      <c r="T167">
        <v>2118457.9581236243</v>
      </c>
      <c r="U167">
        <v>2115459.372410655</v>
      </c>
      <c r="V167">
        <v>4839435.0429985523</v>
      </c>
      <c r="W167">
        <v>4233917.3305342793</v>
      </c>
      <c r="X167">
        <v>40342.6332170772</v>
      </c>
      <c r="Y167">
        <v>35294.89959458934</v>
      </c>
      <c r="Z167">
        <v>3141.9205006748439</v>
      </c>
      <c r="AA167">
        <v>1058.4793326335698</v>
      </c>
      <c r="AB167">
        <v>21184.579581236245</v>
      </c>
      <c r="AC167">
        <v>21154.593724106551</v>
      </c>
      <c r="AD167">
        <v>42339.173305342796</v>
      </c>
      <c r="AE167">
        <v>1.1430159507596862</v>
      </c>
      <c r="AF167" s="1" t="s">
        <v>3161</v>
      </c>
      <c r="AG167" s="1" t="s">
        <v>3162</v>
      </c>
      <c r="AH167" s="1" t="s">
        <v>3163</v>
      </c>
      <c r="AI167" s="1" t="str">
        <f>_xlfn.TEXTAFTER(_xlfn.TEXTBEFORE(batch_summary[[#This Row],[video]],"_",1),"-",3)</f>
        <v>16</v>
      </c>
      <c r="AJ167" s="1" t="str">
        <f>_xlfn.TEXTBEFORE(_xlfn.TEXTAFTER(batch_summary[[#This Row],[video]],"_",1),"_",1)</f>
        <v>20260320</v>
      </c>
      <c r="AK167" s="1" t="str">
        <f>_xlfn.TEXTBEFORE(_xlfn.TEXTAFTER(batch_summary[[#This Row],[video]],"_",2),".",1)</f>
        <v>170000</v>
      </c>
    </row>
    <row r="168" spans="1:37" x14ac:dyDescent="0.2">
      <c r="A168" s="1" t="s">
        <v>3164</v>
      </c>
      <c r="B168" s="1" t="s">
        <v>3165</v>
      </c>
      <c r="C168">
        <v>119.95833333333333</v>
      </c>
      <c r="D168">
        <v>2879</v>
      </c>
      <c r="E168">
        <v>0.3850112184882164</v>
      </c>
      <c r="F168">
        <v>37.452803855761886</v>
      </c>
      <c r="G168">
        <v>1.3373088519910261E-4</v>
      </c>
      <c r="H168">
        <v>1.3008962784217397E-2</v>
      </c>
      <c r="I168">
        <v>5</v>
      </c>
      <c r="J168" t="b">
        <v>1</v>
      </c>
      <c r="K168">
        <v>0.65</v>
      </c>
      <c r="L168">
        <v>1.3</v>
      </c>
      <c r="M168" t="b">
        <v>1</v>
      </c>
      <c r="N168">
        <v>200</v>
      </c>
      <c r="O168" t="b">
        <v>0</v>
      </c>
      <c r="P168" t="b">
        <v>0</v>
      </c>
      <c r="Q168">
        <v>0.7</v>
      </c>
      <c r="R168">
        <v>572516.25481945276</v>
      </c>
      <c r="S168">
        <v>540004.15901100636</v>
      </c>
      <c r="T168">
        <v>481097.75229716301</v>
      </c>
      <c r="U168">
        <v>467220.93666601181</v>
      </c>
      <c r="V168">
        <v>1112520.4138304591</v>
      </c>
      <c r="W168">
        <v>948318.68896317482</v>
      </c>
      <c r="X168">
        <v>9274.2236651375551</v>
      </c>
      <c r="Y168">
        <v>7905.4006721487312</v>
      </c>
      <c r="Z168">
        <v>1057.8758598327636</v>
      </c>
      <c r="AA168">
        <v>237.07967224079371</v>
      </c>
      <c r="AB168">
        <v>4810.9775229716297</v>
      </c>
      <c r="AC168">
        <v>4672.2093666601177</v>
      </c>
      <c r="AD168">
        <v>9483.1868896317465</v>
      </c>
      <c r="AE168">
        <v>1.1731503626136599</v>
      </c>
      <c r="AF168" s="1" t="s">
        <v>3166</v>
      </c>
      <c r="AG168" s="1" t="s">
        <v>3167</v>
      </c>
      <c r="AH168" s="1" t="s">
        <v>3168</v>
      </c>
      <c r="AI168" s="1" t="str">
        <f>_xlfn.TEXTAFTER(_xlfn.TEXTBEFORE(batch_summary[[#This Row],[video]],"_",1),"-",3)</f>
        <v>16</v>
      </c>
      <c r="AJ168" s="1" t="str">
        <f>_xlfn.TEXTBEFORE(_xlfn.TEXTAFTER(batch_summary[[#This Row],[video]],"_",1),"_",1)</f>
        <v>20260320</v>
      </c>
      <c r="AK168" s="1" t="str">
        <f>_xlfn.TEXTBEFORE(_xlfn.TEXTAFTER(batch_summary[[#This Row],[video]],"_",2),".",1)</f>
        <v>180000</v>
      </c>
    </row>
    <row r="169" spans="1:37" x14ac:dyDescent="0.2">
      <c r="A169" s="1" t="s">
        <v>3169</v>
      </c>
      <c r="B169" s="1" t="s">
        <v>3170</v>
      </c>
      <c r="C169">
        <v>119.95833333333333</v>
      </c>
      <c r="D169">
        <v>2879</v>
      </c>
      <c r="E169">
        <v>0.37700608186423779</v>
      </c>
      <c r="F169">
        <v>37.029856896959245</v>
      </c>
      <c r="G169">
        <v>1.3095035841064181E-4</v>
      </c>
      <c r="H169">
        <v>1.2862055191719084E-2</v>
      </c>
      <c r="I169">
        <v>5</v>
      </c>
      <c r="J169" t="b">
        <v>1</v>
      </c>
      <c r="K169">
        <v>0.65</v>
      </c>
      <c r="L169">
        <v>1.3</v>
      </c>
      <c r="M169" t="b">
        <v>1</v>
      </c>
      <c r="N169">
        <v>200</v>
      </c>
      <c r="O169" t="b">
        <v>0</v>
      </c>
      <c r="P169" t="b">
        <v>0</v>
      </c>
      <c r="Q169">
        <v>0.7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s="1" t="s">
        <v>3171</v>
      </c>
      <c r="AG169" s="1" t="s">
        <v>3172</v>
      </c>
      <c r="AH169" s="1" t="s">
        <v>3173</v>
      </c>
      <c r="AI169" s="1" t="str">
        <f>_xlfn.TEXTAFTER(_xlfn.TEXTBEFORE(batch_summary[[#This Row],[video]],"_",1),"-",3)</f>
        <v>16</v>
      </c>
      <c r="AJ169" s="1" t="str">
        <f>_xlfn.TEXTBEFORE(_xlfn.TEXTAFTER(batch_summary[[#This Row],[video]],"_",1),"_",1)</f>
        <v>20260320</v>
      </c>
      <c r="AK169" s="1" t="str">
        <f>_xlfn.TEXTBEFORE(_xlfn.TEXTAFTER(batch_summary[[#This Row],[video]],"_",2),".",1)</f>
        <v>190000</v>
      </c>
    </row>
    <row r="170" spans="1:37" x14ac:dyDescent="0.2">
      <c r="A170" s="1" t="s">
        <v>3174</v>
      </c>
      <c r="B170" s="1" t="s">
        <v>3175</v>
      </c>
      <c r="C170">
        <v>119.95833333333333</v>
      </c>
      <c r="D170">
        <v>2879</v>
      </c>
      <c r="E170">
        <v>0.37226220034062862</v>
      </c>
      <c r="F170">
        <v>37.017040343023837</v>
      </c>
      <c r="G170">
        <v>1.2930260518952019E-4</v>
      </c>
      <c r="H170">
        <v>1.2857603453638011E-2</v>
      </c>
      <c r="I170">
        <v>5</v>
      </c>
      <c r="J170" t="b">
        <v>1</v>
      </c>
      <c r="K170">
        <v>0.65</v>
      </c>
      <c r="L170">
        <v>1.3</v>
      </c>
      <c r="M170" t="b">
        <v>1</v>
      </c>
      <c r="N170">
        <v>200</v>
      </c>
      <c r="O170" t="b">
        <v>0</v>
      </c>
      <c r="P170" t="b">
        <v>0</v>
      </c>
      <c r="Q170">
        <v>0.7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s="1" t="s">
        <v>3176</v>
      </c>
      <c r="AG170" s="1" t="s">
        <v>3177</v>
      </c>
      <c r="AH170" s="1" t="s">
        <v>3178</v>
      </c>
      <c r="AI170" s="1" t="str">
        <f>_xlfn.TEXTAFTER(_xlfn.TEXTBEFORE(batch_summary[[#This Row],[video]],"_",1),"-",3)</f>
        <v>16</v>
      </c>
      <c r="AJ170" s="1" t="str">
        <f>_xlfn.TEXTBEFORE(_xlfn.TEXTAFTER(batch_summary[[#This Row],[video]],"_",1),"_",1)</f>
        <v>20260321</v>
      </c>
      <c r="AK170" s="1" t="str">
        <f>_xlfn.TEXTBEFORE(_xlfn.TEXTAFTER(batch_summary[[#This Row],[video]],"_",2),".",1)</f>
        <v>060000</v>
      </c>
    </row>
    <row r="171" spans="1:37" x14ac:dyDescent="0.2">
      <c r="A171" s="1" t="s">
        <v>3179</v>
      </c>
      <c r="B171" s="1" t="s">
        <v>3180</v>
      </c>
      <c r="C171">
        <v>119.95833333333333</v>
      </c>
      <c r="D171">
        <v>2879</v>
      </c>
      <c r="E171">
        <v>0.37795957736670971</v>
      </c>
      <c r="F171">
        <v>37.120915244333446</v>
      </c>
      <c r="G171">
        <v>1.3128154823435558E-4</v>
      </c>
      <c r="H171">
        <v>1.2893683655551736E-2</v>
      </c>
      <c r="I171">
        <v>5</v>
      </c>
      <c r="J171" t="b">
        <v>1</v>
      </c>
      <c r="K171">
        <v>0.65</v>
      </c>
      <c r="L171">
        <v>1.3</v>
      </c>
      <c r="M171" t="b">
        <v>1</v>
      </c>
      <c r="N171">
        <v>200</v>
      </c>
      <c r="O171" t="b">
        <v>0</v>
      </c>
      <c r="P171" t="b">
        <v>0</v>
      </c>
      <c r="Q171">
        <v>0.7</v>
      </c>
      <c r="R171">
        <v>12437.133358120918</v>
      </c>
      <c r="S171">
        <v>9450.0859715938568</v>
      </c>
      <c r="T171">
        <v>0</v>
      </c>
      <c r="U171">
        <v>0</v>
      </c>
      <c r="V171">
        <v>21887.219329714775</v>
      </c>
      <c r="W171">
        <v>0</v>
      </c>
      <c r="X171">
        <v>182.45684748633366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21887219329.714775</v>
      </c>
      <c r="AF171" s="1" t="s">
        <v>3181</v>
      </c>
      <c r="AG171" s="1" t="s">
        <v>3182</v>
      </c>
      <c r="AH171" s="1" t="s">
        <v>3183</v>
      </c>
      <c r="AI171" s="1" t="str">
        <f>_xlfn.TEXTAFTER(_xlfn.TEXTBEFORE(batch_summary[[#This Row],[video]],"_",1),"-",3)</f>
        <v>16</v>
      </c>
      <c r="AJ171" s="1" t="str">
        <f>_xlfn.TEXTBEFORE(_xlfn.TEXTAFTER(batch_summary[[#This Row],[video]],"_",1),"_",1)</f>
        <v>20260321</v>
      </c>
      <c r="AK171" s="1" t="str">
        <f>_xlfn.TEXTBEFORE(_xlfn.TEXTAFTER(batch_summary[[#This Row],[video]],"_",2),".",1)</f>
        <v>070000</v>
      </c>
    </row>
    <row r="172" spans="1:37" x14ac:dyDescent="0.2">
      <c r="A172" s="1" t="s">
        <v>3184</v>
      </c>
      <c r="B172" s="1" t="s">
        <v>3185</v>
      </c>
      <c r="C172">
        <v>119.95833333333333</v>
      </c>
      <c r="D172">
        <v>2879</v>
      </c>
      <c r="E172">
        <v>0.37814452964812517</v>
      </c>
      <c r="F172">
        <v>36.84827917534858</v>
      </c>
      <c r="G172">
        <v>1.3134579008271106E-4</v>
      </c>
      <c r="H172">
        <v>1.2798985472507322E-2</v>
      </c>
      <c r="I172">
        <v>5</v>
      </c>
      <c r="J172" t="b">
        <v>1</v>
      </c>
      <c r="K172">
        <v>0.65</v>
      </c>
      <c r="L172">
        <v>1.3</v>
      </c>
      <c r="M172" t="b">
        <v>1</v>
      </c>
      <c r="N172">
        <v>200</v>
      </c>
      <c r="O172" t="b">
        <v>0</v>
      </c>
      <c r="P172" t="b">
        <v>0</v>
      </c>
      <c r="Q172">
        <v>0.7</v>
      </c>
      <c r="R172">
        <v>2649.5487858653069</v>
      </c>
      <c r="S172">
        <v>2077.6172817349434</v>
      </c>
      <c r="T172">
        <v>0</v>
      </c>
      <c r="U172">
        <v>0</v>
      </c>
      <c r="V172">
        <v>4727.1660676002502</v>
      </c>
      <c r="W172">
        <v>0</v>
      </c>
      <c r="X172">
        <v>39.406733456896845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4727166067.6002502</v>
      </c>
      <c r="AF172" s="1" t="s">
        <v>3186</v>
      </c>
      <c r="AG172" s="1" t="s">
        <v>3187</v>
      </c>
      <c r="AH172" s="1" t="s">
        <v>3188</v>
      </c>
      <c r="AI172" s="1" t="str">
        <f>_xlfn.TEXTAFTER(_xlfn.TEXTBEFORE(batch_summary[[#This Row],[video]],"_",1),"-",3)</f>
        <v>16</v>
      </c>
      <c r="AJ172" s="1" t="str">
        <f>_xlfn.TEXTBEFORE(_xlfn.TEXTAFTER(batch_summary[[#This Row],[video]],"_",1),"_",1)</f>
        <v>20260321</v>
      </c>
      <c r="AK172" s="1" t="str">
        <f>_xlfn.TEXTBEFORE(_xlfn.TEXTAFTER(batch_summary[[#This Row],[video]],"_",2),".",1)</f>
        <v>080000</v>
      </c>
    </row>
    <row r="173" spans="1:37" x14ac:dyDescent="0.2">
      <c r="A173" s="1" t="s">
        <v>3189</v>
      </c>
      <c r="B173" s="1" t="s">
        <v>3190</v>
      </c>
      <c r="C173">
        <v>119.95833333333333</v>
      </c>
      <c r="D173">
        <v>2879</v>
      </c>
      <c r="E173">
        <v>0.37827112153172493</v>
      </c>
      <c r="F173">
        <v>36.940512754023075</v>
      </c>
      <c r="G173">
        <v>1.3138976086548277E-4</v>
      </c>
      <c r="H173">
        <v>1.2831022144502631E-2</v>
      </c>
      <c r="I173">
        <v>5</v>
      </c>
      <c r="J173" t="b">
        <v>1</v>
      </c>
      <c r="K173">
        <v>0.65</v>
      </c>
      <c r="L173">
        <v>1.3</v>
      </c>
      <c r="M173" t="b">
        <v>1</v>
      </c>
      <c r="N173">
        <v>200</v>
      </c>
      <c r="O173" t="b">
        <v>0</v>
      </c>
      <c r="P173" t="b">
        <v>0</v>
      </c>
      <c r="Q173">
        <v>0.7</v>
      </c>
      <c r="R173">
        <v>2565.5974037647247</v>
      </c>
      <c r="S173">
        <v>2317.9040205478668</v>
      </c>
      <c r="T173">
        <v>0</v>
      </c>
      <c r="U173">
        <v>0</v>
      </c>
      <c r="V173">
        <v>4883.5014243125916</v>
      </c>
      <c r="W173">
        <v>0</v>
      </c>
      <c r="X173">
        <v>40.709980612539837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4883501424.3125916</v>
      </c>
      <c r="AF173" s="1" t="s">
        <v>3191</v>
      </c>
      <c r="AG173" s="1" t="s">
        <v>3192</v>
      </c>
      <c r="AH173" s="1" t="s">
        <v>3193</v>
      </c>
      <c r="AI173" s="1" t="str">
        <f>_xlfn.TEXTAFTER(_xlfn.TEXTBEFORE(batch_summary[[#This Row],[video]],"_",1),"-",3)</f>
        <v>16</v>
      </c>
      <c r="AJ173" s="1" t="str">
        <f>_xlfn.TEXTBEFORE(_xlfn.TEXTAFTER(batch_summary[[#This Row],[video]],"_",1),"_",1)</f>
        <v>20260321</v>
      </c>
      <c r="AK173" s="1" t="str">
        <f>_xlfn.TEXTBEFORE(_xlfn.TEXTAFTER(batch_summary[[#This Row],[video]],"_",2),".",1)</f>
        <v>090000</v>
      </c>
    </row>
    <row r="174" spans="1:37" x14ac:dyDescent="0.2">
      <c r="A174" s="1" t="s">
        <v>3194</v>
      </c>
      <c r="B174" s="1" t="s">
        <v>3195</v>
      </c>
      <c r="C174">
        <v>119.95833333333333</v>
      </c>
      <c r="D174">
        <v>2879</v>
      </c>
      <c r="E174">
        <v>0.37716690544039011</v>
      </c>
      <c r="F174">
        <v>36.908773321658373</v>
      </c>
      <c r="G174">
        <v>1.3100621932629042E-4</v>
      </c>
      <c r="H174">
        <v>1.2819997680325938E-2</v>
      </c>
      <c r="I174">
        <v>5</v>
      </c>
      <c r="J174" t="b">
        <v>1</v>
      </c>
      <c r="K174">
        <v>0.65</v>
      </c>
      <c r="L174">
        <v>1.3</v>
      </c>
      <c r="M174" t="b">
        <v>1</v>
      </c>
      <c r="N174">
        <v>200</v>
      </c>
      <c r="O174" t="b">
        <v>0</v>
      </c>
      <c r="P174" t="b">
        <v>0</v>
      </c>
      <c r="Q174">
        <v>0.7</v>
      </c>
      <c r="R174">
        <v>11276.288679361343</v>
      </c>
      <c r="S174">
        <v>43150.583962202072</v>
      </c>
      <c r="T174">
        <v>529.42559814453125</v>
      </c>
      <c r="U174">
        <v>32486.368545532227</v>
      </c>
      <c r="V174">
        <v>54426.872641563416</v>
      </c>
      <c r="W174">
        <v>33015.794143676758</v>
      </c>
      <c r="X174">
        <v>453.71481187826402</v>
      </c>
      <c r="Y174">
        <v>275.22718285802091</v>
      </c>
      <c r="Z174">
        <v>330.15794143676754</v>
      </c>
      <c r="AA174">
        <v>8.2539485359191893</v>
      </c>
      <c r="AB174">
        <v>5.2942559814453123</v>
      </c>
      <c r="AC174">
        <v>324.86368545532224</v>
      </c>
      <c r="AD174">
        <v>330.15794143676754</v>
      </c>
      <c r="AE174">
        <v>1.6485101768175201</v>
      </c>
      <c r="AF174" s="1" t="s">
        <v>3196</v>
      </c>
      <c r="AG174" s="1" t="s">
        <v>3197</v>
      </c>
      <c r="AH174" s="1" t="s">
        <v>3198</v>
      </c>
      <c r="AI174" s="1" t="str">
        <f>_xlfn.TEXTAFTER(_xlfn.TEXTBEFORE(batch_summary[[#This Row],[video]],"_",1),"-",3)</f>
        <v>16</v>
      </c>
      <c r="AJ174" s="1" t="str">
        <f>_xlfn.TEXTBEFORE(_xlfn.TEXTAFTER(batch_summary[[#This Row],[video]],"_",1),"_",1)</f>
        <v>20260321</v>
      </c>
      <c r="AK174" s="1" t="str">
        <f>_xlfn.TEXTBEFORE(_xlfn.TEXTAFTER(batch_summary[[#This Row],[video]],"_",2),".",1)</f>
        <v>100000</v>
      </c>
    </row>
    <row r="175" spans="1:37" x14ac:dyDescent="0.2">
      <c r="A175" s="1" t="s">
        <v>3199</v>
      </c>
      <c r="B175" s="1" t="s">
        <v>3200</v>
      </c>
      <c r="C175">
        <v>119.95833333333333</v>
      </c>
      <c r="D175">
        <v>2879</v>
      </c>
      <c r="E175">
        <v>0.39160446263849735</v>
      </c>
      <c r="F175">
        <v>37.515455298125744</v>
      </c>
      <c r="G175">
        <v>1.3602100126380596E-4</v>
      </c>
      <c r="H175">
        <v>1.3030724313346906E-2</v>
      </c>
      <c r="I175">
        <v>5</v>
      </c>
      <c r="J175" t="b">
        <v>1</v>
      </c>
      <c r="K175">
        <v>0.65</v>
      </c>
      <c r="L175">
        <v>1.3</v>
      </c>
      <c r="M175" t="b">
        <v>1</v>
      </c>
      <c r="N175">
        <v>200</v>
      </c>
      <c r="O175" t="b">
        <v>0</v>
      </c>
      <c r="P175" t="b">
        <v>0</v>
      </c>
      <c r="Q175">
        <v>0.7</v>
      </c>
      <c r="R175">
        <v>1385286.0528017282</v>
      </c>
      <c r="S175">
        <v>1094797.6350413561</v>
      </c>
      <c r="T175">
        <v>1073908.2657626867</v>
      </c>
      <c r="U175">
        <v>828403.40388548374</v>
      </c>
      <c r="V175">
        <v>2480083.6878430843</v>
      </c>
      <c r="W175">
        <v>1902311.6696481705</v>
      </c>
      <c r="X175">
        <v>20674.542726027797</v>
      </c>
      <c r="Y175">
        <v>15858.103533017053</v>
      </c>
      <c r="Z175">
        <v>2411.1941902756694</v>
      </c>
      <c r="AA175">
        <v>475.57791741204267</v>
      </c>
      <c r="AB175">
        <v>10739.082657626866</v>
      </c>
      <c r="AC175">
        <v>8284.0340388548375</v>
      </c>
      <c r="AD175">
        <v>19023.116696481702</v>
      </c>
      <c r="AE175">
        <v>1.3037210081888273</v>
      </c>
      <c r="AF175" s="1" t="s">
        <v>3201</v>
      </c>
      <c r="AG175" s="1" t="s">
        <v>3202</v>
      </c>
      <c r="AH175" s="1" t="s">
        <v>3203</v>
      </c>
      <c r="AI175" s="1" t="str">
        <f>_xlfn.TEXTAFTER(_xlfn.TEXTBEFORE(batch_summary[[#This Row],[video]],"_",1),"-",3)</f>
        <v>16</v>
      </c>
      <c r="AJ175" s="1" t="str">
        <f>_xlfn.TEXTBEFORE(_xlfn.TEXTAFTER(batch_summary[[#This Row],[video]],"_",1),"_",1)</f>
        <v>20260321</v>
      </c>
      <c r="AK175" s="1" t="str">
        <f>_xlfn.TEXTBEFORE(_xlfn.TEXTAFTER(batch_summary[[#This Row],[video]],"_",2),".",1)</f>
        <v>110000</v>
      </c>
    </row>
    <row r="176" spans="1:37" x14ac:dyDescent="0.2">
      <c r="A176" s="1" t="s">
        <v>3204</v>
      </c>
      <c r="B176" s="1" t="s">
        <v>3205</v>
      </c>
      <c r="C176">
        <v>119.95833333333333</v>
      </c>
      <c r="D176">
        <v>2879</v>
      </c>
      <c r="E176">
        <v>0.40387373324483633</v>
      </c>
      <c r="F176">
        <v>38.681723392568529</v>
      </c>
      <c r="G176">
        <v>1.4028264440598691E-4</v>
      </c>
      <c r="H176">
        <v>1.3435819170742802E-2</v>
      </c>
      <c r="I176">
        <v>5</v>
      </c>
      <c r="J176" t="b">
        <v>1</v>
      </c>
      <c r="K176">
        <v>0.65</v>
      </c>
      <c r="L176">
        <v>1.3</v>
      </c>
      <c r="M176" t="b">
        <v>1</v>
      </c>
      <c r="N176">
        <v>200</v>
      </c>
      <c r="O176" t="b">
        <v>0</v>
      </c>
      <c r="P176" t="b">
        <v>0</v>
      </c>
      <c r="Q176">
        <v>0.7</v>
      </c>
      <c r="R176">
        <v>9480896.0696284771</v>
      </c>
      <c r="S176">
        <v>9982592.6629873514</v>
      </c>
      <c r="T176">
        <v>8333822.8606371284</v>
      </c>
      <c r="U176">
        <v>8889128.8823426366</v>
      </c>
      <c r="V176">
        <v>19463488.732615829</v>
      </c>
      <c r="W176">
        <v>17222951.742979765</v>
      </c>
      <c r="X176">
        <v>162252.07696518928</v>
      </c>
      <c r="Y176">
        <v>143574.45009778198</v>
      </c>
      <c r="Z176">
        <v>7142.3491669344903</v>
      </c>
      <c r="AA176">
        <v>4305.7379357449408</v>
      </c>
      <c r="AB176">
        <v>83338.228606371282</v>
      </c>
      <c r="AC176">
        <v>88891.288823426366</v>
      </c>
      <c r="AD176">
        <v>172229.51742979765</v>
      </c>
      <c r="AE176">
        <v>1.1300901856471455</v>
      </c>
      <c r="AF176" s="1" t="s">
        <v>3206</v>
      </c>
      <c r="AG176" s="1" t="s">
        <v>3207</v>
      </c>
      <c r="AH176" s="1" t="s">
        <v>3208</v>
      </c>
      <c r="AI176" s="1" t="str">
        <f>_xlfn.TEXTAFTER(_xlfn.TEXTBEFORE(batch_summary[[#This Row],[video]],"_",1),"-",3)</f>
        <v>16</v>
      </c>
      <c r="AJ176" s="1" t="str">
        <f>_xlfn.TEXTBEFORE(_xlfn.TEXTAFTER(batch_summary[[#This Row],[video]],"_",1),"_",1)</f>
        <v>20260321</v>
      </c>
      <c r="AK176" s="1" t="str">
        <f>_xlfn.TEXTBEFORE(_xlfn.TEXTAFTER(batch_summary[[#This Row],[video]],"_",2),".",1)</f>
        <v>120000</v>
      </c>
    </row>
    <row r="177" spans="1:37" x14ac:dyDescent="0.2">
      <c r="A177" s="1" t="s">
        <v>3209</v>
      </c>
      <c r="B177" s="1" t="s">
        <v>3210</v>
      </c>
      <c r="C177">
        <v>119.95833333333333</v>
      </c>
      <c r="D177">
        <v>2879</v>
      </c>
      <c r="E177">
        <v>0.41195052769035101</v>
      </c>
      <c r="F177">
        <v>38.937058452516794</v>
      </c>
      <c r="G177">
        <v>1.4308806102478327E-4</v>
      </c>
      <c r="H177">
        <v>1.3524507972392078E-2</v>
      </c>
      <c r="I177">
        <v>5</v>
      </c>
      <c r="J177" t="b">
        <v>1</v>
      </c>
      <c r="K177">
        <v>0.65</v>
      </c>
      <c r="L177">
        <v>1.3</v>
      </c>
      <c r="M177" t="b">
        <v>1</v>
      </c>
      <c r="N177">
        <v>200</v>
      </c>
      <c r="O177" t="b">
        <v>0</v>
      </c>
      <c r="P177" t="b">
        <v>0</v>
      </c>
      <c r="Q177">
        <v>0.7</v>
      </c>
      <c r="R177">
        <v>6907093.8943765163</v>
      </c>
      <c r="S177">
        <v>7477244.6644178629</v>
      </c>
      <c r="T177">
        <v>5963801.2399687171</v>
      </c>
      <c r="U177">
        <v>6570515.5483765602</v>
      </c>
      <c r="V177">
        <v>14384338.558794379</v>
      </c>
      <c r="W177">
        <v>12534316.788345277</v>
      </c>
      <c r="X177">
        <v>119911.12379682706</v>
      </c>
      <c r="Y177">
        <v>104488.9207781475</v>
      </c>
      <c r="Z177">
        <v>5690.5049936026335</v>
      </c>
      <c r="AA177">
        <v>3133.5791970863193</v>
      </c>
      <c r="AB177">
        <v>59638.01239968717</v>
      </c>
      <c r="AC177">
        <v>65705.1554837656</v>
      </c>
      <c r="AD177">
        <v>125343.16788345277</v>
      </c>
      <c r="AE177">
        <v>1.1475965385021463</v>
      </c>
      <c r="AF177" s="1" t="s">
        <v>3211</v>
      </c>
      <c r="AG177" s="1" t="s">
        <v>3212</v>
      </c>
      <c r="AH177" s="1" t="s">
        <v>3213</v>
      </c>
      <c r="AI177" s="1" t="str">
        <f>_xlfn.TEXTAFTER(_xlfn.TEXTBEFORE(batch_summary[[#This Row],[video]],"_",1),"-",3)</f>
        <v>16</v>
      </c>
      <c r="AJ177" s="1" t="str">
        <f>_xlfn.TEXTBEFORE(_xlfn.TEXTAFTER(batch_summary[[#This Row],[video]],"_",1),"_",1)</f>
        <v>20260321</v>
      </c>
      <c r="AK177" s="1" t="str">
        <f>_xlfn.TEXTBEFORE(_xlfn.TEXTAFTER(batch_summary[[#This Row],[video]],"_",2),".",1)</f>
        <v>130000</v>
      </c>
    </row>
    <row r="178" spans="1:37" x14ac:dyDescent="0.2">
      <c r="A178" s="1" t="s">
        <v>3214</v>
      </c>
      <c r="B178" s="1" t="s">
        <v>3215</v>
      </c>
      <c r="C178">
        <v>119.95833333333333</v>
      </c>
      <c r="D178">
        <v>2879</v>
      </c>
      <c r="E178">
        <v>0.39973514620214701</v>
      </c>
      <c r="F178">
        <v>38.256351144053042</v>
      </c>
      <c r="G178">
        <v>1.3884513588125982E-4</v>
      </c>
      <c r="H178">
        <v>1.3288069171258438E-2</v>
      </c>
      <c r="I178">
        <v>5</v>
      </c>
      <c r="J178" t="b">
        <v>1</v>
      </c>
      <c r="K178">
        <v>0.65</v>
      </c>
      <c r="L178">
        <v>1.3</v>
      </c>
      <c r="M178" t="b">
        <v>1</v>
      </c>
      <c r="N178">
        <v>200</v>
      </c>
      <c r="O178" t="b">
        <v>0</v>
      </c>
      <c r="P178" t="b">
        <v>0</v>
      </c>
      <c r="Q178">
        <v>0.7</v>
      </c>
      <c r="R178">
        <v>9630711.1000658274</v>
      </c>
      <c r="S178">
        <v>8376391.2242450118</v>
      </c>
      <c r="T178">
        <v>8732639.0179063678</v>
      </c>
      <c r="U178">
        <v>7472143.4593993425</v>
      </c>
      <c r="V178">
        <v>18007102.324310839</v>
      </c>
      <c r="W178">
        <v>16204782.47730571</v>
      </c>
      <c r="X178">
        <v>150111.30801787431</v>
      </c>
      <c r="Y178">
        <v>135086.75910223587</v>
      </c>
      <c r="Z178">
        <v>8246.6710659408564</v>
      </c>
      <c r="AA178">
        <v>4051.1956193264277</v>
      </c>
      <c r="AB178">
        <v>87326.390179063674</v>
      </c>
      <c r="AC178">
        <v>74721.434593993428</v>
      </c>
      <c r="AD178">
        <v>162047.8247730571</v>
      </c>
      <c r="AE178">
        <v>1.1112214773341895</v>
      </c>
      <c r="AF178" s="1" t="s">
        <v>3216</v>
      </c>
      <c r="AG178" s="1" t="s">
        <v>3217</v>
      </c>
      <c r="AH178" s="1" t="s">
        <v>3218</v>
      </c>
      <c r="AI178" s="1" t="str">
        <f>_xlfn.TEXTAFTER(_xlfn.TEXTBEFORE(batch_summary[[#This Row],[video]],"_",1),"-",3)</f>
        <v>16</v>
      </c>
      <c r="AJ178" s="1" t="str">
        <f>_xlfn.TEXTBEFORE(_xlfn.TEXTAFTER(batch_summary[[#This Row],[video]],"_",1),"_",1)</f>
        <v>20260321</v>
      </c>
      <c r="AK178" s="1" t="str">
        <f>_xlfn.TEXTBEFORE(_xlfn.TEXTAFTER(batch_summary[[#This Row],[video]],"_",2),".",1)</f>
        <v>140000</v>
      </c>
    </row>
    <row r="179" spans="1:37" x14ac:dyDescent="0.2">
      <c r="A179" s="1" t="s">
        <v>3219</v>
      </c>
      <c r="B179" s="1" t="s">
        <v>3220</v>
      </c>
      <c r="C179">
        <v>119.95833333333333</v>
      </c>
      <c r="D179">
        <v>2879</v>
      </c>
      <c r="E179">
        <v>0.41088199988007545</v>
      </c>
      <c r="F179">
        <v>38.50472076702863</v>
      </c>
      <c r="G179">
        <v>1.4271691555403803E-4</v>
      </c>
      <c r="H179">
        <v>1.3374338578335752E-2</v>
      </c>
      <c r="I179">
        <v>5</v>
      </c>
      <c r="J179" t="b">
        <v>1</v>
      </c>
      <c r="K179">
        <v>0.65</v>
      </c>
      <c r="L179">
        <v>1.3</v>
      </c>
      <c r="M179" t="b">
        <v>1</v>
      </c>
      <c r="N179">
        <v>200</v>
      </c>
      <c r="O179" t="b">
        <v>0</v>
      </c>
      <c r="P179" t="b">
        <v>0</v>
      </c>
      <c r="Q179">
        <v>0.7</v>
      </c>
      <c r="R179">
        <v>1854910.567211926</v>
      </c>
      <c r="S179">
        <v>1762624.0615074039</v>
      </c>
      <c r="T179">
        <v>1482808.1531392336</v>
      </c>
      <c r="U179">
        <v>1392685.1438454986</v>
      </c>
      <c r="V179">
        <v>3617534.6287193298</v>
      </c>
      <c r="W179">
        <v>2875493.2969847322</v>
      </c>
      <c r="X179">
        <v>30156.592945211505</v>
      </c>
      <c r="Y179">
        <v>23970.767324638269</v>
      </c>
      <c r="Z179">
        <v>1636.5960047149658</v>
      </c>
      <c r="AA179">
        <v>718.87332424618307</v>
      </c>
      <c r="AB179">
        <v>14828.081531392336</v>
      </c>
      <c r="AC179">
        <v>13926.851438454985</v>
      </c>
      <c r="AD179">
        <v>28754.932969847323</v>
      </c>
      <c r="AE179">
        <v>1.2580570549452188</v>
      </c>
      <c r="AF179" s="1" t="s">
        <v>3221</v>
      </c>
      <c r="AG179" s="1" t="s">
        <v>3222</v>
      </c>
      <c r="AH179" s="1" t="s">
        <v>3223</v>
      </c>
      <c r="AI179" s="1" t="str">
        <f>_xlfn.TEXTAFTER(_xlfn.TEXTBEFORE(batch_summary[[#This Row],[video]],"_",1),"-",3)</f>
        <v>16</v>
      </c>
      <c r="AJ179" s="1" t="str">
        <f>_xlfn.TEXTBEFORE(_xlfn.TEXTAFTER(batch_summary[[#This Row],[video]],"_",1),"_",1)</f>
        <v>20260321</v>
      </c>
      <c r="AK179" s="1" t="str">
        <f>_xlfn.TEXTBEFORE(_xlfn.TEXTAFTER(batch_summary[[#This Row],[video]],"_",2),".",1)</f>
        <v>150000</v>
      </c>
    </row>
    <row r="180" spans="1:37" x14ac:dyDescent="0.2">
      <c r="A180" s="1" t="s">
        <v>3224</v>
      </c>
      <c r="B180" s="1" t="s">
        <v>3225</v>
      </c>
      <c r="C180">
        <v>119.95833333333333</v>
      </c>
      <c r="D180">
        <v>2879</v>
      </c>
      <c r="E180">
        <v>0.40817829966545105</v>
      </c>
      <c r="F180">
        <v>38.646041506901383</v>
      </c>
      <c r="G180">
        <v>1.4177780467712785E-4</v>
      </c>
      <c r="H180">
        <v>1.3423425323689262E-2</v>
      </c>
      <c r="I180">
        <v>5</v>
      </c>
      <c r="J180" t="b">
        <v>1</v>
      </c>
      <c r="K180">
        <v>0.65</v>
      </c>
      <c r="L180">
        <v>1.3</v>
      </c>
      <c r="M180" t="b">
        <v>1</v>
      </c>
      <c r="N180">
        <v>200</v>
      </c>
      <c r="O180" t="b">
        <v>0</v>
      </c>
      <c r="P180" t="b">
        <v>0</v>
      </c>
      <c r="Q180">
        <v>0.7</v>
      </c>
      <c r="R180">
        <v>3175524.447484076</v>
      </c>
      <c r="S180">
        <v>3975295.5832713246</v>
      </c>
      <c r="T180">
        <v>2774401.7364459634</v>
      </c>
      <c r="U180">
        <v>3405450.9407107234</v>
      </c>
      <c r="V180">
        <v>7150820.0307554007</v>
      </c>
      <c r="W180">
        <v>6179852.6771566868</v>
      </c>
      <c r="X180">
        <v>59610.86514002418</v>
      </c>
      <c r="Y180">
        <v>51516.660038819202</v>
      </c>
      <c r="Z180">
        <v>5646.6698513031006</v>
      </c>
      <c r="AA180">
        <v>1544.9631692891719</v>
      </c>
      <c r="AB180">
        <v>27744.017364459633</v>
      </c>
      <c r="AC180">
        <v>34054.509407107231</v>
      </c>
      <c r="AD180">
        <v>61798.52677156686</v>
      </c>
      <c r="AE180">
        <v>1.1571182039966446</v>
      </c>
      <c r="AF180" s="1" t="s">
        <v>3226</v>
      </c>
      <c r="AG180" s="1" t="s">
        <v>3227</v>
      </c>
      <c r="AH180" s="1" t="s">
        <v>3228</v>
      </c>
      <c r="AI180" s="1" t="str">
        <f>_xlfn.TEXTAFTER(_xlfn.TEXTBEFORE(batch_summary[[#This Row],[video]],"_",1),"-",3)</f>
        <v>16</v>
      </c>
      <c r="AJ180" s="1" t="str">
        <f>_xlfn.TEXTBEFORE(_xlfn.TEXTAFTER(batch_summary[[#This Row],[video]],"_",1),"_",1)</f>
        <v>20260321</v>
      </c>
      <c r="AK180" s="1" t="str">
        <f>_xlfn.TEXTBEFORE(_xlfn.TEXTAFTER(batch_summary[[#This Row],[video]],"_",2),".",1)</f>
        <v>160000</v>
      </c>
    </row>
    <row r="181" spans="1:37" x14ac:dyDescent="0.2">
      <c r="A181" s="1" t="s">
        <v>3229</v>
      </c>
      <c r="B181" s="1" t="s">
        <v>3230</v>
      </c>
      <c r="C181">
        <v>119.95833333333333</v>
      </c>
      <c r="D181">
        <v>2879</v>
      </c>
      <c r="E181">
        <v>0.40628015622496605</v>
      </c>
      <c r="F181">
        <v>38.203772408887744</v>
      </c>
      <c r="G181">
        <v>1.411184981677548E-4</v>
      </c>
      <c r="H181">
        <v>1.3269806324726552E-2</v>
      </c>
      <c r="I181">
        <v>5</v>
      </c>
      <c r="J181" t="b">
        <v>1</v>
      </c>
      <c r="K181">
        <v>0.65</v>
      </c>
      <c r="L181">
        <v>1.3</v>
      </c>
      <c r="M181" t="b">
        <v>1</v>
      </c>
      <c r="N181">
        <v>200</v>
      </c>
      <c r="O181" t="b">
        <v>0</v>
      </c>
      <c r="P181" t="b">
        <v>0</v>
      </c>
      <c r="Q181">
        <v>0.7</v>
      </c>
      <c r="R181">
        <v>2092308.4608943462</v>
      </c>
      <c r="S181">
        <v>2624777.7932616472</v>
      </c>
      <c r="T181">
        <v>1792505.7736803293</v>
      </c>
      <c r="U181">
        <v>2302443.3123387694</v>
      </c>
      <c r="V181">
        <v>4717086.2541559935</v>
      </c>
      <c r="W181">
        <v>4094949.0860190988</v>
      </c>
      <c r="X181">
        <v>39322.705835270528</v>
      </c>
      <c r="Y181">
        <v>34136.428643438128</v>
      </c>
      <c r="Z181">
        <v>3007.7302803039552</v>
      </c>
      <c r="AA181">
        <v>1023.7372715047748</v>
      </c>
      <c r="AB181">
        <v>17925.057736803294</v>
      </c>
      <c r="AC181">
        <v>23024.433123387695</v>
      </c>
      <c r="AD181">
        <v>40949.490860190985</v>
      </c>
      <c r="AE181">
        <v>1.1519279373365066</v>
      </c>
      <c r="AF181" s="1" t="s">
        <v>3231</v>
      </c>
      <c r="AG181" s="1" t="s">
        <v>3232</v>
      </c>
      <c r="AH181" s="1" t="s">
        <v>3233</v>
      </c>
      <c r="AI181" s="1" t="str">
        <f>_xlfn.TEXTAFTER(_xlfn.TEXTBEFORE(batch_summary[[#This Row],[video]],"_",1),"-",3)</f>
        <v>16</v>
      </c>
      <c r="AJ181" s="1" t="str">
        <f>_xlfn.TEXTBEFORE(_xlfn.TEXTAFTER(batch_summary[[#This Row],[video]],"_",1),"_",1)</f>
        <v>20260321</v>
      </c>
      <c r="AK181" s="1" t="str">
        <f>_xlfn.TEXTBEFORE(_xlfn.TEXTAFTER(batch_summary[[#This Row],[video]],"_",2),".",1)</f>
        <v>170000</v>
      </c>
    </row>
    <row r="182" spans="1:37" x14ac:dyDescent="0.2">
      <c r="A182" s="1" t="s">
        <v>3234</v>
      </c>
      <c r="B182" s="1" t="s">
        <v>3235</v>
      </c>
      <c r="C182">
        <v>119.95833333333333</v>
      </c>
      <c r="D182">
        <v>2879</v>
      </c>
      <c r="E182">
        <v>0.39108576066792011</v>
      </c>
      <c r="F182">
        <v>37.523719421587884</v>
      </c>
      <c r="G182">
        <v>1.3584083385478294E-4</v>
      </c>
      <c r="H182">
        <v>1.3033594797355986E-2</v>
      </c>
      <c r="I182">
        <v>5</v>
      </c>
      <c r="J182" t="b">
        <v>1</v>
      </c>
      <c r="K182">
        <v>0.65</v>
      </c>
      <c r="L182">
        <v>1.3</v>
      </c>
      <c r="M182" t="b">
        <v>1</v>
      </c>
      <c r="N182">
        <v>200</v>
      </c>
      <c r="O182" t="b">
        <v>0</v>
      </c>
      <c r="P182" t="b">
        <v>0</v>
      </c>
      <c r="Q182">
        <v>0.7</v>
      </c>
      <c r="R182">
        <v>543450.16535812616</v>
      </c>
      <c r="S182">
        <v>539866.52011424303</v>
      </c>
      <c r="T182">
        <v>460491.10721588135</v>
      </c>
      <c r="U182">
        <v>450061.74353027344</v>
      </c>
      <c r="V182">
        <v>1083316.6854723692</v>
      </c>
      <c r="W182">
        <v>910552.85074615479</v>
      </c>
      <c r="X182">
        <v>9030.7747312736574</v>
      </c>
      <c r="Y182">
        <v>7590.5760395650277</v>
      </c>
      <c r="Z182">
        <v>2232.6731355285647</v>
      </c>
      <c r="AA182">
        <v>227.63821268653868</v>
      </c>
      <c r="AB182">
        <v>4604.9110721588131</v>
      </c>
      <c r="AC182">
        <v>4500.6174353027345</v>
      </c>
      <c r="AD182">
        <v>9105.5285074615476</v>
      </c>
      <c r="AE182">
        <v>1.1897350983906565</v>
      </c>
      <c r="AF182" s="1" t="s">
        <v>3236</v>
      </c>
      <c r="AG182" s="1" t="s">
        <v>3237</v>
      </c>
      <c r="AH182" s="1" t="s">
        <v>3238</v>
      </c>
      <c r="AI182" s="1" t="str">
        <f>_xlfn.TEXTAFTER(_xlfn.TEXTBEFORE(batch_summary[[#This Row],[video]],"_",1),"-",3)</f>
        <v>16</v>
      </c>
      <c r="AJ182" s="1" t="str">
        <f>_xlfn.TEXTBEFORE(_xlfn.TEXTAFTER(batch_summary[[#This Row],[video]],"_",1),"_",1)</f>
        <v>20260321</v>
      </c>
      <c r="AK182" s="1" t="str">
        <f>_xlfn.TEXTBEFORE(_xlfn.TEXTAFTER(batch_summary[[#This Row],[video]],"_",2),".",1)</f>
        <v>180000</v>
      </c>
    </row>
    <row r="183" spans="1:37" x14ac:dyDescent="0.2">
      <c r="A183" s="1" t="s">
        <v>3239</v>
      </c>
      <c r="B183" s="1" t="s">
        <v>3240</v>
      </c>
      <c r="C183">
        <v>119.95833333333333</v>
      </c>
      <c r="D183">
        <v>2879</v>
      </c>
      <c r="E183">
        <v>0.37819110788404942</v>
      </c>
      <c r="F183">
        <v>36.84773772303015</v>
      </c>
      <c r="G183">
        <v>1.3136196869887093E-4</v>
      </c>
      <c r="H183">
        <v>1.2798797402928152E-2</v>
      </c>
      <c r="I183">
        <v>5</v>
      </c>
      <c r="J183" t="b">
        <v>1</v>
      </c>
      <c r="K183">
        <v>0.65</v>
      </c>
      <c r="L183">
        <v>1.3</v>
      </c>
      <c r="M183" t="b">
        <v>1</v>
      </c>
      <c r="N183">
        <v>200</v>
      </c>
      <c r="O183" t="b">
        <v>0</v>
      </c>
      <c r="P183" t="b">
        <v>0</v>
      </c>
      <c r="Q183">
        <v>0.7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s="1" t="s">
        <v>3241</v>
      </c>
      <c r="AG183" s="1" t="s">
        <v>3242</v>
      </c>
      <c r="AH183" s="1" t="s">
        <v>3243</v>
      </c>
      <c r="AI183" s="1" t="str">
        <f>_xlfn.TEXTAFTER(_xlfn.TEXTBEFORE(batch_summary[[#This Row],[video]],"_",1),"-",3)</f>
        <v>16</v>
      </c>
      <c r="AJ183" s="1" t="str">
        <f>_xlfn.TEXTBEFORE(_xlfn.TEXTAFTER(batch_summary[[#This Row],[video]],"_",1),"_",1)</f>
        <v>20260321</v>
      </c>
      <c r="AK183" s="1" t="str">
        <f>_xlfn.TEXTBEFORE(_xlfn.TEXTAFTER(batch_summary[[#This Row],[video]],"_",2),".",1)</f>
        <v>190000</v>
      </c>
    </row>
    <row r="184" spans="1:37" x14ac:dyDescent="0.2">
      <c r="A184" s="1" t="s">
        <v>3244</v>
      </c>
      <c r="B184" s="1" t="s">
        <v>3245</v>
      </c>
      <c r="C184">
        <v>119.95833333333333</v>
      </c>
      <c r="D184">
        <v>2879</v>
      </c>
      <c r="E184">
        <v>0.37964888010174036</v>
      </c>
      <c r="F184">
        <v>36.910596334375441</v>
      </c>
      <c r="G184">
        <v>1.3186831542262603E-4</v>
      </c>
      <c r="H184">
        <v>1.2820630890717416E-2</v>
      </c>
      <c r="I184">
        <v>5</v>
      </c>
      <c r="J184" t="b">
        <v>1</v>
      </c>
      <c r="K184">
        <v>0.65</v>
      </c>
      <c r="L184">
        <v>1.3</v>
      </c>
      <c r="M184" t="b">
        <v>1</v>
      </c>
      <c r="N184">
        <v>200</v>
      </c>
      <c r="O184" t="b">
        <v>0</v>
      </c>
      <c r="P184" t="b">
        <v>0</v>
      </c>
      <c r="Q184">
        <v>0.7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s="1" t="s">
        <v>3246</v>
      </c>
      <c r="AG184" s="1" t="s">
        <v>3247</v>
      </c>
      <c r="AH184" s="1" t="s">
        <v>3248</v>
      </c>
      <c r="AI184" s="1" t="str">
        <f>_xlfn.TEXTAFTER(_xlfn.TEXTBEFORE(batch_summary[[#This Row],[video]],"_",1),"-",3)</f>
        <v>16</v>
      </c>
      <c r="AJ184" s="1" t="str">
        <f>_xlfn.TEXTBEFORE(_xlfn.TEXTAFTER(batch_summary[[#This Row],[video]],"_",1),"_",1)</f>
        <v>20260322</v>
      </c>
      <c r="AK184" s="1" t="str">
        <f>_xlfn.TEXTBEFORE(_xlfn.TEXTAFTER(batch_summary[[#This Row],[video]],"_",2),".",1)</f>
        <v>060000</v>
      </c>
    </row>
    <row r="185" spans="1:37" x14ac:dyDescent="0.2">
      <c r="A185" s="1" t="s">
        <v>3249</v>
      </c>
      <c r="B185" s="1" t="s">
        <v>3250</v>
      </c>
      <c r="C185">
        <v>119.95833333333333</v>
      </c>
      <c r="D185">
        <v>2879</v>
      </c>
      <c r="E185">
        <v>0.37915841955691576</v>
      </c>
      <c r="F185">
        <v>37.004290608689189</v>
      </c>
      <c r="G185">
        <v>1.3169795747027292E-4</v>
      </c>
      <c r="H185">
        <v>1.2853174924865991E-2</v>
      </c>
      <c r="I185">
        <v>5</v>
      </c>
      <c r="J185" t="b">
        <v>1</v>
      </c>
      <c r="K185">
        <v>0.65</v>
      </c>
      <c r="L185">
        <v>1.3</v>
      </c>
      <c r="M185" t="b">
        <v>1</v>
      </c>
      <c r="N185">
        <v>200</v>
      </c>
      <c r="O185" t="b">
        <v>0</v>
      </c>
      <c r="P185" t="b">
        <v>0</v>
      </c>
      <c r="Q185">
        <v>0.7</v>
      </c>
      <c r="R185">
        <v>3534.0114104747772</v>
      </c>
      <c r="S185">
        <v>3011.7622047662735</v>
      </c>
      <c r="T185">
        <v>0</v>
      </c>
      <c r="U185">
        <v>0</v>
      </c>
      <c r="V185">
        <v>6545.7736152410507</v>
      </c>
      <c r="W185">
        <v>0</v>
      </c>
      <c r="X185">
        <v>54.567060356299137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6545773615.2410507</v>
      </c>
      <c r="AF185" s="1" t="s">
        <v>3251</v>
      </c>
      <c r="AG185" s="1" t="s">
        <v>3252</v>
      </c>
      <c r="AH185" s="1" t="s">
        <v>3253</v>
      </c>
      <c r="AI185" s="1" t="str">
        <f>_xlfn.TEXTAFTER(_xlfn.TEXTBEFORE(batch_summary[[#This Row],[video]],"_",1),"-",3)</f>
        <v>16</v>
      </c>
      <c r="AJ185" s="1" t="str">
        <f>_xlfn.TEXTBEFORE(_xlfn.TEXTAFTER(batch_summary[[#This Row],[video]],"_",1),"_",1)</f>
        <v>20260322</v>
      </c>
      <c r="AK185" s="1" t="str">
        <f>_xlfn.TEXTBEFORE(_xlfn.TEXTAFTER(batch_summary[[#This Row],[video]],"_",2),".",1)</f>
        <v>070000</v>
      </c>
    </row>
    <row r="186" spans="1:37" x14ac:dyDescent="0.2">
      <c r="A186" s="1" t="s">
        <v>3254</v>
      </c>
      <c r="B186" s="1" t="s">
        <v>3255</v>
      </c>
      <c r="C186">
        <v>119.95833333333333</v>
      </c>
      <c r="D186">
        <v>2879</v>
      </c>
      <c r="E186">
        <v>0.37863762117922306</v>
      </c>
      <c r="F186">
        <v>36.954562356695533</v>
      </c>
      <c r="G186">
        <v>1.3151706188927511E-4</v>
      </c>
      <c r="H186">
        <v>1.2835902173218316E-2</v>
      </c>
      <c r="I186">
        <v>5</v>
      </c>
      <c r="J186" t="b">
        <v>1</v>
      </c>
      <c r="K186">
        <v>0.65</v>
      </c>
      <c r="L186">
        <v>1.3</v>
      </c>
      <c r="M186" t="b">
        <v>1</v>
      </c>
      <c r="N186">
        <v>200</v>
      </c>
      <c r="O186" t="b">
        <v>0</v>
      </c>
      <c r="P186" t="b">
        <v>0</v>
      </c>
      <c r="Q186">
        <v>0.7</v>
      </c>
      <c r="R186">
        <v>497.62639617919922</v>
      </c>
      <c r="S186">
        <v>1286.5660421848297</v>
      </c>
      <c r="T186">
        <v>0</v>
      </c>
      <c r="U186">
        <v>0</v>
      </c>
      <c r="V186">
        <v>1784.1924383640289</v>
      </c>
      <c r="W186">
        <v>0</v>
      </c>
      <c r="X186">
        <v>14.873434706751198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1784192438.3640289</v>
      </c>
      <c r="AF186" s="1" t="s">
        <v>3256</v>
      </c>
      <c r="AG186" s="1" t="s">
        <v>3257</v>
      </c>
      <c r="AH186" s="1" t="s">
        <v>3258</v>
      </c>
      <c r="AI186" s="1" t="str">
        <f>_xlfn.TEXTAFTER(_xlfn.TEXTBEFORE(batch_summary[[#This Row],[video]],"_",1),"-",3)</f>
        <v>16</v>
      </c>
      <c r="AJ186" s="1" t="str">
        <f>_xlfn.TEXTBEFORE(_xlfn.TEXTAFTER(batch_summary[[#This Row],[video]],"_",1),"_",1)</f>
        <v>20260322</v>
      </c>
      <c r="AK186" s="1" t="str">
        <f>_xlfn.TEXTBEFORE(_xlfn.TEXTAFTER(batch_summary[[#This Row],[video]],"_",2),".",1)</f>
        <v>080000</v>
      </c>
    </row>
    <row r="187" spans="1:37" x14ac:dyDescent="0.2">
      <c r="A187" s="1" t="s">
        <v>3259</v>
      </c>
      <c r="B187" s="1" t="s">
        <v>3260</v>
      </c>
      <c r="C187">
        <v>119.95833333333333</v>
      </c>
      <c r="D187">
        <v>2879</v>
      </c>
      <c r="E187">
        <v>0.37892552465200424</v>
      </c>
      <c r="F187">
        <v>36.79820082616061</v>
      </c>
      <c r="G187">
        <v>1.3161706309552075E-4</v>
      </c>
      <c r="H187">
        <v>1.278159111711032E-2</v>
      </c>
      <c r="I187">
        <v>5</v>
      </c>
      <c r="J187" t="b">
        <v>1</v>
      </c>
      <c r="K187">
        <v>0.65</v>
      </c>
      <c r="L187">
        <v>1.3</v>
      </c>
      <c r="M187" t="b">
        <v>1</v>
      </c>
      <c r="N187">
        <v>200</v>
      </c>
      <c r="O187" t="b">
        <v>0</v>
      </c>
      <c r="P187" t="b">
        <v>0</v>
      </c>
      <c r="Q187">
        <v>0.7</v>
      </c>
      <c r="R187">
        <v>613.72834479808807</v>
      </c>
      <c r="S187">
        <v>1333.1019150018692</v>
      </c>
      <c r="T187">
        <v>0</v>
      </c>
      <c r="U187">
        <v>0</v>
      </c>
      <c r="V187">
        <v>1946.8302597999573</v>
      </c>
      <c r="W187">
        <v>0</v>
      </c>
      <c r="X187">
        <v>16.229220644390058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1946830259.7999573</v>
      </c>
      <c r="AF187" s="1" t="s">
        <v>3261</v>
      </c>
      <c r="AG187" s="1" t="s">
        <v>3262</v>
      </c>
      <c r="AH187" s="1" t="s">
        <v>3263</v>
      </c>
      <c r="AI187" s="1" t="str">
        <f>_xlfn.TEXTAFTER(_xlfn.TEXTBEFORE(batch_summary[[#This Row],[video]],"_",1),"-",3)</f>
        <v>16</v>
      </c>
      <c r="AJ187" s="1" t="str">
        <f>_xlfn.TEXTBEFORE(_xlfn.TEXTAFTER(batch_summary[[#This Row],[video]],"_",1),"_",1)</f>
        <v>20260322</v>
      </c>
      <c r="AK187" s="1" t="str">
        <f>_xlfn.TEXTBEFORE(_xlfn.TEXTAFTER(batch_summary[[#This Row],[video]],"_",2),".",1)</f>
        <v>090000</v>
      </c>
    </row>
    <row r="188" spans="1:37" x14ac:dyDescent="0.2">
      <c r="A188" s="1" t="s">
        <v>3264</v>
      </c>
      <c r="B188" s="1" t="s">
        <v>3265</v>
      </c>
      <c r="C188">
        <v>119.95833333333333</v>
      </c>
      <c r="D188">
        <v>2879</v>
      </c>
      <c r="E188">
        <v>0.3814453762024641</v>
      </c>
      <c r="F188">
        <v>36.89600916672498</v>
      </c>
      <c r="G188">
        <v>1.324923154576117E-4</v>
      </c>
      <c r="H188">
        <v>1.2815564142662376E-2</v>
      </c>
      <c r="I188">
        <v>5</v>
      </c>
      <c r="J188" t="b">
        <v>1</v>
      </c>
      <c r="K188">
        <v>0.65</v>
      </c>
      <c r="L188">
        <v>1.3</v>
      </c>
      <c r="M188" t="b">
        <v>1</v>
      </c>
      <c r="N188">
        <v>200</v>
      </c>
      <c r="O188" t="b">
        <v>0</v>
      </c>
      <c r="P188" t="b">
        <v>0</v>
      </c>
      <c r="Q188">
        <v>0.7</v>
      </c>
      <c r="R188">
        <v>741.97245895862579</v>
      </c>
      <c r="S188">
        <v>835.34810519218445</v>
      </c>
      <c r="T188">
        <v>0</v>
      </c>
      <c r="U188">
        <v>0</v>
      </c>
      <c r="V188">
        <v>1577.3205641508102</v>
      </c>
      <c r="W188">
        <v>0</v>
      </c>
      <c r="X188">
        <v>13.148903626126936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1577320564.1508102</v>
      </c>
      <c r="AF188" s="1" t="s">
        <v>3266</v>
      </c>
      <c r="AG188" s="1" t="s">
        <v>3267</v>
      </c>
      <c r="AH188" s="1" t="s">
        <v>3268</v>
      </c>
      <c r="AI188" s="1" t="str">
        <f>_xlfn.TEXTAFTER(_xlfn.TEXTBEFORE(batch_summary[[#This Row],[video]],"_",1),"-",3)</f>
        <v>16</v>
      </c>
      <c r="AJ188" s="1" t="str">
        <f>_xlfn.TEXTBEFORE(_xlfn.TEXTAFTER(batch_summary[[#This Row],[video]],"_",1),"_",1)</f>
        <v>20260322</v>
      </c>
      <c r="AK188" s="1" t="str">
        <f>_xlfn.TEXTBEFORE(_xlfn.TEXTAFTER(batch_summary[[#This Row],[video]],"_",2),".",1)</f>
        <v>100000</v>
      </c>
    </row>
    <row r="189" spans="1:37" x14ac:dyDescent="0.2">
      <c r="A189" s="1" t="s">
        <v>3269</v>
      </c>
      <c r="B189" s="1" t="s">
        <v>3270</v>
      </c>
      <c r="C189">
        <v>119.95833333333333</v>
      </c>
      <c r="D189">
        <v>2879</v>
      </c>
      <c r="E189">
        <v>0.38391690514981747</v>
      </c>
      <c r="F189">
        <v>37.121455749496818</v>
      </c>
      <c r="G189">
        <v>1.3335078331011376E-4</v>
      </c>
      <c r="H189">
        <v>1.2893871396143388E-2</v>
      </c>
      <c r="I189">
        <v>5</v>
      </c>
      <c r="J189" t="b">
        <v>1</v>
      </c>
      <c r="K189">
        <v>0.65</v>
      </c>
      <c r="L189">
        <v>1.3</v>
      </c>
      <c r="M189" t="b">
        <v>1</v>
      </c>
      <c r="N189">
        <v>200</v>
      </c>
      <c r="O189" t="b">
        <v>0</v>
      </c>
      <c r="P189" t="b">
        <v>0</v>
      </c>
      <c r="Q189">
        <v>0.7</v>
      </c>
      <c r="R189">
        <v>527.45673727989197</v>
      </c>
      <c r="S189">
        <v>1414.253099322319</v>
      </c>
      <c r="T189">
        <v>0</v>
      </c>
      <c r="U189">
        <v>0</v>
      </c>
      <c r="V189">
        <v>1941.709836602211</v>
      </c>
      <c r="W189">
        <v>0</v>
      </c>
      <c r="X189">
        <v>16.186535629889914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1941709836.602211</v>
      </c>
      <c r="AF189" s="1" t="s">
        <v>3271</v>
      </c>
      <c r="AG189" s="1" t="s">
        <v>3272</v>
      </c>
      <c r="AH189" s="1" t="s">
        <v>3273</v>
      </c>
      <c r="AI189" s="1" t="str">
        <f>_xlfn.TEXTAFTER(_xlfn.TEXTBEFORE(batch_summary[[#This Row],[video]],"_",1),"-",3)</f>
        <v>16</v>
      </c>
      <c r="AJ189" s="1" t="str">
        <f>_xlfn.TEXTBEFORE(_xlfn.TEXTAFTER(batch_summary[[#This Row],[video]],"_",1),"_",1)</f>
        <v>20260322</v>
      </c>
      <c r="AK189" s="1" t="str">
        <f>_xlfn.TEXTBEFORE(_xlfn.TEXTAFTER(batch_summary[[#This Row],[video]],"_",2),".",1)</f>
        <v>110000</v>
      </c>
    </row>
    <row r="190" spans="1:37" x14ac:dyDescent="0.2">
      <c r="A190" s="1" t="s">
        <v>3274</v>
      </c>
      <c r="B190" s="1" t="s">
        <v>3275</v>
      </c>
      <c r="C190">
        <v>119.95833333333333</v>
      </c>
      <c r="D190">
        <v>2879</v>
      </c>
      <c r="E190">
        <v>0.40381751954555511</v>
      </c>
      <c r="F190">
        <v>38.428356468677521</v>
      </c>
      <c r="G190">
        <v>1.4026311898074161E-4</v>
      </c>
      <c r="H190">
        <v>1.3347813987036305E-2</v>
      </c>
      <c r="I190">
        <v>5</v>
      </c>
      <c r="J190" t="b">
        <v>1</v>
      </c>
      <c r="K190">
        <v>0.65</v>
      </c>
      <c r="L190">
        <v>1.3</v>
      </c>
      <c r="M190" t="b">
        <v>1</v>
      </c>
      <c r="N190">
        <v>200</v>
      </c>
      <c r="O190" t="b">
        <v>0</v>
      </c>
      <c r="P190" t="b">
        <v>0</v>
      </c>
      <c r="Q190">
        <v>0.7</v>
      </c>
      <c r="R190">
        <v>3515659.4291674495</v>
      </c>
      <c r="S190">
        <v>2724944.5244302154</v>
      </c>
      <c r="T190">
        <v>2825907.5554163456</v>
      </c>
      <c r="U190">
        <v>2140706.9341179729</v>
      </c>
      <c r="V190">
        <v>6240603.9535976648</v>
      </c>
      <c r="W190">
        <v>4966614.4895343184</v>
      </c>
      <c r="X190">
        <v>52023.096521828396</v>
      </c>
      <c r="Y190">
        <v>41402.830062113113</v>
      </c>
      <c r="Z190">
        <v>3640.688680229187</v>
      </c>
      <c r="AA190">
        <v>1241.6536223835797</v>
      </c>
      <c r="AB190">
        <v>28259.075554163457</v>
      </c>
      <c r="AC190">
        <v>21407.069341179729</v>
      </c>
      <c r="AD190">
        <v>49666.144895343183</v>
      </c>
      <c r="AE190">
        <v>1.2565106405475812</v>
      </c>
      <c r="AF190" s="1" t="s">
        <v>3276</v>
      </c>
      <c r="AG190" s="1" t="s">
        <v>3277</v>
      </c>
      <c r="AH190" s="1" t="s">
        <v>3278</v>
      </c>
      <c r="AI190" s="1" t="str">
        <f>_xlfn.TEXTAFTER(_xlfn.TEXTBEFORE(batch_summary[[#This Row],[video]],"_",1),"-",3)</f>
        <v>16</v>
      </c>
      <c r="AJ190" s="1" t="str">
        <f>_xlfn.TEXTBEFORE(_xlfn.TEXTAFTER(batch_summary[[#This Row],[video]],"_",1),"_",1)</f>
        <v>20260322</v>
      </c>
      <c r="AK190" s="1" t="str">
        <f>_xlfn.TEXTBEFORE(_xlfn.TEXTAFTER(batch_summary[[#This Row],[video]],"_",2),".",1)</f>
        <v>120000</v>
      </c>
    </row>
    <row r="191" spans="1:37" x14ac:dyDescent="0.2">
      <c r="A191" s="1" t="s">
        <v>3279</v>
      </c>
      <c r="B191" s="1" t="s">
        <v>3280</v>
      </c>
      <c r="C191">
        <v>119.95833333333333</v>
      </c>
      <c r="D191">
        <v>2879</v>
      </c>
      <c r="E191">
        <v>0.41619643289595842</v>
      </c>
      <c r="F191">
        <v>38.908974097110331</v>
      </c>
      <c r="G191">
        <v>1.4456284574364655E-4</v>
      </c>
      <c r="H191">
        <v>1.3514753072980317E-2</v>
      </c>
      <c r="I191">
        <v>5</v>
      </c>
      <c r="J191" t="b">
        <v>1</v>
      </c>
      <c r="K191">
        <v>0.65</v>
      </c>
      <c r="L191">
        <v>1.3</v>
      </c>
      <c r="M191" t="b">
        <v>1</v>
      </c>
      <c r="N191">
        <v>200</v>
      </c>
      <c r="O191" t="b">
        <v>0</v>
      </c>
      <c r="P191" t="b">
        <v>0</v>
      </c>
      <c r="Q191">
        <v>0.7</v>
      </c>
      <c r="R191">
        <v>5291934.4127629995</v>
      </c>
      <c r="S191">
        <v>4589517.7195634246</v>
      </c>
      <c r="T191">
        <v>4519155.2142105103</v>
      </c>
      <c r="U191">
        <v>3907550.7603331804</v>
      </c>
      <c r="V191">
        <v>9881452.1323264241</v>
      </c>
      <c r="W191">
        <v>8426705.9745436907</v>
      </c>
      <c r="X191">
        <v>82374.036532071623</v>
      </c>
      <c r="Y191">
        <v>70246.941086852588</v>
      </c>
      <c r="Z191">
        <v>4874.2991340947146</v>
      </c>
      <c r="AA191">
        <v>2106.6764936359227</v>
      </c>
      <c r="AB191">
        <v>45191.552142105102</v>
      </c>
      <c r="AC191">
        <v>39075.507603331804</v>
      </c>
      <c r="AD191">
        <v>84267.059745436913</v>
      </c>
      <c r="AE191">
        <v>1.1726352102680915</v>
      </c>
      <c r="AF191" s="1" t="s">
        <v>3281</v>
      </c>
      <c r="AG191" s="1" t="s">
        <v>3282</v>
      </c>
      <c r="AH191" s="1" t="s">
        <v>3283</v>
      </c>
      <c r="AI191" s="1" t="str">
        <f>_xlfn.TEXTAFTER(_xlfn.TEXTBEFORE(batch_summary[[#This Row],[video]],"_",1),"-",3)</f>
        <v>16</v>
      </c>
      <c r="AJ191" s="1" t="str">
        <f>_xlfn.TEXTBEFORE(_xlfn.TEXTAFTER(batch_summary[[#This Row],[video]],"_",1),"_",1)</f>
        <v>20260322</v>
      </c>
      <c r="AK191" s="1" t="str">
        <f>_xlfn.TEXTBEFORE(_xlfn.TEXTAFTER(batch_summary[[#This Row],[video]],"_",2),".",1)</f>
        <v>130000</v>
      </c>
    </row>
    <row r="192" spans="1:37" x14ac:dyDescent="0.2">
      <c r="A192" s="1" t="s">
        <v>3284</v>
      </c>
      <c r="B192" s="1" t="s">
        <v>3285</v>
      </c>
      <c r="C192">
        <v>119.95833333333333</v>
      </c>
      <c r="D192">
        <v>2879</v>
      </c>
      <c r="E192">
        <v>0.4063000688329339</v>
      </c>
      <c r="F192">
        <v>38.573412124998868</v>
      </c>
      <c r="G192">
        <v>1.4112541466930668E-4</v>
      </c>
      <c r="H192">
        <v>1.3398198028829061E-2</v>
      </c>
      <c r="I192">
        <v>5</v>
      </c>
      <c r="J192" t="b">
        <v>1</v>
      </c>
      <c r="K192">
        <v>0.65</v>
      </c>
      <c r="L192">
        <v>1.3</v>
      </c>
      <c r="M192" t="b">
        <v>1</v>
      </c>
      <c r="N192">
        <v>200</v>
      </c>
      <c r="O192" t="b">
        <v>0</v>
      </c>
      <c r="P192" t="b">
        <v>0</v>
      </c>
      <c r="Q192">
        <v>0.7</v>
      </c>
      <c r="R192">
        <v>6800933.431375742</v>
      </c>
      <c r="S192">
        <v>5248559.2590489984</v>
      </c>
      <c r="T192">
        <v>6109910.7946585417</v>
      </c>
      <c r="U192">
        <v>4575940.5268803239</v>
      </c>
      <c r="V192">
        <v>12049492.69042474</v>
      </c>
      <c r="W192">
        <v>10685851.321538866</v>
      </c>
      <c r="X192">
        <v>100447.31662736845</v>
      </c>
      <c r="Y192">
        <v>89079.69146124793</v>
      </c>
      <c r="Z192">
        <v>6605.6228207397453</v>
      </c>
      <c r="AA192">
        <v>2671.4628303847157</v>
      </c>
      <c r="AB192">
        <v>61099.10794658542</v>
      </c>
      <c r="AC192">
        <v>45759.405268803239</v>
      </c>
      <c r="AD192">
        <v>106858.51321538867</v>
      </c>
      <c r="AE192">
        <v>1.1276118605671839</v>
      </c>
      <c r="AF192" s="1" t="s">
        <v>3286</v>
      </c>
      <c r="AG192" s="1" t="s">
        <v>3287</v>
      </c>
      <c r="AH192" s="1" t="s">
        <v>3288</v>
      </c>
      <c r="AI192" s="1" t="str">
        <f>_xlfn.TEXTAFTER(_xlfn.TEXTBEFORE(batch_summary[[#This Row],[video]],"_",1),"-",3)</f>
        <v>16</v>
      </c>
      <c r="AJ192" s="1" t="str">
        <f>_xlfn.TEXTBEFORE(_xlfn.TEXTAFTER(batch_summary[[#This Row],[video]],"_",1),"_",1)</f>
        <v>20260322</v>
      </c>
      <c r="AK192" s="1" t="str">
        <f>_xlfn.TEXTBEFORE(_xlfn.TEXTAFTER(batch_summary[[#This Row],[video]],"_",2),".",1)</f>
        <v>140000</v>
      </c>
    </row>
    <row r="193" spans="1:37" x14ac:dyDescent="0.2">
      <c r="A193" s="1" t="s">
        <v>3289</v>
      </c>
      <c r="B193" s="1" t="s">
        <v>3290</v>
      </c>
      <c r="C193">
        <v>119.95833333333333</v>
      </c>
      <c r="D193">
        <v>2879</v>
      </c>
      <c r="E193">
        <v>0.41231447085738182</v>
      </c>
      <c r="F193">
        <v>38.657897321507335</v>
      </c>
      <c r="G193">
        <v>1.4321447407342197E-4</v>
      </c>
      <c r="H193">
        <v>1.3427543355855274E-2</v>
      </c>
      <c r="I193">
        <v>5</v>
      </c>
      <c r="J193" t="b">
        <v>1</v>
      </c>
      <c r="K193">
        <v>0.65</v>
      </c>
      <c r="L193">
        <v>1.3</v>
      </c>
      <c r="M193" t="b">
        <v>1</v>
      </c>
      <c r="N193">
        <v>200</v>
      </c>
      <c r="O193" t="b">
        <v>0</v>
      </c>
      <c r="P193" t="b">
        <v>0</v>
      </c>
      <c r="Q193">
        <v>0.7</v>
      </c>
      <c r="R193">
        <v>3849711.8930783272</v>
      </c>
      <c r="S193">
        <v>3779550.4631440043</v>
      </c>
      <c r="T193">
        <v>3441030.2139018178</v>
      </c>
      <c r="U193">
        <v>3264373.4092514515</v>
      </c>
      <c r="V193">
        <v>7629262.3562223315</v>
      </c>
      <c r="W193">
        <v>6705403.6231532693</v>
      </c>
      <c r="X193">
        <v>63599.269381499122</v>
      </c>
      <c r="Y193">
        <v>55897.772475053309</v>
      </c>
      <c r="Z193">
        <v>4192.4036743021015</v>
      </c>
      <c r="AA193">
        <v>1676.3509057883173</v>
      </c>
      <c r="AB193">
        <v>34410.302139018175</v>
      </c>
      <c r="AC193">
        <v>32643.734092514514</v>
      </c>
      <c r="AD193">
        <v>67054.036231532693</v>
      </c>
      <c r="AE193">
        <v>1.1377782434869461</v>
      </c>
      <c r="AF193" s="1" t="s">
        <v>3291</v>
      </c>
      <c r="AG193" s="1" t="s">
        <v>3292</v>
      </c>
      <c r="AH193" s="1" t="s">
        <v>3293</v>
      </c>
      <c r="AI193" s="1" t="str">
        <f>_xlfn.TEXTAFTER(_xlfn.TEXTBEFORE(batch_summary[[#This Row],[video]],"_",1),"-",3)</f>
        <v>16</v>
      </c>
      <c r="AJ193" s="1" t="str">
        <f>_xlfn.TEXTBEFORE(_xlfn.TEXTAFTER(batch_summary[[#This Row],[video]],"_",1),"_",1)</f>
        <v>20260322</v>
      </c>
      <c r="AK193" s="1" t="str">
        <f>_xlfn.TEXTBEFORE(_xlfn.TEXTAFTER(batch_summary[[#This Row],[video]],"_",2),".",1)</f>
        <v>150000</v>
      </c>
    </row>
    <row r="194" spans="1:37" x14ac:dyDescent="0.2">
      <c r="A194" s="1" t="s">
        <v>3294</v>
      </c>
      <c r="B194" s="1" t="s">
        <v>3295</v>
      </c>
      <c r="C194">
        <v>119.95833333333333</v>
      </c>
      <c r="D194">
        <v>2879</v>
      </c>
      <c r="E194">
        <v>0.41591234132647514</v>
      </c>
      <c r="F194">
        <v>39.269072338938713</v>
      </c>
      <c r="G194">
        <v>1.4446416857467008E-4</v>
      </c>
      <c r="H194">
        <v>1.3639830614428174E-2</v>
      </c>
      <c r="I194">
        <v>5</v>
      </c>
      <c r="J194" t="b">
        <v>1</v>
      </c>
      <c r="K194">
        <v>0.65</v>
      </c>
      <c r="L194">
        <v>1.3</v>
      </c>
      <c r="M194" t="b">
        <v>1</v>
      </c>
      <c r="N194">
        <v>200</v>
      </c>
      <c r="O194" t="b">
        <v>0</v>
      </c>
      <c r="P194" t="b">
        <v>0</v>
      </c>
      <c r="Q194">
        <v>0.7</v>
      </c>
      <c r="R194">
        <v>4188663.008715868</v>
      </c>
      <c r="S194">
        <v>4297837.8535955548</v>
      </c>
      <c r="T194">
        <v>3725387.6216030717</v>
      </c>
      <c r="U194">
        <v>3729425.4236407876</v>
      </c>
      <c r="V194">
        <v>8486500.8623114228</v>
      </c>
      <c r="W194">
        <v>7454813.0452438593</v>
      </c>
      <c r="X194">
        <v>70745.404895961852</v>
      </c>
      <c r="Y194">
        <v>62145.020175704281</v>
      </c>
      <c r="Z194">
        <v>3875.7579460906982</v>
      </c>
      <c r="AA194">
        <v>1863.7032613109648</v>
      </c>
      <c r="AB194">
        <v>37253.876216030716</v>
      </c>
      <c r="AC194">
        <v>37294.254236407876</v>
      </c>
      <c r="AD194">
        <v>74548.130452438592</v>
      </c>
      <c r="AE194">
        <v>1.1383921784230091</v>
      </c>
      <c r="AF194" s="1" t="s">
        <v>3296</v>
      </c>
      <c r="AG194" s="1" t="s">
        <v>3297</v>
      </c>
      <c r="AH194" s="1" t="s">
        <v>3298</v>
      </c>
      <c r="AI194" s="1" t="str">
        <f>_xlfn.TEXTAFTER(_xlfn.TEXTBEFORE(batch_summary[[#This Row],[video]],"_",1),"-",3)</f>
        <v>16</v>
      </c>
      <c r="AJ194" s="1" t="str">
        <f>_xlfn.TEXTBEFORE(_xlfn.TEXTAFTER(batch_summary[[#This Row],[video]],"_",1),"_",1)</f>
        <v>20260322</v>
      </c>
      <c r="AK194" s="1" t="str">
        <f>_xlfn.TEXTBEFORE(_xlfn.TEXTAFTER(batch_summary[[#This Row],[video]],"_",2),".",1)</f>
        <v>160000</v>
      </c>
    </row>
    <row r="195" spans="1:37" x14ac:dyDescent="0.2">
      <c r="A195" s="1" t="s">
        <v>3299</v>
      </c>
      <c r="B195" s="1" t="s">
        <v>3300</v>
      </c>
      <c r="C195">
        <v>119.95833333333333</v>
      </c>
      <c r="D195">
        <v>2879</v>
      </c>
      <c r="E195">
        <v>0.40168237779289484</v>
      </c>
      <c r="F195">
        <v>38.258131437934935</v>
      </c>
      <c r="G195">
        <v>1.3952149280753554E-4</v>
      </c>
      <c r="H195">
        <v>1.3288687543568925E-2</v>
      </c>
      <c r="I195">
        <v>5</v>
      </c>
      <c r="J195" t="b">
        <v>1</v>
      </c>
      <c r="K195">
        <v>0.65</v>
      </c>
      <c r="L195">
        <v>1.3</v>
      </c>
      <c r="M195" t="b">
        <v>1</v>
      </c>
      <c r="N195">
        <v>200</v>
      </c>
      <c r="O195" t="b">
        <v>0</v>
      </c>
      <c r="P195" t="b">
        <v>0</v>
      </c>
      <c r="Q195">
        <v>0.7</v>
      </c>
      <c r="R195">
        <v>2357746.1610937119</v>
      </c>
      <c r="S195">
        <v>2436131.8852785826</v>
      </c>
      <c r="T195">
        <v>2075178.0784816742</v>
      </c>
      <c r="U195">
        <v>2087681.45815593</v>
      </c>
      <c r="V195">
        <v>4793878.0463722944</v>
      </c>
      <c r="W195">
        <v>4162859.5366376042</v>
      </c>
      <c r="X195">
        <v>39962.85971272493</v>
      </c>
      <c r="Y195">
        <v>34702.545633658388</v>
      </c>
      <c r="Z195">
        <v>3597.4352207565307</v>
      </c>
      <c r="AA195">
        <v>1040.7148841594012</v>
      </c>
      <c r="AB195">
        <v>20751.780784816743</v>
      </c>
      <c r="AC195">
        <v>20876.814581559302</v>
      </c>
      <c r="AD195">
        <v>41628.595366376045</v>
      </c>
      <c r="AE195">
        <v>1.1515829453722985</v>
      </c>
      <c r="AF195" s="1" t="s">
        <v>3301</v>
      </c>
      <c r="AG195" s="1" t="s">
        <v>3302</v>
      </c>
      <c r="AH195" s="1" t="s">
        <v>3303</v>
      </c>
      <c r="AI195" s="1" t="str">
        <f>_xlfn.TEXTAFTER(_xlfn.TEXTBEFORE(batch_summary[[#This Row],[video]],"_",1),"-",3)</f>
        <v>16</v>
      </c>
      <c r="AJ195" s="1" t="str">
        <f>_xlfn.TEXTBEFORE(_xlfn.TEXTAFTER(batch_summary[[#This Row],[video]],"_",1),"_",1)</f>
        <v>20260322</v>
      </c>
      <c r="AK195" s="1" t="str">
        <f>_xlfn.TEXTBEFORE(_xlfn.TEXTAFTER(batch_summary[[#This Row],[video]],"_",2),".",1)</f>
        <v>170000</v>
      </c>
    </row>
    <row r="196" spans="1:37" x14ac:dyDescent="0.2">
      <c r="A196" s="1" t="s">
        <v>3304</v>
      </c>
      <c r="B196" s="1" t="s">
        <v>3305</v>
      </c>
      <c r="C196">
        <v>119.95833333333333</v>
      </c>
      <c r="D196">
        <v>2879</v>
      </c>
      <c r="E196">
        <v>0.39232533983886242</v>
      </c>
      <c r="F196">
        <v>37.646262950263917</v>
      </c>
      <c r="G196">
        <v>1.3627139278876778E-4</v>
      </c>
      <c r="H196">
        <v>1.3076159413082291E-2</v>
      </c>
      <c r="I196">
        <v>5</v>
      </c>
      <c r="J196" t="b">
        <v>1</v>
      </c>
      <c r="K196">
        <v>0.65</v>
      </c>
      <c r="L196">
        <v>1.3</v>
      </c>
      <c r="M196" t="b">
        <v>1</v>
      </c>
      <c r="N196">
        <v>200</v>
      </c>
      <c r="O196" t="b">
        <v>0</v>
      </c>
      <c r="P196" t="b">
        <v>0</v>
      </c>
      <c r="Q196">
        <v>0.7</v>
      </c>
      <c r="R196">
        <v>1082527.5463706851</v>
      </c>
      <c r="S196">
        <v>1033809.6663137674</v>
      </c>
      <c r="T196">
        <v>958050.70696949959</v>
      </c>
      <c r="U196">
        <v>849482.66685295105</v>
      </c>
      <c r="V196">
        <v>2116337.2126844525</v>
      </c>
      <c r="W196">
        <v>1807533.3738224506</v>
      </c>
      <c r="X196">
        <v>17642.269226963133</v>
      </c>
      <c r="Y196">
        <v>15068.010063125674</v>
      </c>
      <c r="Z196">
        <v>1545.3551293349267</v>
      </c>
      <c r="AA196">
        <v>451.8833434556127</v>
      </c>
      <c r="AB196">
        <v>9580.5070696949952</v>
      </c>
      <c r="AC196">
        <v>8494.8266685295112</v>
      </c>
      <c r="AD196">
        <v>18075.333738224508</v>
      </c>
      <c r="AE196">
        <v>1.1708426761764095</v>
      </c>
      <c r="AF196" s="1" t="s">
        <v>3306</v>
      </c>
      <c r="AG196" s="1" t="s">
        <v>3307</v>
      </c>
      <c r="AH196" s="1" t="s">
        <v>3308</v>
      </c>
      <c r="AI196" s="1" t="str">
        <f>_xlfn.TEXTAFTER(_xlfn.TEXTBEFORE(batch_summary[[#This Row],[video]],"_",1),"-",3)</f>
        <v>16</v>
      </c>
      <c r="AJ196" s="1" t="str">
        <f>_xlfn.TEXTBEFORE(_xlfn.TEXTAFTER(batch_summary[[#This Row],[video]],"_",1),"_",1)</f>
        <v>20260322</v>
      </c>
      <c r="AK196" s="1" t="str">
        <f>_xlfn.TEXTBEFORE(_xlfn.TEXTAFTER(batch_summary[[#This Row],[video]],"_",2),".",1)</f>
        <v>180000</v>
      </c>
    </row>
    <row r="197" spans="1:37" x14ac:dyDescent="0.2">
      <c r="A197" s="1" t="s">
        <v>3309</v>
      </c>
      <c r="B197" s="1" t="s">
        <v>3310</v>
      </c>
      <c r="C197">
        <v>119.95833333333333</v>
      </c>
      <c r="D197">
        <v>2879</v>
      </c>
      <c r="E197">
        <v>0.3721178425475955</v>
      </c>
      <c r="F197">
        <v>36.77546296082437</v>
      </c>
      <c r="G197">
        <v>1.2925246354553507E-4</v>
      </c>
      <c r="H197">
        <v>1.2773693282676057E-2</v>
      </c>
      <c r="I197">
        <v>5</v>
      </c>
      <c r="J197" t="b">
        <v>1</v>
      </c>
      <c r="K197">
        <v>0.65</v>
      </c>
      <c r="L197">
        <v>1.3</v>
      </c>
      <c r="M197" t="b">
        <v>1</v>
      </c>
      <c r="N197">
        <v>200</v>
      </c>
      <c r="O197" t="b">
        <v>0</v>
      </c>
      <c r="P197" t="b">
        <v>0</v>
      </c>
      <c r="Q197">
        <v>0.7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s="1" t="s">
        <v>3311</v>
      </c>
      <c r="AG197" s="1" t="s">
        <v>3312</v>
      </c>
      <c r="AH197" s="1" t="s">
        <v>3313</v>
      </c>
      <c r="AI197" s="1" t="str">
        <f>_xlfn.TEXTAFTER(_xlfn.TEXTBEFORE(batch_summary[[#This Row],[video]],"_",1),"-",3)</f>
        <v>16</v>
      </c>
      <c r="AJ197" s="1" t="str">
        <f>_xlfn.TEXTBEFORE(_xlfn.TEXTAFTER(batch_summary[[#This Row],[video]],"_",1),"_",1)</f>
        <v>20260322</v>
      </c>
      <c r="AK197" s="1" t="str">
        <f>_xlfn.TEXTBEFORE(_xlfn.TEXTAFTER(batch_summary[[#This Row],[video]],"_",2),".",1)</f>
        <v>190000</v>
      </c>
    </row>
    <row r="198" spans="1:37" x14ac:dyDescent="0.2">
      <c r="A198" s="1" t="s">
        <v>3314</v>
      </c>
      <c r="B198" s="1" t="s">
        <v>3315</v>
      </c>
      <c r="C198">
        <v>119.95833333333333</v>
      </c>
      <c r="D198">
        <v>2879</v>
      </c>
      <c r="E198">
        <v>0.37205548584461212</v>
      </c>
      <c r="F198">
        <v>36.845830979757011</v>
      </c>
      <c r="G198">
        <v>1.2923080439201533E-4</v>
      </c>
      <c r="H198">
        <v>1.279813510932859E-2</v>
      </c>
      <c r="I198">
        <v>5</v>
      </c>
      <c r="J198" t="b">
        <v>1</v>
      </c>
      <c r="K198">
        <v>0.65</v>
      </c>
      <c r="L198">
        <v>1.3</v>
      </c>
      <c r="M198" t="b">
        <v>1</v>
      </c>
      <c r="N198">
        <v>200</v>
      </c>
      <c r="O198" t="b">
        <v>0</v>
      </c>
      <c r="P198" t="b">
        <v>0</v>
      </c>
      <c r="Q198">
        <v>0.7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s="1" t="s">
        <v>3316</v>
      </c>
      <c r="AG198" s="1" t="s">
        <v>3317</v>
      </c>
      <c r="AH198" s="1" t="s">
        <v>3318</v>
      </c>
      <c r="AI198" s="1" t="str">
        <f>_xlfn.TEXTAFTER(_xlfn.TEXTBEFORE(batch_summary[[#This Row],[video]],"_",1),"-",3)</f>
        <v>16</v>
      </c>
      <c r="AJ198" s="1" t="str">
        <f>_xlfn.TEXTBEFORE(_xlfn.TEXTAFTER(batch_summary[[#This Row],[video]],"_",1),"_",1)</f>
        <v>20260323</v>
      </c>
      <c r="AK198" s="1" t="str">
        <f>_xlfn.TEXTBEFORE(_xlfn.TEXTAFTER(batch_summary[[#This Row],[video]],"_",2),".",1)</f>
        <v>060000</v>
      </c>
    </row>
    <row r="199" spans="1:37" x14ac:dyDescent="0.2">
      <c r="A199" s="1" t="s">
        <v>3319</v>
      </c>
      <c r="B199" s="1" t="s">
        <v>3320</v>
      </c>
      <c r="C199">
        <v>119.95833333333333</v>
      </c>
      <c r="D199">
        <v>2879</v>
      </c>
      <c r="E199">
        <v>0.38242498785257339</v>
      </c>
      <c r="F199">
        <v>37.048207206651568</v>
      </c>
      <c r="G199">
        <v>1.3283257653788586E-4</v>
      </c>
      <c r="H199">
        <v>1.2868429040170742E-2</v>
      </c>
      <c r="I199">
        <v>5</v>
      </c>
      <c r="J199" t="b">
        <v>1</v>
      </c>
      <c r="K199">
        <v>0.65</v>
      </c>
      <c r="L199">
        <v>1.3</v>
      </c>
      <c r="M199" t="b">
        <v>1</v>
      </c>
      <c r="N199">
        <v>200</v>
      </c>
      <c r="O199" t="b">
        <v>0</v>
      </c>
      <c r="P199" t="b">
        <v>0</v>
      </c>
      <c r="Q199">
        <v>0.7</v>
      </c>
      <c r="R199">
        <v>5606.5056979656219</v>
      </c>
      <c r="S199">
        <v>4841.6735117435455</v>
      </c>
      <c r="T199">
        <v>0</v>
      </c>
      <c r="U199">
        <v>0</v>
      </c>
      <c r="V199">
        <v>10448.179209709167</v>
      </c>
      <c r="W199">
        <v>0</v>
      </c>
      <c r="X199">
        <v>87.098402581806198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10448179209.709167</v>
      </c>
      <c r="AF199" s="1" t="s">
        <v>3321</v>
      </c>
      <c r="AG199" s="1" t="s">
        <v>3322</v>
      </c>
      <c r="AH199" s="1" t="s">
        <v>3323</v>
      </c>
      <c r="AI199" s="1" t="str">
        <f>_xlfn.TEXTAFTER(_xlfn.TEXTBEFORE(batch_summary[[#This Row],[video]],"_",1),"-",3)</f>
        <v>16</v>
      </c>
      <c r="AJ199" s="1" t="str">
        <f>_xlfn.TEXTBEFORE(_xlfn.TEXTAFTER(batch_summary[[#This Row],[video]],"_",1),"_",1)</f>
        <v>20260323</v>
      </c>
      <c r="AK199" s="1" t="str">
        <f>_xlfn.TEXTBEFORE(_xlfn.TEXTAFTER(batch_summary[[#This Row],[video]],"_",2),".",1)</f>
        <v>070000</v>
      </c>
    </row>
    <row r="200" spans="1:37" x14ac:dyDescent="0.2">
      <c r="A200" s="1" t="s">
        <v>3324</v>
      </c>
      <c r="B200" s="1" t="s">
        <v>3325</v>
      </c>
      <c r="C200">
        <v>119.95833333333333</v>
      </c>
      <c r="D200">
        <v>2879</v>
      </c>
      <c r="E200">
        <v>0.37887299992144108</v>
      </c>
      <c r="F200">
        <v>36.941455146297812</v>
      </c>
      <c r="G200">
        <v>1.3159881900710006E-4</v>
      </c>
      <c r="H200">
        <v>1.283134947769983E-2</v>
      </c>
      <c r="I200">
        <v>5</v>
      </c>
      <c r="J200" t="b">
        <v>1</v>
      </c>
      <c r="K200">
        <v>0.65</v>
      </c>
      <c r="L200">
        <v>1.3</v>
      </c>
      <c r="M200" t="b">
        <v>1</v>
      </c>
      <c r="N200">
        <v>200</v>
      </c>
      <c r="O200" t="b">
        <v>0</v>
      </c>
      <c r="P200" t="b">
        <v>0</v>
      </c>
      <c r="Q200">
        <v>0.7</v>
      </c>
      <c r="R200">
        <v>2022.8941485881805</v>
      </c>
      <c r="S200">
        <v>2007.6759779453278</v>
      </c>
      <c r="T200">
        <v>0</v>
      </c>
      <c r="U200">
        <v>0</v>
      </c>
      <c r="V200">
        <v>4030.5701265335083</v>
      </c>
      <c r="W200">
        <v>0</v>
      </c>
      <c r="X200">
        <v>33.599750967976448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4030570126.5335083</v>
      </c>
      <c r="AF200" s="1" t="s">
        <v>3326</v>
      </c>
      <c r="AG200" s="1" t="s">
        <v>3327</v>
      </c>
      <c r="AH200" s="1" t="s">
        <v>3328</v>
      </c>
      <c r="AI200" s="1" t="str">
        <f>_xlfn.TEXTAFTER(_xlfn.TEXTBEFORE(batch_summary[[#This Row],[video]],"_",1),"-",3)</f>
        <v>16</v>
      </c>
      <c r="AJ200" s="1" t="str">
        <f>_xlfn.TEXTBEFORE(_xlfn.TEXTAFTER(batch_summary[[#This Row],[video]],"_",1),"_",1)</f>
        <v>20260323</v>
      </c>
      <c r="AK200" s="1" t="str">
        <f>_xlfn.TEXTBEFORE(_xlfn.TEXTAFTER(batch_summary[[#This Row],[video]],"_",2),".",1)</f>
        <v>080000</v>
      </c>
    </row>
    <row r="201" spans="1:37" x14ac:dyDescent="0.2">
      <c r="A201" s="1" t="s">
        <v>3329</v>
      </c>
      <c r="B201" s="1" t="s">
        <v>3330</v>
      </c>
      <c r="C201">
        <v>119.95833333333333</v>
      </c>
      <c r="D201">
        <v>2879</v>
      </c>
      <c r="E201">
        <v>0.36068302672356367</v>
      </c>
      <c r="F201">
        <v>37.151166325435042</v>
      </c>
      <c r="G201">
        <v>1.2528066228675362E-4</v>
      </c>
      <c r="H201">
        <v>1.2904191151592581E-2</v>
      </c>
      <c r="I201">
        <v>5</v>
      </c>
      <c r="J201" t="b">
        <v>1</v>
      </c>
      <c r="K201">
        <v>0.65</v>
      </c>
      <c r="L201">
        <v>1.3</v>
      </c>
      <c r="M201" t="b">
        <v>1</v>
      </c>
      <c r="N201">
        <v>200</v>
      </c>
      <c r="O201" t="b">
        <v>0</v>
      </c>
      <c r="P201" t="b">
        <v>0</v>
      </c>
      <c r="Q201">
        <v>0.7</v>
      </c>
      <c r="R201">
        <v>41383.354065716267</v>
      </c>
      <c r="S201">
        <v>13018.121800124645</v>
      </c>
      <c r="T201">
        <v>32042.244506835938</v>
      </c>
      <c r="U201">
        <v>2632.12353515625</v>
      </c>
      <c r="V201">
        <v>54401.475865840912</v>
      </c>
      <c r="W201">
        <v>34674.368041992188</v>
      </c>
      <c r="X201">
        <v>453.50309856901072</v>
      </c>
      <c r="Y201">
        <v>289.0534327918765</v>
      </c>
      <c r="Z201">
        <v>342.84132446289061</v>
      </c>
      <c r="AA201">
        <v>8.6685920104980472</v>
      </c>
      <c r="AB201">
        <v>320.42244506835937</v>
      </c>
      <c r="AC201">
        <v>26.3212353515625</v>
      </c>
      <c r="AD201">
        <v>346.74368041992187</v>
      </c>
      <c r="AE201">
        <v>1.5689247977052769</v>
      </c>
      <c r="AF201" s="1" t="s">
        <v>3331</v>
      </c>
      <c r="AG201" s="1" t="s">
        <v>3332</v>
      </c>
      <c r="AH201" s="1" t="s">
        <v>3333</v>
      </c>
      <c r="AI201" s="1" t="str">
        <f>_xlfn.TEXTAFTER(_xlfn.TEXTBEFORE(batch_summary[[#This Row],[video]],"_",1),"-",3)</f>
        <v>16</v>
      </c>
      <c r="AJ201" s="1" t="str">
        <f>_xlfn.TEXTBEFORE(_xlfn.TEXTAFTER(batch_summary[[#This Row],[video]],"_",1),"_",1)</f>
        <v>20260323</v>
      </c>
      <c r="AK201" s="1" t="str">
        <f>_xlfn.TEXTBEFORE(_xlfn.TEXTAFTER(batch_summary[[#This Row],[video]],"_",2),".",1)</f>
        <v>090000</v>
      </c>
    </row>
    <row r="202" spans="1:37" x14ac:dyDescent="0.2">
      <c r="A202" s="1" t="s">
        <v>3334</v>
      </c>
      <c r="B202" s="1" t="s">
        <v>3335</v>
      </c>
      <c r="C202">
        <v>119.95833333333333</v>
      </c>
      <c r="D202">
        <v>2879</v>
      </c>
      <c r="E202">
        <v>0.33612223528325558</v>
      </c>
      <c r="F202">
        <v>38.073224612511694</v>
      </c>
      <c r="G202">
        <v>1.1674964754541702E-4</v>
      </c>
      <c r="H202">
        <v>1.3224461484026291E-2</v>
      </c>
      <c r="I202">
        <v>5</v>
      </c>
      <c r="J202" t="b">
        <v>1</v>
      </c>
      <c r="K202">
        <v>0.65</v>
      </c>
      <c r="L202">
        <v>1.3</v>
      </c>
      <c r="M202" t="b">
        <v>1</v>
      </c>
      <c r="N202">
        <v>200</v>
      </c>
      <c r="O202" t="b">
        <v>0</v>
      </c>
      <c r="P202" t="b">
        <v>0</v>
      </c>
      <c r="Q202">
        <v>0.7</v>
      </c>
      <c r="R202">
        <v>677938.6613188982</v>
      </c>
      <c r="S202">
        <v>945366.59844052792</v>
      </c>
      <c r="T202">
        <v>444898.85532236099</v>
      </c>
      <c r="U202">
        <v>733962.57903885841</v>
      </c>
      <c r="V202">
        <v>1623305.2597594261</v>
      </c>
      <c r="W202">
        <v>1178861.4343612194</v>
      </c>
      <c r="X202">
        <v>13532.242526650305</v>
      </c>
      <c r="Y202">
        <v>9827.2575285409057</v>
      </c>
      <c r="Z202">
        <v>1691.2329255104066</v>
      </c>
      <c r="AA202">
        <v>294.71535859030485</v>
      </c>
      <c r="AB202">
        <v>4448.9885532236103</v>
      </c>
      <c r="AC202">
        <v>7339.6257903885844</v>
      </c>
      <c r="AD202">
        <v>11788.614343612195</v>
      </c>
      <c r="AE202">
        <v>1.3770110824255051</v>
      </c>
      <c r="AF202" s="1" t="s">
        <v>3336</v>
      </c>
      <c r="AG202" s="1" t="s">
        <v>3337</v>
      </c>
      <c r="AH202" s="1" t="s">
        <v>3338</v>
      </c>
      <c r="AI202" s="1" t="str">
        <f>_xlfn.TEXTAFTER(_xlfn.TEXTBEFORE(batch_summary[[#This Row],[video]],"_",1),"-",3)</f>
        <v>16</v>
      </c>
      <c r="AJ202" s="1" t="str">
        <f>_xlfn.TEXTBEFORE(_xlfn.TEXTAFTER(batch_summary[[#This Row],[video]],"_",1),"_",1)</f>
        <v>20260323</v>
      </c>
      <c r="AK202" s="1" t="str">
        <f>_xlfn.TEXTBEFORE(_xlfn.TEXTAFTER(batch_summary[[#This Row],[video]],"_",2),".",1)</f>
        <v>100000</v>
      </c>
    </row>
    <row r="203" spans="1:37" x14ac:dyDescent="0.2">
      <c r="A203" s="1" t="s">
        <v>3339</v>
      </c>
      <c r="B203" s="1" t="s">
        <v>3340</v>
      </c>
      <c r="C203">
        <v>119.95833333333333</v>
      </c>
      <c r="D203">
        <v>2879</v>
      </c>
      <c r="E203">
        <v>0.38480319455265999</v>
      </c>
      <c r="F203">
        <v>38.775154770351946</v>
      </c>
      <c r="G203">
        <v>1.3365862957716567E-4</v>
      </c>
      <c r="H203">
        <v>1.3468271889667227E-2</v>
      </c>
      <c r="I203">
        <v>5</v>
      </c>
      <c r="J203" t="b">
        <v>1</v>
      </c>
      <c r="K203">
        <v>0.65</v>
      </c>
      <c r="L203">
        <v>1.3</v>
      </c>
      <c r="M203" t="b">
        <v>1</v>
      </c>
      <c r="N203">
        <v>200</v>
      </c>
      <c r="O203" t="b">
        <v>0</v>
      </c>
      <c r="P203" t="b">
        <v>0</v>
      </c>
      <c r="Q203">
        <v>0.7</v>
      </c>
      <c r="R203">
        <v>6305801.9883670211</v>
      </c>
      <c r="S203">
        <v>5187585.0551675558</v>
      </c>
      <c r="T203">
        <v>5358816.2764018178</v>
      </c>
      <c r="U203">
        <v>4369155.3080208898</v>
      </c>
      <c r="V203">
        <v>11493387.043534577</v>
      </c>
      <c r="W203">
        <v>9727971.5844227076</v>
      </c>
      <c r="X203">
        <v>95811.49324238619</v>
      </c>
      <c r="Y203">
        <v>81094.587713145185</v>
      </c>
      <c r="Z203">
        <v>4891.812126693726</v>
      </c>
      <c r="AA203">
        <v>2431.9928961056767</v>
      </c>
      <c r="AB203">
        <v>53588.162764018176</v>
      </c>
      <c r="AC203">
        <v>43691.553080208898</v>
      </c>
      <c r="AD203">
        <v>97279.715844227074</v>
      </c>
      <c r="AE203">
        <v>1.1814782705511608</v>
      </c>
      <c r="AF203" s="1" t="s">
        <v>3341</v>
      </c>
      <c r="AG203" s="1" t="s">
        <v>3342</v>
      </c>
      <c r="AH203" s="1" t="s">
        <v>3343</v>
      </c>
      <c r="AI203" s="1" t="str">
        <f>_xlfn.TEXTAFTER(_xlfn.TEXTBEFORE(batch_summary[[#This Row],[video]],"_",1),"-",3)</f>
        <v>16</v>
      </c>
      <c r="AJ203" s="1" t="str">
        <f>_xlfn.TEXTBEFORE(_xlfn.TEXTAFTER(batch_summary[[#This Row],[video]],"_",1),"_",1)</f>
        <v>20260323</v>
      </c>
      <c r="AK203" s="1" t="str">
        <f>_xlfn.TEXTBEFORE(_xlfn.TEXTAFTER(batch_summary[[#This Row],[video]],"_",2),".",1)</f>
        <v>110000</v>
      </c>
    </row>
    <row r="204" spans="1:37" x14ac:dyDescent="0.2">
      <c r="A204" s="1" t="s">
        <v>3344</v>
      </c>
      <c r="B204" s="1" t="s">
        <v>3345</v>
      </c>
      <c r="C204">
        <v>119.95833333333333</v>
      </c>
      <c r="D204">
        <v>2879</v>
      </c>
      <c r="E204">
        <v>0.41300827916711569</v>
      </c>
      <c r="F204">
        <v>39.170054075308144</v>
      </c>
      <c r="G204">
        <v>1.4345546341337816E-4</v>
      </c>
      <c r="H204">
        <v>1.3605437330777403E-2</v>
      </c>
      <c r="I204">
        <v>5</v>
      </c>
      <c r="J204" t="b">
        <v>1</v>
      </c>
      <c r="K204">
        <v>0.65</v>
      </c>
      <c r="L204">
        <v>1.3</v>
      </c>
      <c r="M204" t="b">
        <v>1</v>
      </c>
      <c r="N204">
        <v>200</v>
      </c>
      <c r="O204" t="b">
        <v>0</v>
      </c>
      <c r="P204" t="b">
        <v>0</v>
      </c>
      <c r="Q204">
        <v>0.7</v>
      </c>
      <c r="R204">
        <v>6527980.8106395006</v>
      </c>
      <c r="S204">
        <v>7477873.424014926</v>
      </c>
      <c r="T204">
        <v>5512157.4154074788</v>
      </c>
      <c r="U204">
        <v>6482360.9398213029</v>
      </c>
      <c r="V204">
        <v>14005854.234654427</v>
      </c>
      <c r="W204">
        <v>11994518.355228782</v>
      </c>
      <c r="X204">
        <v>116755.99223053361</v>
      </c>
      <c r="Y204">
        <v>99989.038042893633</v>
      </c>
      <c r="Z204">
        <v>6225.1457837271691</v>
      </c>
      <c r="AA204">
        <v>2998.6295888071954</v>
      </c>
      <c r="AB204">
        <v>55121.574154074791</v>
      </c>
      <c r="AC204">
        <v>64823.609398213026</v>
      </c>
      <c r="AD204">
        <v>119945.18355228781</v>
      </c>
      <c r="AE204">
        <v>1.1676879237546742</v>
      </c>
      <c r="AF204" s="1" t="s">
        <v>3346</v>
      </c>
      <c r="AG204" s="1" t="s">
        <v>3347</v>
      </c>
      <c r="AH204" s="1" t="s">
        <v>3348</v>
      </c>
      <c r="AI204" s="1" t="str">
        <f>_xlfn.TEXTAFTER(_xlfn.TEXTBEFORE(batch_summary[[#This Row],[video]],"_",1),"-",3)</f>
        <v>16</v>
      </c>
      <c r="AJ204" s="1" t="str">
        <f>_xlfn.TEXTBEFORE(_xlfn.TEXTAFTER(batch_summary[[#This Row],[video]],"_",1),"_",1)</f>
        <v>20260323</v>
      </c>
      <c r="AK204" s="1" t="str">
        <f>_xlfn.TEXTBEFORE(_xlfn.TEXTAFTER(batch_summary[[#This Row],[video]],"_",2),".",1)</f>
        <v>120000</v>
      </c>
    </row>
    <row r="205" spans="1:37" x14ac:dyDescent="0.2">
      <c r="A205" s="1" t="s">
        <v>3349</v>
      </c>
      <c r="B205" s="1" t="s">
        <v>3350</v>
      </c>
      <c r="C205">
        <v>119.95833333333333</v>
      </c>
      <c r="D205">
        <v>2879</v>
      </c>
      <c r="E205">
        <v>0.41150446049869061</v>
      </c>
      <c r="F205">
        <v>39.064201835542917</v>
      </c>
      <c r="G205">
        <v>1.4293312278523468E-4</v>
      </c>
      <c r="H205">
        <v>1.3568670314533838E-2</v>
      </c>
      <c r="I205">
        <v>5</v>
      </c>
      <c r="J205" t="b">
        <v>1</v>
      </c>
      <c r="K205">
        <v>0.65</v>
      </c>
      <c r="L205">
        <v>1.3</v>
      </c>
      <c r="M205" t="b">
        <v>1</v>
      </c>
      <c r="N205">
        <v>200</v>
      </c>
      <c r="O205" t="b">
        <v>0</v>
      </c>
      <c r="P205" t="b">
        <v>0</v>
      </c>
      <c r="Q205">
        <v>0.7</v>
      </c>
      <c r="R205">
        <v>8534467.4219932556</v>
      </c>
      <c r="S205">
        <v>8265156.5682020187</v>
      </c>
      <c r="T205">
        <v>7544176.122461617</v>
      </c>
      <c r="U205">
        <v>7383064.4392338991</v>
      </c>
      <c r="V205">
        <v>16799623.990195274</v>
      </c>
      <c r="W205">
        <v>14927240.561695516</v>
      </c>
      <c r="X205">
        <v>140045.49349242327</v>
      </c>
      <c r="Y205">
        <v>124436.87859697548</v>
      </c>
      <c r="Z205">
        <v>7735.196137595176</v>
      </c>
      <c r="AA205">
        <v>3731.8101404238791</v>
      </c>
      <c r="AB205">
        <v>75441.761224616173</v>
      </c>
      <c r="AC205">
        <v>73830.644392338989</v>
      </c>
      <c r="AD205">
        <v>149272.40561695516</v>
      </c>
      <c r="AE205">
        <v>1.1254339957047683</v>
      </c>
      <c r="AF205" s="1" t="s">
        <v>3351</v>
      </c>
      <c r="AG205" s="1" t="s">
        <v>3352</v>
      </c>
      <c r="AH205" s="1" t="s">
        <v>3353</v>
      </c>
      <c r="AI205" s="1" t="str">
        <f>_xlfn.TEXTAFTER(_xlfn.TEXTBEFORE(batch_summary[[#This Row],[video]],"_",1),"-",3)</f>
        <v>16</v>
      </c>
      <c r="AJ205" s="1" t="str">
        <f>_xlfn.TEXTBEFORE(_xlfn.TEXTAFTER(batch_summary[[#This Row],[video]],"_",1),"_",1)</f>
        <v>20260323</v>
      </c>
      <c r="AK205" s="1" t="str">
        <f>_xlfn.TEXTBEFORE(_xlfn.TEXTAFTER(batch_summary[[#This Row],[video]],"_",2),".",1)</f>
        <v>130000</v>
      </c>
    </row>
    <row r="206" spans="1:37" x14ac:dyDescent="0.2">
      <c r="A206" s="1" t="s">
        <v>3354</v>
      </c>
      <c r="B206" s="1" t="s">
        <v>3355</v>
      </c>
      <c r="C206">
        <v>119.95833333333333</v>
      </c>
      <c r="D206">
        <v>2879</v>
      </c>
      <c r="E206">
        <v>0.40648129861801863</v>
      </c>
      <c r="F206">
        <v>38.791930924169719</v>
      </c>
      <c r="G206">
        <v>1.4118836353526178E-4</v>
      </c>
      <c r="H206">
        <v>1.3474098966366697E-2</v>
      </c>
      <c r="I206">
        <v>5</v>
      </c>
      <c r="J206" t="b">
        <v>1</v>
      </c>
      <c r="K206">
        <v>0.65</v>
      </c>
      <c r="L206">
        <v>1.3</v>
      </c>
      <c r="M206" t="b">
        <v>1</v>
      </c>
      <c r="N206">
        <v>200</v>
      </c>
      <c r="O206" t="b">
        <v>0</v>
      </c>
      <c r="P206" t="b">
        <v>0</v>
      </c>
      <c r="Q206">
        <v>0.7</v>
      </c>
      <c r="R206">
        <v>9447511.1443463564</v>
      </c>
      <c r="S206">
        <v>8754779.8110022545</v>
      </c>
      <c r="T206">
        <v>8507570.0108325481</v>
      </c>
      <c r="U206">
        <v>7790949.7645031214</v>
      </c>
      <c r="V206">
        <v>18202290.955348611</v>
      </c>
      <c r="W206">
        <v>16298519.77533567</v>
      </c>
      <c r="X206">
        <v>151738.44492128055</v>
      </c>
      <c r="Y206">
        <v>135868.17457730326</v>
      </c>
      <c r="Z206">
        <v>7454.3549541854863</v>
      </c>
      <c r="AA206">
        <v>4074.6299438339179</v>
      </c>
      <c r="AB206">
        <v>85075.700108325487</v>
      </c>
      <c r="AC206">
        <v>77909.49764503121</v>
      </c>
      <c r="AD206">
        <v>162985.19775335671</v>
      </c>
      <c r="AE206">
        <v>1.116806385257997</v>
      </c>
      <c r="AF206" s="1" t="s">
        <v>3356</v>
      </c>
      <c r="AG206" s="1" t="s">
        <v>3357</v>
      </c>
      <c r="AH206" s="1" t="s">
        <v>3358</v>
      </c>
      <c r="AI206" s="1" t="str">
        <f>_xlfn.TEXTAFTER(_xlfn.TEXTBEFORE(batch_summary[[#This Row],[video]],"_",1),"-",3)</f>
        <v>16</v>
      </c>
      <c r="AJ206" s="1" t="str">
        <f>_xlfn.TEXTBEFORE(_xlfn.TEXTAFTER(batch_summary[[#This Row],[video]],"_",1),"_",1)</f>
        <v>20260323</v>
      </c>
      <c r="AK206" s="1" t="str">
        <f>_xlfn.TEXTBEFORE(_xlfn.TEXTAFTER(batch_summary[[#This Row],[video]],"_",2),".",1)</f>
        <v>140000</v>
      </c>
    </row>
    <row r="207" spans="1:37" x14ac:dyDescent="0.2">
      <c r="A207" s="1" t="s">
        <v>3359</v>
      </c>
      <c r="B207" s="1" t="s">
        <v>3360</v>
      </c>
      <c r="C207">
        <v>119.95833333333333</v>
      </c>
      <c r="D207">
        <v>2879</v>
      </c>
      <c r="E207">
        <v>0.41400417685508728</v>
      </c>
      <c r="F207">
        <v>38.566350070759654</v>
      </c>
      <c r="G207">
        <v>1.4380138133209005E-4</v>
      </c>
      <c r="H207">
        <v>1.3395745074942568E-2</v>
      </c>
      <c r="I207">
        <v>5</v>
      </c>
      <c r="J207" t="b">
        <v>1</v>
      </c>
      <c r="K207">
        <v>0.65</v>
      </c>
      <c r="L207">
        <v>1.3</v>
      </c>
      <c r="M207" t="b">
        <v>1</v>
      </c>
      <c r="N207">
        <v>200</v>
      </c>
      <c r="O207" t="b">
        <v>0</v>
      </c>
      <c r="P207" t="b">
        <v>0</v>
      </c>
      <c r="Q207">
        <v>0.7</v>
      </c>
      <c r="R207">
        <v>2119268.4546173811</v>
      </c>
      <c r="S207">
        <v>2098762.8745851517</v>
      </c>
      <c r="T207">
        <v>1663190.211204648</v>
      </c>
      <c r="U207">
        <v>1623422.4932011366</v>
      </c>
      <c r="V207">
        <v>4218031.3292025328</v>
      </c>
      <c r="W207">
        <v>3286612.7044057846</v>
      </c>
      <c r="X207">
        <v>35162.470267752964</v>
      </c>
      <c r="Y207">
        <v>27397.95238129171</v>
      </c>
      <c r="Z207">
        <v>2086.9497859859466</v>
      </c>
      <c r="AA207">
        <v>821.65317610144609</v>
      </c>
      <c r="AB207">
        <v>16631.902112046479</v>
      </c>
      <c r="AC207">
        <v>16234.224932011366</v>
      </c>
      <c r="AD207">
        <v>32866.127044057845</v>
      </c>
      <c r="AE207">
        <v>1.2833977436855151</v>
      </c>
      <c r="AF207" s="1" t="s">
        <v>3361</v>
      </c>
      <c r="AG207" s="1" t="s">
        <v>3362</v>
      </c>
      <c r="AH207" s="1" t="s">
        <v>3363</v>
      </c>
      <c r="AI207" s="1" t="str">
        <f>_xlfn.TEXTAFTER(_xlfn.TEXTBEFORE(batch_summary[[#This Row],[video]],"_",1),"-",3)</f>
        <v>16</v>
      </c>
      <c r="AJ207" s="1" t="str">
        <f>_xlfn.TEXTBEFORE(_xlfn.TEXTAFTER(batch_summary[[#This Row],[video]],"_",1),"_",1)</f>
        <v>20260323</v>
      </c>
      <c r="AK207" s="1" t="str">
        <f>_xlfn.TEXTBEFORE(_xlfn.TEXTAFTER(batch_summary[[#This Row],[video]],"_",2),".",1)</f>
        <v>150000</v>
      </c>
    </row>
    <row r="208" spans="1:37" x14ac:dyDescent="0.2">
      <c r="A208" s="1" t="s">
        <v>3364</v>
      </c>
      <c r="B208" s="1" t="s">
        <v>3365</v>
      </c>
      <c r="C208">
        <v>119.95833333333333</v>
      </c>
      <c r="D208">
        <v>2879</v>
      </c>
      <c r="E208">
        <v>0.40709728933870792</v>
      </c>
      <c r="F208">
        <v>38.867625590413809</v>
      </c>
      <c r="G208">
        <v>1.4140232349382006E-4</v>
      </c>
      <c r="H208">
        <v>1.3500390965756793E-2</v>
      </c>
      <c r="I208">
        <v>5</v>
      </c>
      <c r="J208" t="b">
        <v>1</v>
      </c>
      <c r="K208">
        <v>0.65</v>
      </c>
      <c r="L208">
        <v>1.3</v>
      </c>
      <c r="M208" t="b">
        <v>1</v>
      </c>
      <c r="N208">
        <v>200</v>
      </c>
      <c r="O208" t="b">
        <v>0</v>
      </c>
      <c r="P208" t="b">
        <v>0</v>
      </c>
      <c r="Q208">
        <v>0.7</v>
      </c>
      <c r="R208">
        <v>6278099.477118969</v>
      </c>
      <c r="S208">
        <v>6021324.2170954347</v>
      </c>
      <c r="T208">
        <v>5696827.5235341191</v>
      </c>
      <c r="U208">
        <v>5395510.7330283523</v>
      </c>
      <c r="V208">
        <v>12299423.694214404</v>
      </c>
      <c r="W208">
        <v>11092338.256562471</v>
      </c>
      <c r="X208">
        <v>102530.79842346151</v>
      </c>
      <c r="Y208">
        <v>92468.25917245548</v>
      </c>
      <c r="Z208">
        <v>4663.6450979995725</v>
      </c>
      <c r="AA208">
        <v>2773.0845641406177</v>
      </c>
      <c r="AB208">
        <v>56968.275235341192</v>
      </c>
      <c r="AC208">
        <v>53955.107330283521</v>
      </c>
      <c r="AD208">
        <v>110923.38256562472</v>
      </c>
      <c r="AE208">
        <v>1.1088215495896723</v>
      </c>
      <c r="AF208" s="1" t="s">
        <v>3366</v>
      </c>
      <c r="AG208" s="1" t="s">
        <v>3367</v>
      </c>
      <c r="AH208" s="1" t="s">
        <v>3368</v>
      </c>
      <c r="AI208" s="1" t="str">
        <f>_xlfn.TEXTAFTER(_xlfn.TEXTBEFORE(batch_summary[[#This Row],[video]],"_",1),"-",3)</f>
        <v>16</v>
      </c>
      <c r="AJ208" s="1" t="str">
        <f>_xlfn.TEXTBEFORE(_xlfn.TEXTAFTER(batch_summary[[#This Row],[video]],"_",1),"_",1)</f>
        <v>20260323</v>
      </c>
      <c r="AK208" s="1" t="str">
        <f>_xlfn.TEXTBEFORE(_xlfn.TEXTAFTER(batch_summary[[#This Row],[video]],"_",2),".",1)</f>
        <v>160000</v>
      </c>
    </row>
    <row r="209" spans="1:37" x14ac:dyDescent="0.2">
      <c r="A209" s="1" t="s">
        <v>3369</v>
      </c>
      <c r="B209" s="1" t="s">
        <v>3370</v>
      </c>
      <c r="C209">
        <v>119.95833333333333</v>
      </c>
      <c r="D209">
        <v>2879</v>
      </c>
      <c r="E209">
        <v>0.40995481517165899</v>
      </c>
      <c r="F209">
        <v>38.826215013861656</v>
      </c>
      <c r="G209">
        <v>1.4239486459592185E-4</v>
      </c>
      <c r="H209">
        <v>1.3486007299014122E-2</v>
      </c>
      <c r="I209">
        <v>5</v>
      </c>
      <c r="J209" t="b">
        <v>1</v>
      </c>
      <c r="K209">
        <v>0.65</v>
      </c>
      <c r="L209">
        <v>1.3</v>
      </c>
      <c r="M209" t="b">
        <v>1</v>
      </c>
      <c r="N209">
        <v>200</v>
      </c>
      <c r="O209" t="b">
        <v>0</v>
      </c>
      <c r="P209" t="b">
        <v>0</v>
      </c>
      <c r="Q209">
        <v>0.7</v>
      </c>
      <c r="R209">
        <v>5771969.0488506556</v>
      </c>
      <c r="S209">
        <v>5698877.768900454</v>
      </c>
      <c r="T209">
        <v>5286073.9445434809</v>
      </c>
      <c r="U209">
        <v>5146135.1107513905</v>
      </c>
      <c r="V209">
        <v>11470846.81775111</v>
      </c>
      <c r="W209">
        <v>10432209.055294871</v>
      </c>
      <c r="X209">
        <v>95623.592784309352</v>
      </c>
      <c r="Y209">
        <v>86965.271735698829</v>
      </c>
      <c r="Z209">
        <v>5609.812019042969</v>
      </c>
      <c r="AA209">
        <v>2608.0522638237176</v>
      </c>
      <c r="AB209">
        <v>52860.73944543481</v>
      </c>
      <c r="AC209">
        <v>51461.351107513903</v>
      </c>
      <c r="AD209">
        <v>104322.09055294871</v>
      </c>
      <c r="AE209">
        <v>1.099560673770152</v>
      </c>
      <c r="AF209" s="1" t="s">
        <v>3371</v>
      </c>
      <c r="AG209" s="1" t="s">
        <v>3372</v>
      </c>
      <c r="AH209" s="1" t="s">
        <v>3373</v>
      </c>
      <c r="AI209" s="1" t="str">
        <f>_xlfn.TEXTAFTER(_xlfn.TEXTBEFORE(batch_summary[[#This Row],[video]],"_",1),"-",3)</f>
        <v>16</v>
      </c>
      <c r="AJ209" s="1" t="str">
        <f>_xlfn.TEXTBEFORE(_xlfn.TEXTAFTER(batch_summary[[#This Row],[video]],"_",1),"_",1)</f>
        <v>20260323</v>
      </c>
      <c r="AK209" s="1" t="str">
        <f>_xlfn.TEXTBEFORE(_xlfn.TEXTAFTER(batch_summary[[#This Row],[video]],"_",2),".",1)</f>
        <v>170000</v>
      </c>
    </row>
    <row r="210" spans="1:37" x14ac:dyDescent="0.2">
      <c r="A210" s="1" t="s">
        <v>3374</v>
      </c>
      <c r="B210" s="1" t="s">
        <v>3375</v>
      </c>
      <c r="C210">
        <v>119.95833333333333</v>
      </c>
      <c r="D210">
        <v>2879</v>
      </c>
      <c r="E210">
        <v>0.39653285779058933</v>
      </c>
      <c r="F210">
        <v>37.875975891016424</v>
      </c>
      <c r="G210">
        <v>1.3773284397033321E-4</v>
      </c>
      <c r="H210">
        <v>1.3155948555406886E-2</v>
      </c>
      <c r="I210">
        <v>5</v>
      </c>
      <c r="J210" t="b">
        <v>1</v>
      </c>
      <c r="K210">
        <v>0.65</v>
      </c>
      <c r="L210">
        <v>1.3</v>
      </c>
      <c r="M210" t="b">
        <v>1</v>
      </c>
      <c r="N210">
        <v>200</v>
      </c>
      <c r="O210" t="b">
        <v>0</v>
      </c>
      <c r="P210" t="b">
        <v>0</v>
      </c>
      <c r="Q210">
        <v>0.7</v>
      </c>
      <c r="R210">
        <v>1483989.0461586118</v>
      </c>
      <c r="S210">
        <v>1479444.5226140022</v>
      </c>
      <c r="T210">
        <v>1305790.1116850972</v>
      </c>
      <c r="U210">
        <v>1310365.1261436939</v>
      </c>
      <c r="V210">
        <v>2963433.568772614</v>
      </c>
      <c r="W210">
        <v>2616155.2378287911</v>
      </c>
      <c r="X210">
        <v>24703.857468059305</v>
      </c>
      <c r="Y210">
        <v>21808.866171549493</v>
      </c>
      <c r="Z210">
        <v>3583.5458639669423</v>
      </c>
      <c r="AA210">
        <v>654.03880945719777</v>
      </c>
      <c r="AB210">
        <v>13057.901116850971</v>
      </c>
      <c r="AC210">
        <v>13103.651261436939</v>
      </c>
      <c r="AD210">
        <v>26161.55237828791</v>
      </c>
      <c r="AE210">
        <v>1.1327437783210592</v>
      </c>
      <c r="AF210" s="1" t="s">
        <v>3376</v>
      </c>
      <c r="AG210" s="1" t="s">
        <v>3377</v>
      </c>
      <c r="AH210" s="1" t="s">
        <v>3378</v>
      </c>
      <c r="AI210" s="1" t="str">
        <f>_xlfn.TEXTAFTER(_xlfn.TEXTBEFORE(batch_summary[[#This Row],[video]],"_",1),"-",3)</f>
        <v>16</v>
      </c>
      <c r="AJ210" s="1" t="str">
        <f>_xlfn.TEXTBEFORE(_xlfn.TEXTAFTER(batch_summary[[#This Row],[video]],"_",1),"_",1)</f>
        <v>20260323</v>
      </c>
      <c r="AK210" s="1" t="str">
        <f>_xlfn.TEXTBEFORE(_xlfn.TEXTAFTER(batch_summary[[#This Row],[video]],"_",2),".",1)</f>
        <v>180000</v>
      </c>
    </row>
    <row r="211" spans="1:37" x14ac:dyDescent="0.2">
      <c r="A211" s="1" t="s">
        <v>3379</v>
      </c>
      <c r="B211" s="1" t="s">
        <v>3380</v>
      </c>
      <c r="C211">
        <v>119.95833333333333</v>
      </c>
      <c r="D211">
        <v>2879</v>
      </c>
      <c r="E211">
        <v>0.37883909419178963</v>
      </c>
      <c r="F211">
        <v>36.996056940406561</v>
      </c>
      <c r="G211">
        <v>1.3158704209509888E-4</v>
      </c>
      <c r="H211">
        <v>1.2850315019245072E-2</v>
      </c>
      <c r="I211">
        <v>5</v>
      </c>
      <c r="J211" t="b">
        <v>1</v>
      </c>
      <c r="K211">
        <v>0.65</v>
      </c>
      <c r="L211">
        <v>1.3</v>
      </c>
      <c r="M211" t="b">
        <v>1</v>
      </c>
      <c r="N211">
        <v>200</v>
      </c>
      <c r="O211" t="b">
        <v>0</v>
      </c>
      <c r="P211" t="b">
        <v>0</v>
      </c>
      <c r="Q211">
        <v>0.7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s="1" t="s">
        <v>3381</v>
      </c>
      <c r="AG211" s="1" t="s">
        <v>3382</v>
      </c>
      <c r="AH211" s="1" t="s">
        <v>3383</v>
      </c>
      <c r="AI211" s="1" t="str">
        <f>_xlfn.TEXTAFTER(_xlfn.TEXTBEFORE(batch_summary[[#This Row],[video]],"_",1),"-",3)</f>
        <v>16</v>
      </c>
      <c r="AJ211" s="1" t="str">
        <f>_xlfn.TEXTBEFORE(_xlfn.TEXTAFTER(batch_summary[[#This Row],[video]],"_",1),"_",1)</f>
        <v>20260323</v>
      </c>
      <c r="AK211" s="1" t="str">
        <f>_xlfn.TEXTBEFORE(_xlfn.TEXTAFTER(batch_summary[[#This Row],[video]],"_",2),".",1)</f>
        <v>190000</v>
      </c>
    </row>
    <row r="212" spans="1:37" x14ac:dyDescent="0.2">
      <c r="A212" s="1" t="s">
        <v>3384</v>
      </c>
      <c r="B212" s="1" t="s">
        <v>3385</v>
      </c>
      <c r="C212">
        <v>119.95833333333333</v>
      </c>
      <c r="D212">
        <v>2879</v>
      </c>
      <c r="E212">
        <v>0.37371191848069429</v>
      </c>
      <c r="F212">
        <v>36.635228148661554</v>
      </c>
      <c r="G212">
        <v>1.2980615438718107E-4</v>
      </c>
      <c r="H212">
        <v>1.2724983726523639E-2</v>
      </c>
      <c r="I212">
        <v>5</v>
      </c>
      <c r="J212" t="b">
        <v>1</v>
      </c>
      <c r="K212">
        <v>0.65</v>
      </c>
      <c r="L212">
        <v>1.3</v>
      </c>
      <c r="M212" t="b">
        <v>1</v>
      </c>
      <c r="N212">
        <v>200</v>
      </c>
      <c r="O212" t="b">
        <v>0</v>
      </c>
      <c r="P212" t="b">
        <v>0</v>
      </c>
      <c r="Q212">
        <v>0.7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s="1" t="s">
        <v>3386</v>
      </c>
      <c r="AG212" s="1" t="s">
        <v>3387</v>
      </c>
      <c r="AH212" s="1" t="s">
        <v>3388</v>
      </c>
      <c r="AI212" s="1" t="str">
        <f>_xlfn.TEXTAFTER(_xlfn.TEXTBEFORE(batch_summary[[#This Row],[video]],"_",1),"-",3)</f>
        <v>16</v>
      </c>
      <c r="AJ212" s="1" t="str">
        <f>_xlfn.TEXTBEFORE(_xlfn.TEXTAFTER(batch_summary[[#This Row],[video]],"_",1),"_",1)</f>
        <v>20260324</v>
      </c>
      <c r="AK212" s="1" t="str">
        <f>_xlfn.TEXTBEFORE(_xlfn.TEXTAFTER(batch_summary[[#This Row],[video]],"_",2),".",1)</f>
        <v>060000</v>
      </c>
    </row>
    <row r="213" spans="1:37" x14ac:dyDescent="0.2">
      <c r="A213" s="1" t="s">
        <v>3389</v>
      </c>
      <c r="B213" s="1" t="s">
        <v>3390</v>
      </c>
      <c r="C213">
        <v>119.95833333333333</v>
      </c>
      <c r="D213">
        <v>2879</v>
      </c>
      <c r="E213">
        <v>0.37913462705910206</v>
      </c>
      <c r="F213">
        <v>37.058913892135024</v>
      </c>
      <c r="G213">
        <v>1.316896933168121E-4</v>
      </c>
      <c r="H213">
        <v>1.2872147930578334E-2</v>
      </c>
      <c r="I213">
        <v>5</v>
      </c>
      <c r="J213" t="b">
        <v>1</v>
      </c>
      <c r="K213">
        <v>0.65</v>
      </c>
      <c r="L213">
        <v>1.3</v>
      </c>
      <c r="M213" t="b">
        <v>1</v>
      </c>
      <c r="N213">
        <v>200</v>
      </c>
      <c r="O213" t="b">
        <v>0</v>
      </c>
      <c r="P213" t="b">
        <v>0</v>
      </c>
      <c r="Q213">
        <v>0.7</v>
      </c>
      <c r="R213">
        <v>5930.7160350084305</v>
      </c>
      <c r="S213">
        <v>6542.2098503112793</v>
      </c>
      <c r="T213">
        <v>0</v>
      </c>
      <c r="U213">
        <v>0</v>
      </c>
      <c r="V213">
        <v>12472.92588531971</v>
      </c>
      <c r="W213">
        <v>0</v>
      </c>
      <c r="X213">
        <v>103.97715222218585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12472925885.31971</v>
      </c>
      <c r="AF213" s="1" t="s">
        <v>3391</v>
      </c>
      <c r="AG213" s="1" t="s">
        <v>3392</v>
      </c>
      <c r="AH213" s="1" t="s">
        <v>3393</v>
      </c>
      <c r="AI213" s="1" t="str">
        <f>_xlfn.TEXTAFTER(_xlfn.TEXTBEFORE(batch_summary[[#This Row],[video]],"_",1),"-",3)</f>
        <v>16</v>
      </c>
      <c r="AJ213" s="1" t="str">
        <f>_xlfn.TEXTBEFORE(_xlfn.TEXTAFTER(batch_summary[[#This Row],[video]],"_",1),"_",1)</f>
        <v>20260324</v>
      </c>
      <c r="AK213" s="1" t="str">
        <f>_xlfn.TEXTBEFORE(_xlfn.TEXTAFTER(batch_summary[[#This Row],[video]],"_",2),".",1)</f>
        <v>070000</v>
      </c>
    </row>
    <row r="214" spans="1:37" x14ac:dyDescent="0.2">
      <c r="A214" s="1" t="s">
        <v>3394</v>
      </c>
      <c r="B214" s="1" t="s">
        <v>3395</v>
      </c>
      <c r="C214">
        <v>119.95833333333333</v>
      </c>
      <c r="D214">
        <v>2879</v>
      </c>
      <c r="E214">
        <v>0.3740562442690134</v>
      </c>
      <c r="F214">
        <v>36.920334674417973</v>
      </c>
      <c r="G214">
        <v>1.2992575348003244E-4</v>
      </c>
      <c r="H214">
        <v>1.2824013433281685E-2</v>
      </c>
      <c r="I214">
        <v>5</v>
      </c>
      <c r="J214" t="b">
        <v>1</v>
      </c>
      <c r="K214">
        <v>0.65</v>
      </c>
      <c r="L214">
        <v>1.3</v>
      </c>
      <c r="M214" t="b">
        <v>1</v>
      </c>
      <c r="N214">
        <v>200</v>
      </c>
      <c r="O214" t="b">
        <v>0</v>
      </c>
      <c r="P214" t="b">
        <v>0</v>
      </c>
      <c r="Q214">
        <v>0.7</v>
      </c>
      <c r="R214">
        <v>2317.5394958257675</v>
      </c>
      <c r="S214">
        <v>5924.3623262643814</v>
      </c>
      <c r="T214">
        <v>0</v>
      </c>
      <c r="U214">
        <v>0</v>
      </c>
      <c r="V214">
        <v>8241.9018220901489</v>
      </c>
      <c r="W214">
        <v>0</v>
      </c>
      <c r="X214">
        <v>68.706371563099538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8241901822.0901489</v>
      </c>
      <c r="AF214" s="1" t="s">
        <v>3396</v>
      </c>
      <c r="AG214" s="1" t="s">
        <v>3397</v>
      </c>
      <c r="AH214" s="1" t="s">
        <v>3398</v>
      </c>
      <c r="AI214" s="1" t="str">
        <f>_xlfn.TEXTAFTER(_xlfn.TEXTBEFORE(batch_summary[[#This Row],[video]],"_",1),"-",3)</f>
        <v>16</v>
      </c>
      <c r="AJ214" s="1" t="str">
        <f>_xlfn.TEXTBEFORE(_xlfn.TEXTAFTER(batch_summary[[#This Row],[video]],"_",1),"_",1)</f>
        <v>20260324</v>
      </c>
      <c r="AK214" s="1" t="str">
        <f>_xlfn.TEXTBEFORE(_xlfn.TEXTAFTER(batch_summary[[#This Row],[video]],"_",2),".",1)</f>
        <v>080000</v>
      </c>
    </row>
    <row r="215" spans="1:37" x14ac:dyDescent="0.2">
      <c r="A215" s="1" t="s">
        <v>3399</v>
      </c>
      <c r="B215" s="1" t="s">
        <v>3400</v>
      </c>
      <c r="C215">
        <v>119.95833333333333</v>
      </c>
      <c r="D215">
        <v>2879</v>
      </c>
      <c r="E215">
        <v>0.37635073531419039</v>
      </c>
      <c r="F215">
        <v>36.843377131037414</v>
      </c>
      <c r="G215">
        <v>1.3072272848704076E-4</v>
      </c>
      <c r="H215">
        <v>1.2797282782576386E-2</v>
      </c>
      <c r="I215">
        <v>5</v>
      </c>
      <c r="J215" t="b">
        <v>1</v>
      </c>
      <c r="K215">
        <v>0.65</v>
      </c>
      <c r="L215">
        <v>1.3</v>
      </c>
      <c r="M215" t="b">
        <v>1</v>
      </c>
      <c r="N215">
        <v>200</v>
      </c>
      <c r="O215" t="b">
        <v>0</v>
      </c>
      <c r="P215" t="b">
        <v>0</v>
      </c>
      <c r="Q215">
        <v>0.7</v>
      </c>
      <c r="R215">
        <v>266119.19076055288</v>
      </c>
      <c r="S215">
        <v>282281.29262012243</v>
      </c>
      <c r="T215">
        <v>224290.90045261383</v>
      </c>
      <c r="U215">
        <v>245315.38146400452</v>
      </c>
      <c r="V215">
        <v>548400.48338067532</v>
      </c>
      <c r="W215">
        <v>469606.28191661835</v>
      </c>
      <c r="X215">
        <v>4571.5913862925354</v>
      </c>
      <c r="Y215">
        <v>3914.7449690860858</v>
      </c>
      <c r="Z215">
        <v>1702.2005386352539</v>
      </c>
      <c r="AA215">
        <v>117.40157047915459</v>
      </c>
      <c r="AB215">
        <v>2242.9090045261382</v>
      </c>
      <c r="AC215">
        <v>2453.1538146400453</v>
      </c>
      <c r="AD215">
        <v>4696.0628191661835</v>
      </c>
      <c r="AE215">
        <v>1.1677877926642544</v>
      </c>
      <c r="AF215" s="1" t="s">
        <v>3401</v>
      </c>
      <c r="AG215" s="1" t="s">
        <v>3402</v>
      </c>
      <c r="AH215" s="1" t="s">
        <v>3403</v>
      </c>
      <c r="AI215" s="1" t="str">
        <f>_xlfn.TEXTAFTER(_xlfn.TEXTBEFORE(batch_summary[[#This Row],[video]],"_",1),"-",3)</f>
        <v>16</v>
      </c>
      <c r="AJ215" s="1" t="str">
        <f>_xlfn.TEXTBEFORE(_xlfn.TEXTAFTER(batch_summary[[#This Row],[video]],"_",1),"_",1)</f>
        <v>20260324</v>
      </c>
      <c r="AK215" s="1" t="str">
        <f>_xlfn.TEXTBEFORE(_xlfn.TEXTAFTER(batch_summary[[#This Row],[video]],"_",2),".",1)</f>
        <v>090000</v>
      </c>
    </row>
    <row r="216" spans="1:37" x14ac:dyDescent="0.2">
      <c r="A216" s="1" t="s">
        <v>3404</v>
      </c>
      <c r="B216" s="1" t="s">
        <v>3405</v>
      </c>
      <c r="C216">
        <v>119.95833333333333</v>
      </c>
      <c r="D216">
        <v>2879</v>
      </c>
      <c r="E216">
        <v>0.39722347166389227</v>
      </c>
      <c r="F216">
        <v>37.914089919999242</v>
      </c>
      <c r="G216">
        <v>1.3797272374570764E-4</v>
      </c>
      <c r="H216">
        <v>1.3169187189996262E-2</v>
      </c>
      <c r="I216">
        <v>5</v>
      </c>
      <c r="J216" t="b">
        <v>1</v>
      </c>
      <c r="K216">
        <v>0.65</v>
      </c>
      <c r="L216">
        <v>1.3</v>
      </c>
      <c r="M216" t="b">
        <v>1</v>
      </c>
      <c r="N216">
        <v>200</v>
      </c>
      <c r="O216" t="b">
        <v>0</v>
      </c>
      <c r="P216" t="b">
        <v>0</v>
      </c>
      <c r="Q216">
        <v>0.7</v>
      </c>
      <c r="R216">
        <v>720547.22263199091</v>
      </c>
      <c r="S216">
        <v>797022.6070573926</v>
      </c>
      <c r="T216">
        <v>530771.98685097694</v>
      </c>
      <c r="U216">
        <v>593210.48984092474</v>
      </c>
      <c r="V216">
        <v>1517569.8296893835</v>
      </c>
      <c r="W216">
        <v>1123982.4766919017</v>
      </c>
      <c r="X216">
        <v>12650.807889039668</v>
      </c>
      <c r="Y216">
        <v>9369.7740328605905</v>
      </c>
      <c r="Z216">
        <v>1306.6109503555299</v>
      </c>
      <c r="AA216">
        <v>280.99561917297541</v>
      </c>
      <c r="AB216">
        <v>5307.7198685097692</v>
      </c>
      <c r="AC216">
        <v>5932.1048984092477</v>
      </c>
      <c r="AD216">
        <v>11239.824766919017</v>
      </c>
      <c r="AE216">
        <v>1.350172143391315</v>
      </c>
      <c r="AF216" s="1" t="s">
        <v>3406</v>
      </c>
      <c r="AG216" s="1" t="s">
        <v>3407</v>
      </c>
      <c r="AH216" s="1" t="s">
        <v>3408</v>
      </c>
      <c r="AI216" s="1" t="str">
        <f>_xlfn.TEXTAFTER(_xlfn.TEXTBEFORE(batch_summary[[#This Row],[video]],"_",1),"-",3)</f>
        <v>16</v>
      </c>
      <c r="AJ216" s="1" t="str">
        <f>_xlfn.TEXTBEFORE(_xlfn.TEXTAFTER(batch_summary[[#This Row],[video]],"_",1),"_",1)</f>
        <v>20260324</v>
      </c>
      <c r="AK216" s="1" t="str">
        <f>_xlfn.TEXTBEFORE(_xlfn.TEXTAFTER(batch_summary[[#This Row],[video]],"_",2),".",1)</f>
        <v>100000</v>
      </c>
    </row>
    <row r="217" spans="1:37" x14ac:dyDescent="0.2">
      <c r="A217" s="1" t="s">
        <v>3409</v>
      </c>
      <c r="B217" s="1" t="s">
        <v>3410</v>
      </c>
      <c r="C217">
        <v>119.95833333333333</v>
      </c>
      <c r="D217">
        <v>2879</v>
      </c>
      <c r="E217">
        <v>0.41027855034917593</v>
      </c>
      <c r="F217">
        <v>39.03143797069788</v>
      </c>
      <c r="G217">
        <v>1.4250731168779991E-4</v>
      </c>
      <c r="H217">
        <v>1.3557290021082974E-2</v>
      </c>
      <c r="I217">
        <v>5</v>
      </c>
      <c r="J217" t="b">
        <v>1</v>
      </c>
      <c r="K217">
        <v>0.65</v>
      </c>
      <c r="L217">
        <v>1.3</v>
      </c>
      <c r="M217" t="b">
        <v>1</v>
      </c>
      <c r="N217">
        <v>200</v>
      </c>
      <c r="O217" t="b">
        <v>0</v>
      </c>
      <c r="P217" t="b">
        <v>0</v>
      </c>
      <c r="Q217">
        <v>0.7</v>
      </c>
      <c r="R217">
        <v>6089700.2439003587</v>
      </c>
      <c r="S217">
        <v>6229546.247715354</v>
      </c>
      <c r="T217">
        <v>5275014.19915241</v>
      </c>
      <c r="U217">
        <v>5457476.8127303123</v>
      </c>
      <c r="V217">
        <v>12319246.491615713</v>
      </c>
      <c r="W217">
        <v>10732491.011882722</v>
      </c>
      <c r="X217">
        <v>102696.04577935989</v>
      </c>
      <c r="Y217">
        <v>89468.490547129331</v>
      </c>
      <c r="Z217">
        <v>4875.330874023437</v>
      </c>
      <c r="AA217">
        <v>2683.1227529706803</v>
      </c>
      <c r="AB217">
        <v>52750.141991524099</v>
      </c>
      <c r="AC217">
        <v>54574.768127303127</v>
      </c>
      <c r="AD217">
        <v>107324.91011882722</v>
      </c>
      <c r="AE217">
        <v>1.1478459639962593</v>
      </c>
      <c r="AF217" s="1" t="s">
        <v>3411</v>
      </c>
      <c r="AG217" s="1" t="s">
        <v>3412</v>
      </c>
      <c r="AH217" s="1" t="s">
        <v>3413</v>
      </c>
      <c r="AI217" s="1" t="str">
        <f>_xlfn.TEXTAFTER(_xlfn.TEXTBEFORE(batch_summary[[#This Row],[video]],"_",1),"-",3)</f>
        <v>16</v>
      </c>
      <c r="AJ217" s="1" t="str">
        <f>_xlfn.TEXTBEFORE(_xlfn.TEXTAFTER(batch_summary[[#This Row],[video]],"_",1),"_",1)</f>
        <v>20260324</v>
      </c>
      <c r="AK217" s="1" t="str">
        <f>_xlfn.TEXTBEFORE(_xlfn.TEXTAFTER(batch_summary[[#This Row],[video]],"_",2),".",1)</f>
        <v>110000</v>
      </c>
    </row>
    <row r="218" spans="1:37" x14ac:dyDescent="0.2">
      <c r="A218" s="1" t="s">
        <v>3414</v>
      </c>
      <c r="B218" s="1" t="s">
        <v>3415</v>
      </c>
      <c r="C218">
        <v>119.95833333333333</v>
      </c>
      <c r="D218">
        <v>2879</v>
      </c>
      <c r="E218">
        <v>0.40374062024056911</v>
      </c>
      <c r="F218">
        <v>38.734095701947808</v>
      </c>
      <c r="G218">
        <v>1.4023640855872495E-4</v>
      </c>
      <c r="H218">
        <v>1.345401031675853E-2</v>
      </c>
      <c r="I218">
        <v>5</v>
      </c>
      <c r="J218" t="b">
        <v>1</v>
      </c>
      <c r="K218">
        <v>0.65</v>
      </c>
      <c r="L218">
        <v>1.3</v>
      </c>
      <c r="M218" t="b">
        <v>1</v>
      </c>
      <c r="N218">
        <v>200</v>
      </c>
      <c r="O218" t="b">
        <v>0</v>
      </c>
      <c r="P218" t="b">
        <v>0</v>
      </c>
      <c r="Q218">
        <v>0.7</v>
      </c>
      <c r="R218">
        <v>8151131.6597798467</v>
      </c>
      <c r="S218">
        <v>9086114.3894891739</v>
      </c>
      <c r="T218">
        <v>7194865.4636053443</v>
      </c>
      <c r="U218">
        <v>8112942.388881743</v>
      </c>
      <c r="V218">
        <v>17237246.049269021</v>
      </c>
      <c r="W218">
        <v>15307807.852487087</v>
      </c>
      <c r="X218">
        <v>143693.61069206547</v>
      </c>
      <c r="Y218">
        <v>127609.37424789515</v>
      </c>
      <c r="Z218">
        <v>7079.0515125322345</v>
      </c>
      <c r="AA218">
        <v>3826.9519631217713</v>
      </c>
      <c r="AB218">
        <v>71948.654636053441</v>
      </c>
      <c r="AC218">
        <v>81129.42388881743</v>
      </c>
      <c r="AD218">
        <v>153078.07852487086</v>
      </c>
      <c r="AE218">
        <v>1.1260427499074241</v>
      </c>
      <c r="AF218" s="1" t="s">
        <v>3416</v>
      </c>
      <c r="AG218" s="1" t="s">
        <v>3417</v>
      </c>
      <c r="AH218" s="1" t="s">
        <v>3418</v>
      </c>
      <c r="AI218" s="1" t="str">
        <f>_xlfn.TEXTAFTER(_xlfn.TEXTBEFORE(batch_summary[[#This Row],[video]],"_",1),"-",3)</f>
        <v>16</v>
      </c>
      <c r="AJ218" s="1" t="str">
        <f>_xlfn.TEXTBEFORE(_xlfn.TEXTAFTER(batch_summary[[#This Row],[video]],"_",1),"_",1)</f>
        <v>20260324</v>
      </c>
      <c r="AK218" s="1" t="str">
        <f>_xlfn.TEXTBEFORE(_xlfn.TEXTAFTER(batch_summary[[#This Row],[video]],"_",2),".",1)</f>
        <v>120000</v>
      </c>
    </row>
    <row r="219" spans="1:37" x14ac:dyDescent="0.2">
      <c r="A219" s="1" t="s">
        <v>3419</v>
      </c>
      <c r="B219" s="1" t="s">
        <v>3420</v>
      </c>
      <c r="C219">
        <v>119.95833333333333</v>
      </c>
      <c r="D219">
        <v>2879</v>
      </c>
      <c r="E219">
        <v>0.40471236687153578</v>
      </c>
      <c r="F219">
        <v>38.778451213613153</v>
      </c>
      <c r="G219">
        <v>1.4057393778101277E-4</v>
      </c>
      <c r="H219">
        <v>1.3469416885589841E-2</v>
      </c>
      <c r="I219">
        <v>5</v>
      </c>
      <c r="J219" t="b">
        <v>1</v>
      </c>
      <c r="K219">
        <v>0.65</v>
      </c>
      <c r="L219">
        <v>1.3</v>
      </c>
      <c r="M219" t="b">
        <v>1</v>
      </c>
      <c r="N219">
        <v>200</v>
      </c>
      <c r="O219" t="b">
        <v>0</v>
      </c>
      <c r="P219" t="b">
        <v>0</v>
      </c>
      <c r="Q219">
        <v>0.7</v>
      </c>
      <c r="R219">
        <v>7657893.7887757421</v>
      </c>
      <c r="S219">
        <v>7697703.1316397786</v>
      </c>
      <c r="T219">
        <v>6840430.8736056089</v>
      </c>
      <c r="U219">
        <v>6848084.5578230023</v>
      </c>
      <c r="V219">
        <v>15355596.920415521</v>
      </c>
      <c r="W219">
        <v>13688515.431428611</v>
      </c>
      <c r="X219">
        <v>128007.75480721518</v>
      </c>
      <c r="Y219">
        <v>114110.58365900892</v>
      </c>
      <c r="Z219">
        <v>5968.634327464104</v>
      </c>
      <c r="AA219">
        <v>3422.1288578571525</v>
      </c>
      <c r="AB219">
        <v>68404.308736056089</v>
      </c>
      <c r="AC219">
        <v>68480.84557823003</v>
      </c>
      <c r="AD219">
        <v>136885.15431428613</v>
      </c>
      <c r="AE219">
        <v>1.1217868728963345</v>
      </c>
      <c r="AF219" s="1" t="s">
        <v>3421</v>
      </c>
      <c r="AG219" s="1" t="s">
        <v>3422</v>
      </c>
      <c r="AH219" s="1" t="s">
        <v>3423</v>
      </c>
      <c r="AI219" s="1" t="str">
        <f>_xlfn.TEXTAFTER(_xlfn.TEXTBEFORE(batch_summary[[#This Row],[video]],"_",1),"-",3)</f>
        <v>16</v>
      </c>
      <c r="AJ219" s="1" t="str">
        <f>_xlfn.TEXTBEFORE(_xlfn.TEXTAFTER(batch_summary[[#This Row],[video]],"_",1),"_",1)</f>
        <v>20260324</v>
      </c>
      <c r="AK219" s="1" t="str">
        <f>_xlfn.TEXTBEFORE(_xlfn.TEXTAFTER(batch_summary[[#This Row],[video]],"_",2),".",1)</f>
        <v>130000</v>
      </c>
    </row>
    <row r="220" spans="1:37" x14ac:dyDescent="0.2">
      <c r="A220" s="1" t="s">
        <v>3424</v>
      </c>
      <c r="B220" s="1" t="s">
        <v>3425</v>
      </c>
      <c r="C220">
        <v>119.95833333333333</v>
      </c>
      <c r="D220">
        <v>2879</v>
      </c>
      <c r="E220">
        <v>0.39474158547818661</v>
      </c>
      <c r="F220">
        <v>38.225199552252889</v>
      </c>
      <c r="G220">
        <v>1.3711065838075255E-4</v>
      </c>
      <c r="H220">
        <v>1.3277248889285477E-2</v>
      </c>
      <c r="I220">
        <v>5</v>
      </c>
      <c r="J220" t="b">
        <v>1</v>
      </c>
      <c r="K220">
        <v>0.65</v>
      </c>
      <c r="L220">
        <v>1.3</v>
      </c>
      <c r="M220" t="b">
        <v>1</v>
      </c>
      <c r="N220">
        <v>200</v>
      </c>
      <c r="O220" t="b">
        <v>0</v>
      </c>
      <c r="P220" t="b">
        <v>0</v>
      </c>
      <c r="Q220">
        <v>0.7</v>
      </c>
      <c r="R220">
        <v>10134179.139962435</v>
      </c>
      <c r="S220">
        <v>10926261.227051318</v>
      </c>
      <c r="T220">
        <v>9235579.5825395584</v>
      </c>
      <c r="U220">
        <v>9908265.364353776</v>
      </c>
      <c r="V220">
        <v>21060440.367013752</v>
      </c>
      <c r="W220">
        <v>19143844.946893334</v>
      </c>
      <c r="X220">
        <v>175564.62966597086</v>
      </c>
      <c r="Y220">
        <v>159587.45353436613</v>
      </c>
      <c r="Z220">
        <v>8335.9266595458976</v>
      </c>
      <c r="AA220">
        <v>4785.9612367233331</v>
      </c>
      <c r="AB220">
        <v>92355.795825395588</v>
      </c>
      <c r="AC220">
        <v>99082.653643537764</v>
      </c>
      <c r="AD220">
        <v>191438.44946893334</v>
      </c>
      <c r="AE220">
        <v>1.1001154901451207</v>
      </c>
      <c r="AF220" s="1" t="s">
        <v>3426</v>
      </c>
      <c r="AG220" s="1" t="s">
        <v>3427</v>
      </c>
      <c r="AH220" s="1" t="s">
        <v>3428</v>
      </c>
      <c r="AI220" s="1" t="str">
        <f>_xlfn.TEXTAFTER(_xlfn.TEXTBEFORE(batch_summary[[#This Row],[video]],"_",1),"-",3)</f>
        <v>16</v>
      </c>
      <c r="AJ220" s="1" t="str">
        <f>_xlfn.TEXTBEFORE(_xlfn.TEXTAFTER(batch_summary[[#This Row],[video]],"_",1),"_",1)</f>
        <v>20260324</v>
      </c>
      <c r="AK220" s="1" t="str">
        <f>_xlfn.TEXTBEFORE(_xlfn.TEXTAFTER(batch_summary[[#This Row],[video]],"_",2),".",1)</f>
        <v>140000</v>
      </c>
    </row>
    <row r="221" spans="1:37" x14ac:dyDescent="0.2">
      <c r="A221" s="1" t="s">
        <v>3429</v>
      </c>
      <c r="B221" s="1" t="s">
        <v>3430</v>
      </c>
      <c r="C221">
        <v>119.95833333333333</v>
      </c>
      <c r="D221">
        <v>2879</v>
      </c>
      <c r="E221">
        <v>0.41123820375651121</v>
      </c>
      <c r="F221">
        <v>39.147543237544596</v>
      </c>
      <c r="G221">
        <v>1.4284064041559957E-4</v>
      </c>
      <c r="H221">
        <v>1.3597618352742131E-2</v>
      </c>
      <c r="I221">
        <v>5</v>
      </c>
      <c r="J221" t="b">
        <v>1</v>
      </c>
      <c r="K221">
        <v>0.65</v>
      </c>
      <c r="L221">
        <v>1.3</v>
      </c>
      <c r="M221" t="b">
        <v>1</v>
      </c>
      <c r="N221">
        <v>200</v>
      </c>
      <c r="O221" t="b">
        <v>0</v>
      </c>
      <c r="P221" t="b">
        <v>0</v>
      </c>
      <c r="Q221">
        <v>0.7</v>
      </c>
      <c r="R221">
        <v>8244525.4164373875</v>
      </c>
      <c r="S221">
        <v>8780407.9261173606</v>
      </c>
      <c r="T221">
        <v>7509395.2101692557</v>
      </c>
      <c r="U221">
        <v>7951766.5940927863</v>
      </c>
      <c r="V221">
        <v>17024933.342554748</v>
      </c>
      <c r="W221">
        <v>15461161.804262042</v>
      </c>
      <c r="X221">
        <v>141923.72359198122</v>
      </c>
      <c r="Y221">
        <v>128887.76773264642</v>
      </c>
      <c r="Z221">
        <v>6534.5010011935237</v>
      </c>
      <c r="AA221">
        <v>3865.2904510655108</v>
      </c>
      <c r="AB221">
        <v>75093.952101692557</v>
      </c>
      <c r="AC221">
        <v>79517.665940927865</v>
      </c>
      <c r="AD221">
        <v>154611.61804262042</v>
      </c>
      <c r="AE221">
        <v>1.1011419166353744</v>
      </c>
      <c r="AF221" s="1" t="s">
        <v>3431</v>
      </c>
      <c r="AG221" s="1" t="s">
        <v>3432</v>
      </c>
      <c r="AH221" s="1" t="s">
        <v>3433</v>
      </c>
      <c r="AI221" s="1" t="str">
        <f>_xlfn.TEXTAFTER(_xlfn.TEXTBEFORE(batch_summary[[#This Row],[video]],"_",1),"-",3)</f>
        <v>16</v>
      </c>
      <c r="AJ221" s="1" t="str">
        <f>_xlfn.TEXTBEFORE(_xlfn.TEXTAFTER(batch_summary[[#This Row],[video]],"_",1),"_",1)</f>
        <v>20260324</v>
      </c>
      <c r="AK221" s="1" t="str">
        <f>_xlfn.TEXTBEFORE(_xlfn.TEXTAFTER(batch_summary[[#This Row],[video]],"_",2),".",1)</f>
        <v>150000</v>
      </c>
    </row>
    <row r="222" spans="1:37" x14ac:dyDescent="0.2">
      <c r="A222" s="1" t="s">
        <v>3434</v>
      </c>
      <c r="B222" s="1" t="s">
        <v>3435</v>
      </c>
      <c r="C222">
        <v>119.95833333333333</v>
      </c>
      <c r="D222">
        <v>2879</v>
      </c>
      <c r="E222">
        <v>0.40366567391902208</v>
      </c>
      <c r="F222">
        <v>38.983621094375849</v>
      </c>
      <c r="G222">
        <v>1.4021037649149777E-4</v>
      </c>
      <c r="H222">
        <v>1.3540681172065248E-2</v>
      </c>
      <c r="I222">
        <v>5</v>
      </c>
      <c r="J222" t="b">
        <v>1</v>
      </c>
      <c r="K222">
        <v>0.65</v>
      </c>
      <c r="L222">
        <v>1.3</v>
      </c>
      <c r="M222" t="b">
        <v>1</v>
      </c>
      <c r="N222">
        <v>200</v>
      </c>
      <c r="O222" t="b">
        <v>0</v>
      </c>
      <c r="P222" t="b">
        <v>0</v>
      </c>
      <c r="Q222">
        <v>0.7</v>
      </c>
      <c r="R222">
        <v>9137881.176564157</v>
      </c>
      <c r="S222">
        <v>9160910.2694790959</v>
      </c>
      <c r="T222">
        <v>8365409.9449110627</v>
      </c>
      <c r="U222">
        <v>8296976.4973644614</v>
      </c>
      <c r="V222">
        <v>18298791.446043253</v>
      </c>
      <c r="W222">
        <v>16662386.442275524</v>
      </c>
      <c r="X222">
        <v>152542.89500001323</v>
      </c>
      <c r="Y222">
        <v>138901.45002244273</v>
      </c>
      <c r="Z222">
        <v>5906.0806307983403</v>
      </c>
      <c r="AA222">
        <v>4165.5966105688813</v>
      </c>
      <c r="AB222">
        <v>83654.099449110625</v>
      </c>
      <c r="AC222">
        <v>82969.764973644618</v>
      </c>
      <c r="AD222">
        <v>166623.86442275526</v>
      </c>
      <c r="AE222">
        <v>1.0982095217534908</v>
      </c>
      <c r="AF222" s="1" t="s">
        <v>3436</v>
      </c>
      <c r="AG222" s="1" t="s">
        <v>3437</v>
      </c>
      <c r="AH222" s="1" t="s">
        <v>3438</v>
      </c>
      <c r="AI222" s="1" t="str">
        <f>_xlfn.TEXTAFTER(_xlfn.TEXTBEFORE(batch_summary[[#This Row],[video]],"_",1),"-",3)</f>
        <v>16</v>
      </c>
      <c r="AJ222" s="1" t="str">
        <f>_xlfn.TEXTBEFORE(_xlfn.TEXTAFTER(batch_summary[[#This Row],[video]],"_",1),"_",1)</f>
        <v>20260324</v>
      </c>
      <c r="AK222" s="1" t="str">
        <f>_xlfn.TEXTBEFORE(_xlfn.TEXTAFTER(batch_summary[[#This Row],[video]],"_",2),".",1)</f>
        <v>160000</v>
      </c>
    </row>
    <row r="223" spans="1:37" x14ac:dyDescent="0.2">
      <c r="A223" s="1" t="s">
        <v>3439</v>
      </c>
      <c r="B223" s="1" t="s">
        <v>3440</v>
      </c>
      <c r="C223">
        <v>119.95833333333333</v>
      </c>
      <c r="D223">
        <v>2879</v>
      </c>
      <c r="E223">
        <v>0.41254859790205956</v>
      </c>
      <c r="F223">
        <v>39.072143114171922</v>
      </c>
      <c r="G223">
        <v>1.4329579642308424E-4</v>
      </c>
      <c r="H223">
        <v>1.3571428660705773E-2</v>
      </c>
      <c r="I223">
        <v>5</v>
      </c>
      <c r="J223" t="b">
        <v>1</v>
      </c>
      <c r="K223">
        <v>0.65</v>
      </c>
      <c r="L223">
        <v>1.3</v>
      </c>
      <c r="M223" t="b">
        <v>1</v>
      </c>
      <c r="N223">
        <v>200</v>
      </c>
      <c r="O223" t="b">
        <v>0</v>
      </c>
      <c r="P223" t="b">
        <v>0</v>
      </c>
      <c r="Q223">
        <v>0.7</v>
      </c>
      <c r="R223">
        <v>6658189.562838614</v>
      </c>
      <c r="S223">
        <v>6491391.2561196685</v>
      </c>
      <c r="T223">
        <v>6048683.1415846944</v>
      </c>
      <c r="U223">
        <v>5867259.0462696552</v>
      </c>
      <c r="V223">
        <v>13149580.818958282</v>
      </c>
      <c r="W223">
        <v>11915942.18785435</v>
      </c>
      <c r="X223">
        <v>109617.90192948899</v>
      </c>
      <c r="Y223">
        <v>99334.009207538867</v>
      </c>
      <c r="Z223">
        <v>6007.5673361587524</v>
      </c>
      <c r="AA223">
        <v>2978.9855469635872</v>
      </c>
      <c r="AB223">
        <v>60486.831415846944</v>
      </c>
      <c r="AC223">
        <v>58672.590462696549</v>
      </c>
      <c r="AD223">
        <v>119159.42187854349</v>
      </c>
      <c r="AE223">
        <v>1.1035284169439286</v>
      </c>
      <c r="AF223" s="1" t="s">
        <v>3441</v>
      </c>
      <c r="AG223" s="1" t="s">
        <v>3442</v>
      </c>
      <c r="AH223" s="1" t="s">
        <v>3443</v>
      </c>
      <c r="AI223" s="1" t="str">
        <f>_xlfn.TEXTAFTER(_xlfn.TEXTBEFORE(batch_summary[[#This Row],[video]],"_",1),"-",3)</f>
        <v>16</v>
      </c>
      <c r="AJ223" s="1" t="str">
        <f>_xlfn.TEXTBEFORE(_xlfn.TEXTAFTER(batch_summary[[#This Row],[video]],"_",1),"_",1)</f>
        <v>20260324</v>
      </c>
      <c r="AK223" s="1" t="str">
        <f>_xlfn.TEXTBEFORE(_xlfn.TEXTAFTER(batch_summary[[#This Row],[video]],"_",2),".",1)</f>
        <v>170000</v>
      </c>
    </row>
    <row r="224" spans="1:37" x14ac:dyDescent="0.2">
      <c r="A224" s="1" t="s">
        <v>3444</v>
      </c>
      <c r="B224" s="1" t="s">
        <v>3445</v>
      </c>
      <c r="C224">
        <v>119.95833333333333</v>
      </c>
      <c r="D224">
        <v>2879</v>
      </c>
      <c r="E224">
        <v>0.38977673556655645</v>
      </c>
      <c r="F224">
        <v>37.592308685183525</v>
      </c>
      <c r="G224">
        <v>1.3538615337497619E-4</v>
      </c>
      <c r="H224">
        <v>1.3057418786100564E-2</v>
      </c>
      <c r="I224">
        <v>5</v>
      </c>
      <c r="J224" t="b">
        <v>1</v>
      </c>
      <c r="K224">
        <v>0.65</v>
      </c>
      <c r="L224">
        <v>1.3</v>
      </c>
      <c r="M224" t="b">
        <v>1</v>
      </c>
      <c r="N224">
        <v>200</v>
      </c>
      <c r="O224" t="b">
        <v>0</v>
      </c>
      <c r="P224" t="b">
        <v>0</v>
      </c>
      <c r="Q224">
        <v>0.7</v>
      </c>
      <c r="R224">
        <v>863414.77818822861</v>
      </c>
      <c r="S224">
        <v>669897.24630194902</v>
      </c>
      <c r="T224">
        <v>792654.05497574806</v>
      </c>
      <c r="U224">
        <v>598295.85035181046</v>
      </c>
      <c r="V224">
        <v>1533312.0244901776</v>
      </c>
      <c r="W224">
        <v>1390949.9053275585</v>
      </c>
      <c r="X224">
        <v>12782.038411866712</v>
      </c>
      <c r="Y224">
        <v>11595.275348336716</v>
      </c>
      <c r="Z224">
        <v>2349.7810852622988</v>
      </c>
      <c r="AA224">
        <v>347.73747633188964</v>
      </c>
      <c r="AB224">
        <v>7926.5405497574802</v>
      </c>
      <c r="AC224">
        <v>5982.9585035181044</v>
      </c>
      <c r="AD224">
        <v>13909.499053275584</v>
      </c>
      <c r="AE224">
        <v>1.1023488470845353</v>
      </c>
      <c r="AF224" s="1" t="s">
        <v>3446</v>
      </c>
      <c r="AG224" s="1" t="s">
        <v>3447</v>
      </c>
      <c r="AH224" s="1" t="s">
        <v>3448</v>
      </c>
      <c r="AI224" s="1" t="str">
        <f>_xlfn.TEXTAFTER(_xlfn.TEXTBEFORE(batch_summary[[#This Row],[video]],"_",1),"-",3)</f>
        <v>16</v>
      </c>
      <c r="AJ224" s="1" t="str">
        <f>_xlfn.TEXTBEFORE(_xlfn.TEXTAFTER(batch_summary[[#This Row],[video]],"_",1),"_",1)</f>
        <v>20260324</v>
      </c>
      <c r="AK224" s="1" t="str">
        <f>_xlfn.TEXTBEFORE(_xlfn.TEXTAFTER(batch_summary[[#This Row],[video]],"_",2),".",1)</f>
        <v>180000</v>
      </c>
    </row>
    <row r="225" spans="1:37" x14ac:dyDescent="0.2">
      <c r="A225" s="1" t="s">
        <v>3449</v>
      </c>
      <c r="B225" s="1" t="s">
        <v>3450</v>
      </c>
      <c r="C225">
        <v>119.95833333333333</v>
      </c>
      <c r="D225">
        <v>2879</v>
      </c>
      <c r="E225">
        <v>0.37710478343069553</v>
      </c>
      <c r="F225">
        <v>36.743919144384563</v>
      </c>
      <c r="G225">
        <v>1.3098464169180115E-4</v>
      </c>
      <c r="H225">
        <v>1.2762736764287795E-2</v>
      </c>
      <c r="I225">
        <v>5</v>
      </c>
      <c r="J225" t="b">
        <v>1</v>
      </c>
      <c r="K225">
        <v>0.65</v>
      </c>
      <c r="L225">
        <v>1.3</v>
      </c>
      <c r="M225" t="b">
        <v>1</v>
      </c>
      <c r="N225">
        <v>200</v>
      </c>
      <c r="O225" t="b">
        <v>0</v>
      </c>
      <c r="P225" t="b">
        <v>0</v>
      </c>
      <c r="Q225">
        <v>0.7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s="1" t="s">
        <v>3451</v>
      </c>
      <c r="AG225" s="1" t="s">
        <v>3452</v>
      </c>
      <c r="AH225" s="1" t="s">
        <v>3453</v>
      </c>
      <c r="AI225" s="1" t="str">
        <f>_xlfn.TEXTAFTER(_xlfn.TEXTBEFORE(batch_summary[[#This Row],[video]],"_",1),"-",3)</f>
        <v>16</v>
      </c>
      <c r="AJ225" s="1" t="str">
        <f>_xlfn.TEXTBEFORE(_xlfn.TEXTAFTER(batch_summary[[#This Row],[video]],"_",1),"_",1)</f>
        <v>20260324</v>
      </c>
      <c r="AK225" s="1" t="str">
        <f>_xlfn.TEXTBEFORE(_xlfn.TEXTAFTER(batch_summary[[#This Row],[video]],"_",2),".",1)</f>
        <v>190000</v>
      </c>
    </row>
    <row r="226" spans="1:37" x14ac:dyDescent="0.2">
      <c r="A226" s="1" t="s">
        <v>3454</v>
      </c>
      <c r="B226" s="1" t="s">
        <v>3455</v>
      </c>
      <c r="C226">
        <v>119.95833333333333</v>
      </c>
      <c r="D226">
        <v>2879</v>
      </c>
      <c r="E226">
        <v>0.37414761632680893</v>
      </c>
      <c r="F226">
        <v>36.767143466509879</v>
      </c>
      <c r="G226">
        <v>1.2995749090892982E-4</v>
      </c>
      <c r="H226">
        <v>1.2770803565998568E-2</v>
      </c>
      <c r="I226">
        <v>5</v>
      </c>
      <c r="J226" t="b">
        <v>1</v>
      </c>
      <c r="K226">
        <v>0.65</v>
      </c>
      <c r="L226">
        <v>1.3</v>
      </c>
      <c r="M226" t="b">
        <v>1</v>
      </c>
      <c r="N226">
        <v>200</v>
      </c>
      <c r="O226" t="b">
        <v>0</v>
      </c>
      <c r="P226" t="b">
        <v>0</v>
      </c>
      <c r="Q226">
        <v>0.7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s="1" t="s">
        <v>3456</v>
      </c>
      <c r="AG226" s="1" t="s">
        <v>3457</v>
      </c>
      <c r="AH226" s="1" t="s">
        <v>3458</v>
      </c>
      <c r="AI226" s="1" t="str">
        <f>_xlfn.TEXTAFTER(_xlfn.TEXTBEFORE(batch_summary[[#This Row],[video]],"_",1),"-",3)</f>
        <v>16</v>
      </c>
      <c r="AJ226" s="1" t="str">
        <f>_xlfn.TEXTBEFORE(_xlfn.TEXTAFTER(batch_summary[[#This Row],[video]],"_",1),"_",1)</f>
        <v>20260325</v>
      </c>
      <c r="AK226" s="1" t="str">
        <f>_xlfn.TEXTBEFORE(_xlfn.TEXTAFTER(batch_summary[[#This Row],[video]],"_",2),".",1)</f>
        <v>060000</v>
      </c>
    </row>
    <row r="227" spans="1:37" x14ac:dyDescent="0.2">
      <c r="A227" s="1" t="s">
        <v>3459</v>
      </c>
      <c r="B227" s="1" t="s">
        <v>3460</v>
      </c>
      <c r="C227">
        <v>119.95833333333333</v>
      </c>
      <c r="D227">
        <v>2879</v>
      </c>
      <c r="E227">
        <v>0.37984392233192921</v>
      </c>
      <c r="F227">
        <v>37.131230652332306</v>
      </c>
      <c r="G227">
        <v>1.3193606194231649E-4</v>
      </c>
      <c r="H227">
        <v>1.2897266638531541E-2</v>
      </c>
      <c r="I227">
        <v>5</v>
      </c>
      <c r="J227" t="b">
        <v>1</v>
      </c>
      <c r="K227">
        <v>0.65</v>
      </c>
      <c r="L227">
        <v>1.3</v>
      </c>
      <c r="M227" t="b">
        <v>1</v>
      </c>
      <c r="N227">
        <v>200</v>
      </c>
      <c r="O227" t="b">
        <v>0</v>
      </c>
      <c r="P227" t="b">
        <v>0</v>
      </c>
      <c r="Q227">
        <v>0.7</v>
      </c>
      <c r="R227">
        <v>6737.2191300392151</v>
      </c>
      <c r="S227">
        <v>6466.4952919483185</v>
      </c>
      <c r="T227">
        <v>0</v>
      </c>
      <c r="U227">
        <v>0</v>
      </c>
      <c r="V227">
        <v>13203.714421987534</v>
      </c>
      <c r="W227">
        <v>0</v>
      </c>
      <c r="X227">
        <v>110.06917197905551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13203714421.987534</v>
      </c>
      <c r="AF227" s="1" t="s">
        <v>3461</v>
      </c>
      <c r="AG227" s="1" t="s">
        <v>3462</v>
      </c>
      <c r="AH227" s="1" t="s">
        <v>3463</v>
      </c>
      <c r="AI227" s="1" t="str">
        <f>_xlfn.TEXTAFTER(_xlfn.TEXTBEFORE(batch_summary[[#This Row],[video]],"_",1),"-",3)</f>
        <v>16</v>
      </c>
      <c r="AJ227" s="1" t="str">
        <f>_xlfn.TEXTBEFORE(_xlfn.TEXTAFTER(batch_summary[[#This Row],[video]],"_",1),"_",1)</f>
        <v>20260325</v>
      </c>
      <c r="AK227" s="1" t="str">
        <f>_xlfn.TEXTBEFORE(_xlfn.TEXTAFTER(batch_summary[[#This Row],[video]],"_",2),".",1)</f>
        <v>070000</v>
      </c>
    </row>
    <row r="228" spans="1:37" x14ac:dyDescent="0.2">
      <c r="A228" s="1" t="s">
        <v>3464</v>
      </c>
      <c r="B228" s="1" t="s">
        <v>3465</v>
      </c>
      <c r="C228">
        <v>119.95833333333333</v>
      </c>
      <c r="D228">
        <v>2879</v>
      </c>
      <c r="E228">
        <v>0.38245516270399094</v>
      </c>
      <c r="F228">
        <v>37.108652235008776</v>
      </c>
      <c r="G228">
        <v>1.3284305755609271E-4</v>
      </c>
      <c r="H228">
        <v>1.2889424187220833E-2</v>
      </c>
      <c r="I228">
        <v>5</v>
      </c>
      <c r="J228" t="b">
        <v>1</v>
      </c>
      <c r="K228">
        <v>0.65</v>
      </c>
      <c r="L228">
        <v>1.3</v>
      </c>
      <c r="M228" t="b">
        <v>1</v>
      </c>
      <c r="N228">
        <v>200</v>
      </c>
      <c r="O228" t="b">
        <v>0</v>
      </c>
      <c r="P228" t="b">
        <v>0</v>
      </c>
      <c r="Q228">
        <v>0.7</v>
      </c>
      <c r="R228">
        <v>1661.9235492944717</v>
      </c>
      <c r="S228">
        <v>1395.0622833967209</v>
      </c>
      <c r="T228">
        <v>0</v>
      </c>
      <c r="U228">
        <v>0</v>
      </c>
      <c r="V228">
        <v>3056.9858326911926</v>
      </c>
      <c r="W228">
        <v>0</v>
      </c>
      <c r="X228">
        <v>25.483730456612932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3056985832.6911926</v>
      </c>
      <c r="AF228" s="1" t="s">
        <v>3466</v>
      </c>
      <c r="AG228" s="1" t="s">
        <v>3467</v>
      </c>
      <c r="AH228" s="1" t="s">
        <v>3468</v>
      </c>
      <c r="AI228" s="1" t="str">
        <f>_xlfn.TEXTAFTER(_xlfn.TEXTBEFORE(batch_summary[[#This Row],[video]],"_",1),"-",3)</f>
        <v>16</v>
      </c>
      <c r="AJ228" s="1" t="str">
        <f>_xlfn.TEXTBEFORE(_xlfn.TEXTAFTER(batch_summary[[#This Row],[video]],"_",1),"_",1)</f>
        <v>20260325</v>
      </c>
      <c r="AK228" s="1" t="str">
        <f>_xlfn.TEXTBEFORE(_xlfn.TEXTAFTER(batch_summary[[#This Row],[video]],"_",2),".",1)</f>
        <v>080000</v>
      </c>
    </row>
    <row r="229" spans="1:37" x14ac:dyDescent="0.2">
      <c r="A229" s="1" t="s">
        <v>3469</v>
      </c>
      <c r="B229" s="1" t="s">
        <v>3470</v>
      </c>
      <c r="C229">
        <v>119.95833333333333</v>
      </c>
      <c r="D229">
        <v>2879</v>
      </c>
      <c r="E229">
        <v>0.37701800931245089</v>
      </c>
      <c r="F229">
        <v>36.929656295105815</v>
      </c>
      <c r="G229">
        <v>1.3095450132422746E-4</v>
      </c>
      <c r="H229">
        <v>1.2827251231367078E-2</v>
      </c>
      <c r="I229">
        <v>5</v>
      </c>
      <c r="J229" t="b">
        <v>1</v>
      </c>
      <c r="K229">
        <v>0.65</v>
      </c>
      <c r="L229">
        <v>1.3</v>
      </c>
      <c r="M229" t="b">
        <v>1</v>
      </c>
      <c r="N229">
        <v>200</v>
      </c>
      <c r="O229" t="b">
        <v>0</v>
      </c>
      <c r="P229" t="b">
        <v>0</v>
      </c>
      <c r="Q229">
        <v>0.7</v>
      </c>
      <c r="R229">
        <v>1894.9595699310303</v>
      </c>
      <c r="S229">
        <v>2440.5673844814301</v>
      </c>
      <c r="T229">
        <v>0</v>
      </c>
      <c r="U229">
        <v>0</v>
      </c>
      <c r="V229">
        <v>4335.5269544124603</v>
      </c>
      <c r="W229">
        <v>0</v>
      </c>
      <c r="X229">
        <v>36.141940571691229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4335526954.4124603</v>
      </c>
      <c r="AF229" s="1" t="s">
        <v>3471</v>
      </c>
      <c r="AG229" s="1" t="s">
        <v>3472</v>
      </c>
      <c r="AH229" s="1" t="s">
        <v>3473</v>
      </c>
      <c r="AI229" s="1" t="str">
        <f>_xlfn.TEXTAFTER(_xlfn.TEXTBEFORE(batch_summary[[#This Row],[video]],"_",1),"-",3)</f>
        <v>16</v>
      </c>
      <c r="AJ229" s="1" t="str">
        <f>_xlfn.TEXTBEFORE(_xlfn.TEXTAFTER(batch_summary[[#This Row],[video]],"_",1),"_",1)</f>
        <v>20260325</v>
      </c>
      <c r="AK229" s="1" t="str">
        <f>_xlfn.TEXTBEFORE(_xlfn.TEXTAFTER(batch_summary[[#This Row],[video]],"_",2),".",1)</f>
        <v>090000</v>
      </c>
    </row>
    <row r="230" spans="1:37" x14ac:dyDescent="0.2">
      <c r="A230" s="1" t="s">
        <v>3474</v>
      </c>
      <c r="B230" s="1" t="s">
        <v>3475</v>
      </c>
      <c r="C230">
        <v>119.95833333333333</v>
      </c>
      <c r="D230">
        <v>2879</v>
      </c>
      <c r="E230">
        <v>0.39130772836506367</v>
      </c>
      <c r="F230">
        <v>37.678639465942979</v>
      </c>
      <c r="G230">
        <v>1.3591793274229374E-4</v>
      </c>
      <c r="H230">
        <v>1.3087405163578666E-2</v>
      </c>
      <c r="I230">
        <v>5</v>
      </c>
      <c r="J230" t="b">
        <v>1</v>
      </c>
      <c r="K230">
        <v>0.65</v>
      </c>
      <c r="L230">
        <v>1.3</v>
      </c>
      <c r="M230" t="b">
        <v>1</v>
      </c>
      <c r="N230">
        <v>200</v>
      </c>
      <c r="O230" t="b">
        <v>0</v>
      </c>
      <c r="P230" t="b">
        <v>0</v>
      </c>
      <c r="Q230">
        <v>0.7</v>
      </c>
      <c r="R230">
        <v>617028.00004470348</v>
      </c>
      <c r="S230">
        <v>892017.80163425207</v>
      </c>
      <c r="T230">
        <v>482643.43887323141</v>
      </c>
      <c r="U230">
        <v>759837.0408513546</v>
      </c>
      <c r="V230">
        <v>1509045.8016789556</v>
      </c>
      <c r="W230">
        <v>1242480.479724586</v>
      </c>
      <c r="X230">
        <v>12579.749649286188</v>
      </c>
      <c r="Y230">
        <v>10357.600386728052</v>
      </c>
      <c r="Z230">
        <v>1447.908214454651</v>
      </c>
      <c r="AA230">
        <v>310.62011993114646</v>
      </c>
      <c r="AB230">
        <v>4826.4343887323139</v>
      </c>
      <c r="AC230">
        <v>7598.370408513546</v>
      </c>
      <c r="AD230">
        <v>12424.804797245859</v>
      </c>
      <c r="AE230">
        <v>1.2145428651027641</v>
      </c>
      <c r="AF230" s="1" t="s">
        <v>3476</v>
      </c>
      <c r="AG230" s="1" t="s">
        <v>3477</v>
      </c>
      <c r="AH230" s="1" t="s">
        <v>3478</v>
      </c>
      <c r="AI230" s="1" t="str">
        <f>_xlfn.TEXTAFTER(_xlfn.TEXTBEFORE(batch_summary[[#This Row],[video]],"_",1),"-",3)</f>
        <v>16</v>
      </c>
      <c r="AJ230" s="1" t="str">
        <f>_xlfn.TEXTBEFORE(_xlfn.TEXTAFTER(batch_summary[[#This Row],[video]],"_",1),"_",1)</f>
        <v>20260325</v>
      </c>
      <c r="AK230" s="1" t="str">
        <f>_xlfn.TEXTBEFORE(_xlfn.TEXTAFTER(batch_summary[[#This Row],[video]],"_",2),".",1)</f>
        <v>100000</v>
      </c>
    </row>
    <row r="231" spans="1:37" x14ac:dyDescent="0.2">
      <c r="A231" s="1" t="s">
        <v>3479</v>
      </c>
      <c r="B231" s="1" t="s">
        <v>3480</v>
      </c>
      <c r="C231">
        <v>119.95833333333333</v>
      </c>
      <c r="D231">
        <v>2879</v>
      </c>
      <c r="E231">
        <v>0.40698981191962957</v>
      </c>
      <c r="F231">
        <v>38.816917702555656</v>
      </c>
      <c r="G231">
        <v>1.4136499198319887E-4</v>
      </c>
      <c r="H231">
        <v>1.3482777944618151E-2</v>
      </c>
      <c r="I231">
        <v>5</v>
      </c>
      <c r="J231" t="b">
        <v>1</v>
      </c>
      <c r="K231">
        <v>0.65</v>
      </c>
      <c r="L231">
        <v>1.3</v>
      </c>
      <c r="M231" t="b">
        <v>1</v>
      </c>
      <c r="N231">
        <v>200</v>
      </c>
      <c r="O231" t="b">
        <v>0</v>
      </c>
      <c r="P231" t="b">
        <v>0</v>
      </c>
      <c r="Q231">
        <v>0.7</v>
      </c>
      <c r="R231">
        <v>4789942.3709158897</v>
      </c>
      <c r="S231">
        <v>4246381.4056578279</v>
      </c>
      <c r="T231">
        <v>4226511.7582386732</v>
      </c>
      <c r="U231">
        <v>3671514.7300518751</v>
      </c>
      <c r="V231">
        <v>9036323.7765737176</v>
      </c>
      <c r="W231">
        <v>7898026.4882905483</v>
      </c>
      <c r="X231">
        <v>75328.853990194242</v>
      </c>
      <c r="Y231">
        <v>65839.748426180333</v>
      </c>
      <c r="Z231">
        <v>3903.5397462463379</v>
      </c>
      <c r="AA231">
        <v>1974.5066220726371</v>
      </c>
      <c r="AB231">
        <v>42265.117582386731</v>
      </c>
      <c r="AC231">
        <v>36715.147300518751</v>
      </c>
      <c r="AD231">
        <v>78980.264882905481</v>
      </c>
      <c r="AE231">
        <v>1.1441242682549604</v>
      </c>
      <c r="AF231" s="1" t="s">
        <v>3481</v>
      </c>
      <c r="AG231" s="1" t="s">
        <v>3482</v>
      </c>
      <c r="AH231" s="1" t="s">
        <v>3483</v>
      </c>
      <c r="AI231" s="1" t="str">
        <f>_xlfn.TEXTAFTER(_xlfn.TEXTBEFORE(batch_summary[[#This Row],[video]],"_",1),"-",3)</f>
        <v>16</v>
      </c>
      <c r="AJ231" s="1" t="str">
        <f>_xlfn.TEXTBEFORE(_xlfn.TEXTAFTER(batch_summary[[#This Row],[video]],"_",1),"_",1)</f>
        <v>20260325</v>
      </c>
      <c r="AK231" s="1" t="str">
        <f>_xlfn.TEXTBEFORE(_xlfn.TEXTAFTER(batch_summary[[#This Row],[video]],"_",2),".",1)</f>
        <v>110000</v>
      </c>
    </row>
    <row r="232" spans="1:37" x14ac:dyDescent="0.2">
      <c r="A232" s="1" t="s">
        <v>3484</v>
      </c>
      <c r="B232" s="1" t="s">
        <v>3485</v>
      </c>
      <c r="C232">
        <v>119.95833333333333</v>
      </c>
      <c r="D232">
        <v>2879</v>
      </c>
      <c r="E232">
        <v>0.41256720665842295</v>
      </c>
      <c r="F232">
        <v>39.254830208607018</v>
      </c>
      <c r="G232">
        <v>1.4330226004113337E-4</v>
      </c>
      <c r="H232">
        <v>1.3634883712610983E-2</v>
      </c>
      <c r="I232">
        <v>5</v>
      </c>
      <c r="J232" t="b">
        <v>1</v>
      </c>
      <c r="K232">
        <v>0.65</v>
      </c>
      <c r="L232">
        <v>1.3</v>
      </c>
      <c r="M232" t="b">
        <v>1</v>
      </c>
      <c r="N232">
        <v>200</v>
      </c>
      <c r="O232" t="b">
        <v>0</v>
      </c>
      <c r="P232" t="b">
        <v>0</v>
      </c>
      <c r="Q232">
        <v>0.7</v>
      </c>
      <c r="R232">
        <v>7103041.2102190256</v>
      </c>
      <c r="S232">
        <v>6852818.6881012321</v>
      </c>
      <c r="T232">
        <v>6394872.995631218</v>
      </c>
      <c r="U232">
        <v>6123773.3394712806</v>
      </c>
      <c r="V232">
        <v>13955859.898320258</v>
      </c>
      <c r="W232">
        <v>12518646.335102499</v>
      </c>
      <c r="X232">
        <v>116339.22805129774</v>
      </c>
      <c r="Y232">
        <v>104358.28830929489</v>
      </c>
      <c r="Z232">
        <v>6645.3599390792842</v>
      </c>
      <c r="AA232">
        <v>3129.6615837756244</v>
      </c>
      <c r="AB232">
        <v>63948.729956312178</v>
      </c>
      <c r="AC232">
        <v>61237.733394712806</v>
      </c>
      <c r="AD232">
        <v>125186.46335102498</v>
      </c>
      <c r="AE232">
        <v>1.1148058284215432</v>
      </c>
      <c r="AF232" s="1" t="s">
        <v>3486</v>
      </c>
      <c r="AG232" s="1" t="s">
        <v>3487</v>
      </c>
      <c r="AH232" s="1" t="s">
        <v>3488</v>
      </c>
      <c r="AI232" s="1" t="str">
        <f>_xlfn.TEXTAFTER(_xlfn.TEXTBEFORE(batch_summary[[#This Row],[video]],"_",1),"-",3)</f>
        <v>16</v>
      </c>
      <c r="AJ232" s="1" t="str">
        <f>_xlfn.TEXTBEFORE(_xlfn.TEXTAFTER(batch_summary[[#This Row],[video]],"_",1),"_",1)</f>
        <v>20260325</v>
      </c>
      <c r="AK232" s="1" t="str">
        <f>_xlfn.TEXTBEFORE(_xlfn.TEXTAFTER(batch_summary[[#This Row],[video]],"_",2),".",1)</f>
        <v>120000</v>
      </c>
    </row>
    <row r="233" spans="1:37" x14ac:dyDescent="0.2">
      <c r="A233" s="1" t="s">
        <v>3489</v>
      </c>
      <c r="B233" s="1" t="s">
        <v>3490</v>
      </c>
      <c r="C233">
        <v>119.95833333333333</v>
      </c>
      <c r="D233">
        <v>2879</v>
      </c>
      <c r="E233">
        <v>0.39168246276676655</v>
      </c>
      <c r="F233">
        <v>38.250189582817256</v>
      </c>
      <c r="G233">
        <v>1.3604809404889424E-4</v>
      </c>
      <c r="H233">
        <v>1.3285928997157782E-2</v>
      </c>
      <c r="I233">
        <v>5</v>
      </c>
      <c r="J233" t="b">
        <v>1</v>
      </c>
      <c r="K233">
        <v>0.65</v>
      </c>
      <c r="L233">
        <v>1.3</v>
      </c>
      <c r="M233" t="b">
        <v>1</v>
      </c>
      <c r="N233">
        <v>200</v>
      </c>
      <c r="O233" t="b">
        <v>0</v>
      </c>
      <c r="P233" t="b">
        <v>0</v>
      </c>
      <c r="Q233">
        <v>0.7</v>
      </c>
      <c r="R233">
        <v>11864493.500510454</v>
      </c>
      <c r="S233">
        <v>12282418.352792561</v>
      </c>
      <c r="T233">
        <v>11044936.350043774</v>
      </c>
      <c r="U233">
        <v>11398597.704002023</v>
      </c>
      <c r="V233">
        <v>24146911.853303015</v>
      </c>
      <c r="W233">
        <v>22443534.054045796</v>
      </c>
      <c r="X233">
        <v>201294.15924948675</v>
      </c>
      <c r="Y233">
        <v>187094.41378850266</v>
      </c>
      <c r="Z233">
        <v>7955.6506762695317</v>
      </c>
      <c r="AA233">
        <v>5610.8835135114496</v>
      </c>
      <c r="AB233">
        <v>110449.36350043774</v>
      </c>
      <c r="AC233">
        <v>113985.97704002023</v>
      </c>
      <c r="AD233">
        <v>224435.34054045798</v>
      </c>
      <c r="AE233">
        <v>1.0758961487596095</v>
      </c>
      <c r="AF233" s="1" t="s">
        <v>3491</v>
      </c>
      <c r="AG233" s="1" t="s">
        <v>3492</v>
      </c>
      <c r="AH233" s="1" t="s">
        <v>3493</v>
      </c>
      <c r="AI233" s="1" t="str">
        <f>_xlfn.TEXTAFTER(_xlfn.TEXTBEFORE(batch_summary[[#This Row],[video]],"_",1),"-",3)</f>
        <v>16</v>
      </c>
      <c r="AJ233" s="1" t="str">
        <f>_xlfn.TEXTBEFORE(_xlfn.TEXTAFTER(batch_summary[[#This Row],[video]],"_",1),"_",1)</f>
        <v>20260325</v>
      </c>
      <c r="AK233" s="1" t="str">
        <f>_xlfn.TEXTBEFORE(_xlfn.TEXTAFTER(batch_summary[[#This Row],[video]],"_",2),".",1)</f>
        <v>130000</v>
      </c>
    </row>
    <row r="234" spans="1:37" x14ac:dyDescent="0.2">
      <c r="A234" s="1" t="s">
        <v>3494</v>
      </c>
      <c r="B234" s="1" t="s">
        <v>3495</v>
      </c>
      <c r="C234">
        <v>119.95833333333333</v>
      </c>
      <c r="D234">
        <v>2879</v>
      </c>
      <c r="E234">
        <v>0.41327642928808928</v>
      </c>
      <c r="F234">
        <v>39.019769265316427</v>
      </c>
      <c r="G234">
        <v>1.435486034345569E-4</v>
      </c>
      <c r="H234">
        <v>1.3553236979964025E-2</v>
      </c>
      <c r="I234">
        <v>5</v>
      </c>
      <c r="J234" t="b">
        <v>1</v>
      </c>
      <c r="K234">
        <v>0.65</v>
      </c>
      <c r="L234">
        <v>1.3</v>
      </c>
      <c r="M234" t="b">
        <v>1</v>
      </c>
      <c r="N234">
        <v>200</v>
      </c>
      <c r="O234" t="b">
        <v>0</v>
      </c>
      <c r="P234" t="b">
        <v>0</v>
      </c>
      <c r="Q234">
        <v>0.7</v>
      </c>
      <c r="R234">
        <v>6781526.2615122199</v>
      </c>
      <c r="S234">
        <v>6957751.8265846968</v>
      </c>
      <c r="T234">
        <v>6119081.8909732103</v>
      </c>
      <c r="U234">
        <v>6227049.5629985332</v>
      </c>
      <c r="V234">
        <v>13739278.088096917</v>
      </c>
      <c r="W234">
        <v>12346131.453971744</v>
      </c>
      <c r="X234">
        <v>114533.75273161723</v>
      </c>
      <c r="Y234">
        <v>102920.16495148381</v>
      </c>
      <c r="Z234">
        <v>5457.9888461303708</v>
      </c>
      <c r="AA234">
        <v>3086.532863492936</v>
      </c>
      <c r="AB234">
        <v>61190.818909732101</v>
      </c>
      <c r="AC234">
        <v>62270.495629985329</v>
      </c>
      <c r="AD234">
        <v>123461.31453971742</v>
      </c>
      <c r="AE234">
        <v>1.1128407420023865</v>
      </c>
      <c r="AF234" s="1" t="s">
        <v>3496</v>
      </c>
      <c r="AG234" s="1" t="s">
        <v>3497</v>
      </c>
      <c r="AH234" s="1" t="s">
        <v>3498</v>
      </c>
      <c r="AI234" s="1" t="str">
        <f>_xlfn.TEXTAFTER(_xlfn.TEXTBEFORE(batch_summary[[#This Row],[video]],"_",1),"-",3)</f>
        <v>16</v>
      </c>
      <c r="AJ234" s="1" t="str">
        <f>_xlfn.TEXTBEFORE(_xlfn.TEXTAFTER(batch_summary[[#This Row],[video]],"_",1),"_",1)</f>
        <v>20260325</v>
      </c>
      <c r="AK234" s="1" t="str">
        <f>_xlfn.TEXTBEFORE(_xlfn.TEXTAFTER(batch_summary[[#This Row],[video]],"_",2),".",1)</f>
        <v>140000</v>
      </c>
    </row>
    <row r="235" spans="1:37" x14ac:dyDescent="0.2">
      <c r="A235" s="1" t="s">
        <v>3499</v>
      </c>
      <c r="B235" s="1" t="s">
        <v>3500</v>
      </c>
      <c r="C235">
        <v>119.95833333333333</v>
      </c>
      <c r="D235">
        <v>2879</v>
      </c>
      <c r="E235">
        <v>0.40179542452096939</v>
      </c>
      <c r="F235">
        <v>38.525219449773431</v>
      </c>
      <c r="G235">
        <v>1.3956075877768996E-4</v>
      </c>
      <c r="H235">
        <v>1.3381458648757704E-2</v>
      </c>
      <c r="I235">
        <v>5</v>
      </c>
      <c r="J235" t="b">
        <v>1</v>
      </c>
      <c r="K235">
        <v>0.65</v>
      </c>
      <c r="L235">
        <v>1.3</v>
      </c>
      <c r="M235" t="b">
        <v>1</v>
      </c>
      <c r="N235">
        <v>200</v>
      </c>
      <c r="O235" t="b">
        <v>0</v>
      </c>
      <c r="P235" t="b">
        <v>0</v>
      </c>
      <c r="Q235">
        <v>0.7</v>
      </c>
      <c r="R235">
        <v>8985020.4849392176</v>
      </c>
      <c r="S235">
        <v>8560782.4713606238</v>
      </c>
      <c r="T235">
        <v>8217644.1822638512</v>
      </c>
      <c r="U235">
        <v>7761551.1745137572</v>
      </c>
      <c r="V235">
        <v>17545802.956299841</v>
      </c>
      <c r="W235">
        <v>15979195.356777608</v>
      </c>
      <c r="X235">
        <v>146265.8113758931</v>
      </c>
      <c r="Y235">
        <v>133206.21346393283</v>
      </c>
      <c r="Z235">
        <v>6027.3343106079101</v>
      </c>
      <c r="AA235">
        <v>3994.7988391944018</v>
      </c>
      <c r="AB235">
        <v>82176.441822638517</v>
      </c>
      <c r="AC235">
        <v>77615.51174513757</v>
      </c>
      <c r="AD235">
        <v>159791.95356777607</v>
      </c>
      <c r="AE235">
        <v>1.0980404560144359</v>
      </c>
      <c r="AF235" s="1" t="s">
        <v>3501</v>
      </c>
      <c r="AG235" s="1" t="s">
        <v>3502</v>
      </c>
      <c r="AH235" s="1" t="s">
        <v>3503</v>
      </c>
      <c r="AI235" s="1" t="str">
        <f>_xlfn.TEXTAFTER(_xlfn.TEXTBEFORE(batch_summary[[#This Row],[video]],"_",1),"-",3)</f>
        <v>16</v>
      </c>
      <c r="AJ235" s="1" t="str">
        <f>_xlfn.TEXTBEFORE(_xlfn.TEXTAFTER(batch_summary[[#This Row],[video]],"_",1),"_",1)</f>
        <v>20260325</v>
      </c>
      <c r="AK235" s="1" t="str">
        <f>_xlfn.TEXTBEFORE(_xlfn.TEXTAFTER(batch_summary[[#This Row],[video]],"_",2),".",1)</f>
        <v>150000</v>
      </c>
    </row>
    <row r="236" spans="1:37" x14ac:dyDescent="0.2">
      <c r="A236" s="1" t="s">
        <v>3504</v>
      </c>
      <c r="B236" s="1" t="s">
        <v>3505</v>
      </c>
      <c r="C236">
        <v>119.95833333333333</v>
      </c>
      <c r="D236">
        <v>2879</v>
      </c>
      <c r="E236">
        <v>0.41344125103205442</v>
      </c>
      <c r="F236">
        <v>39.146334827877581</v>
      </c>
      <c r="G236">
        <v>1.4360585308511789E-4</v>
      </c>
      <c r="H236">
        <v>1.3597198620311769E-2</v>
      </c>
      <c r="I236">
        <v>5</v>
      </c>
      <c r="J236" t="b">
        <v>1</v>
      </c>
      <c r="K236">
        <v>0.65</v>
      </c>
      <c r="L236">
        <v>1.3</v>
      </c>
      <c r="M236" t="b">
        <v>1</v>
      </c>
      <c r="N236">
        <v>200</v>
      </c>
      <c r="O236" t="b">
        <v>0</v>
      </c>
      <c r="P236" t="b">
        <v>0</v>
      </c>
      <c r="Q236">
        <v>0.7</v>
      </c>
      <c r="R236">
        <v>6831507.5648374557</v>
      </c>
      <c r="S236">
        <v>6987966.4766508341</v>
      </c>
      <c r="T236">
        <v>6171593.576128304</v>
      </c>
      <c r="U236">
        <v>6262379.5421708822</v>
      </c>
      <c r="V236">
        <v>13819474.04148829</v>
      </c>
      <c r="W236">
        <v>12433973.118299186</v>
      </c>
      <c r="X236">
        <v>115202.28447228864</v>
      </c>
      <c r="Y236">
        <v>103652.43308064622</v>
      </c>
      <c r="Z236">
        <v>6332.0332711434367</v>
      </c>
      <c r="AA236">
        <v>3108.4932795747964</v>
      </c>
      <c r="AB236">
        <v>61715.935761283043</v>
      </c>
      <c r="AC236">
        <v>62623.795421708819</v>
      </c>
      <c r="AD236">
        <v>124339.73118299186</v>
      </c>
      <c r="AE236">
        <v>1.1114286567943477</v>
      </c>
      <c r="AF236" s="1" t="s">
        <v>3506</v>
      </c>
      <c r="AG236" s="1" t="s">
        <v>3507</v>
      </c>
      <c r="AH236" s="1" t="s">
        <v>3508</v>
      </c>
      <c r="AI236" s="1" t="str">
        <f>_xlfn.TEXTAFTER(_xlfn.TEXTBEFORE(batch_summary[[#This Row],[video]],"_",1),"-",3)</f>
        <v>16</v>
      </c>
      <c r="AJ236" s="1" t="str">
        <f>_xlfn.TEXTBEFORE(_xlfn.TEXTAFTER(batch_summary[[#This Row],[video]],"_",1),"_",1)</f>
        <v>20260325</v>
      </c>
      <c r="AK236" s="1" t="str">
        <f>_xlfn.TEXTBEFORE(_xlfn.TEXTAFTER(batch_summary[[#This Row],[video]],"_",2),".",1)</f>
        <v>160000</v>
      </c>
    </row>
    <row r="237" spans="1:37" x14ac:dyDescent="0.2">
      <c r="A237" s="1" t="s">
        <v>3509</v>
      </c>
      <c r="B237" s="1" t="s">
        <v>3510</v>
      </c>
      <c r="C237">
        <v>119.95833333333333</v>
      </c>
      <c r="D237">
        <v>2879</v>
      </c>
      <c r="E237">
        <v>0.41076725535094738</v>
      </c>
      <c r="F237">
        <v>39.102571955882013</v>
      </c>
      <c r="G237">
        <v>1.4267705986486536E-4</v>
      </c>
      <c r="H237">
        <v>1.358199790061897E-2</v>
      </c>
      <c r="I237">
        <v>5</v>
      </c>
      <c r="J237" t="b">
        <v>1</v>
      </c>
      <c r="K237">
        <v>0.65</v>
      </c>
      <c r="L237">
        <v>1.3</v>
      </c>
      <c r="M237" t="b">
        <v>1</v>
      </c>
      <c r="N237">
        <v>200</v>
      </c>
      <c r="O237" t="b">
        <v>0</v>
      </c>
      <c r="P237" t="b">
        <v>0</v>
      </c>
      <c r="Q237">
        <v>0.7</v>
      </c>
      <c r="R237">
        <v>7357910.3776839375</v>
      </c>
      <c r="S237">
        <v>6864072.3600404263</v>
      </c>
      <c r="T237">
        <v>6736522.8495326042</v>
      </c>
      <c r="U237">
        <v>6224603.0794218779</v>
      </c>
      <c r="V237">
        <v>14221982.737724364</v>
      </c>
      <c r="W237">
        <v>12961125.928954482</v>
      </c>
      <c r="X237">
        <v>118557.68867849417</v>
      </c>
      <c r="Y237">
        <v>108046.89902567127</v>
      </c>
      <c r="Z237">
        <v>6215.0125307083135</v>
      </c>
      <c r="AA237">
        <v>3240.2814822386204</v>
      </c>
      <c r="AB237">
        <v>67365.228495326039</v>
      </c>
      <c r="AC237">
        <v>62246.030794218779</v>
      </c>
      <c r="AD237">
        <v>129611.25928954482</v>
      </c>
      <c r="AE237">
        <v>1.0972798826028836</v>
      </c>
      <c r="AF237" s="1" t="s">
        <v>3511</v>
      </c>
      <c r="AG237" s="1" t="s">
        <v>3512</v>
      </c>
      <c r="AH237" s="1" t="s">
        <v>3513</v>
      </c>
      <c r="AI237" s="1" t="str">
        <f>_xlfn.TEXTAFTER(_xlfn.TEXTBEFORE(batch_summary[[#This Row],[video]],"_",1),"-",3)</f>
        <v>16</v>
      </c>
      <c r="AJ237" s="1" t="str">
        <f>_xlfn.TEXTBEFORE(_xlfn.TEXTAFTER(batch_summary[[#This Row],[video]],"_",1),"_",1)</f>
        <v>20260325</v>
      </c>
      <c r="AK237" s="1" t="str">
        <f>_xlfn.TEXTBEFORE(_xlfn.TEXTAFTER(batch_summary[[#This Row],[video]],"_",2),".",1)</f>
        <v>170000</v>
      </c>
    </row>
    <row r="238" spans="1:37" x14ac:dyDescent="0.2">
      <c r="A238" s="1" t="s">
        <v>3514</v>
      </c>
      <c r="B238" s="1" t="s">
        <v>3515</v>
      </c>
      <c r="C238">
        <v>119.95833333333333</v>
      </c>
      <c r="D238">
        <v>2879</v>
      </c>
      <c r="E238">
        <v>0.38985798228532076</v>
      </c>
      <c r="F238">
        <v>37.483487225137651</v>
      </c>
      <c r="G238">
        <v>1.3541437383998638E-4</v>
      </c>
      <c r="H238">
        <v>1.3019620432489632E-2</v>
      </c>
      <c r="I238">
        <v>5</v>
      </c>
      <c r="J238" t="b">
        <v>1</v>
      </c>
      <c r="K238">
        <v>0.65</v>
      </c>
      <c r="L238">
        <v>1.3</v>
      </c>
      <c r="M238" t="b">
        <v>1</v>
      </c>
      <c r="N238">
        <v>200</v>
      </c>
      <c r="O238" t="b">
        <v>0</v>
      </c>
      <c r="P238" t="b">
        <v>0</v>
      </c>
      <c r="Q238">
        <v>0.7</v>
      </c>
      <c r="R238">
        <v>627067.07458472252</v>
      </c>
      <c r="S238">
        <v>452238.95973724127</v>
      </c>
      <c r="T238">
        <v>564882.85833382607</v>
      </c>
      <c r="U238">
        <v>384151.41723906994</v>
      </c>
      <c r="V238">
        <v>1079306.0343219638</v>
      </c>
      <c r="W238">
        <v>949034.275572896</v>
      </c>
      <c r="X238">
        <v>8997.3410294293608</v>
      </c>
      <c r="Y238">
        <v>7911.3659651787093</v>
      </c>
      <c r="Z238">
        <v>1412.8753217220305</v>
      </c>
      <c r="AA238">
        <v>237.25856889322398</v>
      </c>
      <c r="AB238">
        <v>5648.8285833382606</v>
      </c>
      <c r="AC238">
        <v>3841.5141723906995</v>
      </c>
      <c r="AD238">
        <v>9490.3427557289597</v>
      </c>
      <c r="AE238">
        <v>1.1372677068701524</v>
      </c>
      <c r="AF238" s="1" t="s">
        <v>3516</v>
      </c>
      <c r="AG238" s="1" t="s">
        <v>3517</v>
      </c>
      <c r="AH238" s="1" t="s">
        <v>3518</v>
      </c>
      <c r="AI238" s="1" t="str">
        <f>_xlfn.TEXTAFTER(_xlfn.TEXTBEFORE(batch_summary[[#This Row],[video]],"_",1),"-",3)</f>
        <v>16</v>
      </c>
      <c r="AJ238" s="1" t="str">
        <f>_xlfn.TEXTBEFORE(_xlfn.TEXTAFTER(batch_summary[[#This Row],[video]],"_",1),"_",1)</f>
        <v>20260325</v>
      </c>
      <c r="AK238" s="1" t="str">
        <f>_xlfn.TEXTBEFORE(_xlfn.TEXTAFTER(batch_summary[[#This Row],[video]],"_",2),".",1)</f>
        <v>180000</v>
      </c>
    </row>
    <row r="239" spans="1:37" x14ac:dyDescent="0.2">
      <c r="A239" s="1" t="s">
        <v>3519</v>
      </c>
      <c r="B239" s="1" t="s">
        <v>3520</v>
      </c>
      <c r="C239">
        <v>119.95833333333333</v>
      </c>
      <c r="D239">
        <v>2879</v>
      </c>
      <c r="E239">
        <v>0.37807978875935078</v>
      </c>
      <c r="F239">
        <v>36.885984651744366</v>
      </c>
      <c r="G239">
        <v>1.3132330279935769E-4</v>
      </c>
      <c r="H239">
        <v>1.2812082199285989E-2</v>
      </c>
      <c r="I239">
        <v>5</v>
      </c>
      <c r="J239" t="b">
        <v>1</v>
      </c>
      <c r="K239">
        <v>0.65</v>
      </c>
      <c r="L239">
        <v>1.3</v>
      </c>
      <c r="M239" t="b">
        <v>1</v>
      </c>
      <c r="N239">
        <v>200</v>
      </c>
      <c r="O239" t="b">
        <v>0</v>
      </c>
      <c r="P239" t="b">
        <v>0</v>
      </c>
      <c r="Q239">
        <v>0.7</v>
      </c>
      <c r="R239">
        <v>2.040532112121582</v>
      </c>
      <c r="S239">
        <v>0</v>
      </c>
      <c r="T239">
        <v>0</v>
      </c>
      <c r="U239">
        <v>0</v>
      </c>
      <c r="V239">
        <v>2.040532112121582</v>
      </c>
      <c r="W239">
        <v>0</v>
      </c>
      <c r="X239">
        <v>1.7010340635956224E-2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2040532.112121582</v>
      </c>
      <c r="AF239" s="1" t="s">
        <v>3521</v>
      </c>
      <c r="AG239" s="1" t="s">
        <v>3522</v>
      </c>
      <c r="AH239" s="1" t="s">
        <v>3523</v>
      </c>
      <c r="AI239" s="1" t="str">
        <f>_xlfn.TEXTAFTER(_xlfn.TEXTBEFORE(batch_summary[[#This Row],[video]],"_",1),"-",3)</f>
        <v>16</v>
      </c>
      <c r="AJ239" s="1" t="str">
        <f>_xlfn.TEXTBEFORE(_xlfn.TEXTAFTER(batch_summary[[#This Row],[video]],"_",1),"_",1)</f>
        <v>20260325</v>
      </c>
      <c r="AK239" s="1" t="str">
        <f>_xlfn.TEXTBEFORE(_xlfn.TEXTAFTER(batch_summary[[#This Row],[video]],"_",2),".",1)</f>
        <v>190000</v>
      </c>
    </row>
    <row r="240" spans="1:37" x14ac:dyDescent="0.2">
      <c r="A240" s="1" t="s">
        <v>3524</v>
      </c>
      <c r="B240" s="1" t="s">
        <v>3525</v>
      </c>
      <c r="C240">
        <v>119.95833333333333</v>
      </c>
      <c r="D240">
        <v>2879</v>
      </c>
      <c r="E240">
        <v>0.38026553485542536</v>
      </c>
      <c r="F240">
        <v>36.860631410963833</v>
      </c>
      <c r="G240">
        <v>1.3208250602828251E-4</v>
      </c>
      <c r="H240">
        <v>1.2803275932950272E-2</v>
      </c>
      <c r="I240">
        <v>5</v>
      </c>
      <c r="J240" t="b">
        <v>1</v>
      </c>
      <c r="K240">
        <v>0.65</v>
      </c>
      <c r="L240">
        <v>1.3</v>
      </c>
      <c r="M240" t="b">
        <v>1</v>
      </c>
      <c r="N240">
        <v>200</v>
      </c>
      <c r="O240" t="b">
        <v>0</v>
      </c>
      <c r="P240" t="b">
        <v>0</v>
      </c>
      <c r="Q240">
        <v>0.7</v>
      </c>
      <c r="R240">
        <v>37.191680908203125</v>
      </c>
      <c r="S240">
        <v>58.666057586669922</v>
      </c>
      <c r="T240">
        <v>0</v>
      </c>
      <c r="U240">
        <v>0</v>
      </c>
      <c r="V240">
        <v>95.857738494873047</v>
      </c>
      <c r="W240">
        <v>0</v>
      </c>
      <c r="X240">
        <v>0.79909194993989341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95857738.494873047</v>
      </c>
      <c r="AF240" s="1" t="s">
        <v>3526</v>
      </c>
      <c r="AG240" s="1" t="s">
        <v>3527</v>
      </c>
      <c r="AH240" s="1" t="s">
        <v>3528</v>
      </c>
      <c r="AI240" s="1" t="str">
        <f>_xlfn.TEXTAFTER(_xlfn.TEXTBEFORE(batch_summary[[#This Row],[video]],"_",1),"-",3)</f>
        <v>16</v>
      </c>
      <c r="AJ240" s="1" t="str">
        <f>_xlfn.TEXTBEFORE(_xlfn.TEXTAFTER(batch_summary[[#This Row],[video]],"_",1),"_",1)</f>
        <v>20260326</v>
      </c>
      <c r="AK240" s="1" t="str">
        <f>_xlfn.TEXTBEFORE(_xlfn.TEXTAFTER(batch_summary[[#This Row],[video]],"_",2),".",1)</f>
        <v>060000</v>
      </c>
    </row>
    <row r="241" spans="1:37" x14ac:dyDescent="0.2">
      <c r="A241" s="1" t="s">
        <v>3529</v>
      </c>
      <c r="B241" s="1" t="s">
        <v>3530</v>
      </c>
      <c r="C241">
        <v>119.95833333333333</v>
      </c>
      <c r="D241">
        <v>2879</v>
      </c>
      <c r="E241">
        <v>0.38423102721571922</v>
      </c>
      <c r="F241">
        <v>37.372209185734391</v>
      </c>
      <c r="G241">
        <v>1.3345989135662355E-4</v>
      </c>
      <c r="H241">
        <v>1.2980968803659045E-2</v>
      </c>
      <c r="I241">
        <v>5</v>
      </c>
      <c r="J241" t="b">
        <v>1</v>
      </c>
      <c r="K241">
        <v>0.65</v>
      </c>
      <c r="L241">
        <v>1.3</v>
      </c>
      <c r="M241" t="b">
        <v>1</v>
      </c>
      <c r="N241">
        <v>200</v>
      </c>
      <c r="O241" t="b">
        <v>0</v>
      </c>
      <c r="P241" t="b">
        <v>0</v>
      </c>
      <c r="Q241">
        <v>0.7</v>
      </c>
      <c r="R241">
        <v>13002.533983826637</v>
      </c>
      <c r="S241">
        <v>12497.730437278748</v>
      </c>
      <c r="T241">
        <v>0</v>
      </c>
      <c r="U241">
        <v>0</v>
      </c>
      <c r="V241">
        <v>25500.264421105385</v>
      </c>
      <c r="W241">
        <v>0</v>
      </c>
      <c r="X241">
        <v>212.57601462540092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25500264421.105385</v>
      </c>
      <c r="AF241" s="1" t="s">
        <v>3531</v>
      </c>
      <c r="AG241" s="1" t="s">
        <v>3532</v>
      </c>
      <c r="AH241" s="1" t="s">
        <v>3533</v>
      </c>
      <c r="AI241" s="1" t="str">
        <f>_xlfn.TEXTAFTER(_xlfn.TEXTBEFORE(batch_summary[[#This Row],[video]],"_",1),"-",3)</f>
        <v>16</v>
      </c>
      <c r="AJ241" s="1" t="str">
        <f>_xlfn.TEXTBEFORE(_xlfn.TEXTAFTER(batch_summary[[#This Row],[video]],"_",1),"_",1)</f>
        <v>20260326</v>
      </c>
      <c r="AK241" s="1" t="str">
        <f>_xlfn.TEXTBEFORE(_xlfn.TEXTAFTER(batch_summary[[#This Row],[video]],"_",2),".",1)</f>
        <v>070000</v>
      </c>
    </row>
    <row r="242" spans="1:37" x14ac:dyDescent="0.2">
      <c r="A242" s="1" t="s">
        <v>3534</v>
      </c>
      <c r="B242" s="1" t="s">
        <v>3535</v>
      </c>
      <c r="C242">
        <v>119.95833333333333</v>
      </c>
      <c r="D242">
        <v>2879</v>
      </c>
      <c r="E242">
        <v>0.38300506118685007</v>
      </c>
      <c r="F242">
        <v>36.974692082963884</v>
      </c>
      <c r="G242">
        <v>1.3303406084989581E-4</v>
      </c>
      <c r="H242">
        <v>1.2842894089254563E-2</v>
      </c>
      <c r="I242">
        <v>5</v>
      </c>
      <c r="J242" t="b">
        <v>1</v>
      </c>
      <c r="K242">
        <v>0.65</v>
      </c>
      <c r="L242">
        <v>1.3</v>
      </c>
      <c r="M242" t="b">
        <v>1</v>
      </c>
      <c r="N242">
        <v>200</v>
      </c>
      <c r="O242" t="b">
        <v>0</v>
      </c>
      <c r="P242" t="b">
        <v>0</v>
      </c>
      <c r="Q242">
        <v>0.7</v>
      </c>
      <c r="R242">
        <v>13850.833878040314</v>
      </c>
      <c r="S242">
        <v>10991.938256859779</v>
      </c>
      <c r="T242">
        <v>0</v>
      </c>
      <c r="U242">
        <v>0</v>
      </c>
      <c r="V242">
        <v>24842.772134900093</v>
      </c>
      <c r="W242">
        <v>0</v>
      </c>
      <c r="X242">
        <v>207.09500911344296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24842772134.900093</v>
      </c>
      <c r="AF242" s="1" t="s">
        <v>3536</v>
      </c>
      <c r="AG242" s="1" t="s">
        <v>3537</v>
      </c>
      <c r="AH242" s="1" t="s">
        <v>3538</v>
      </c>
      <c r="AI242" s="1" t="str">
        <f>_xlfn.TEXTAFTER(_xlfn.TEXTBEFORE(batch_summary[[#This Row],[video]],"_",1),"-",3)</f>
        <v>16</v>
      </c>
      <c r="AJ242" s="1" t="str">
        <f>_xlfn.TEXTBEFORE(_xlfn.TEXTAFTER(batch_summary[[#This Row],[video]],"_",1),"_",1)</f>
        <v>20260326</v>
      </c>
      <c r="AK242" s="1" t="str">
        <f>_xlfn.TEXTBEFORE(_xlfn.TEXTAFTER(batch_summary[[#This Row],[video]],"_",2),".",1)</f>
        <v>080000</v>
      </c>
    </row>
    <row r="243" spans="1:37" x14ac:dyDescent="0.2">
      <c r="A243" s="1" t="s">
        <v>3539</v>
      </c>
      <c r="B243" s="1" t="s">
        <v>3540</v>
      </c>
      <c r="C243">
        <v>119.95833333333333</v>
      </c>
      <c r="D243">
        <v>2879</v>
      </c>
      <c r="E243">
        <v>0.3693462572991848</v>
      </c>
      <c r="F243">
        <v>36.641969677060843</v>
      </c>
      <c r="G243">
        <v>1.2828977328905341E-4</v>
      </c>
      <c r="H243">
        <v>1.2727325348058646E-2</v>
      </c>
      <c r="I243">
        <v>5</v>
      </c>
      <c r="J243" t="b">
        <v>1</v>
      </c>
      <c r="K243">
        <v>0.65</v>
      </c>
      <c r="L243">
        <v>1.3</v>
      </c>
      <c r="M243" t="b">
        <v>1</v>
      </c>
      <c r="N243">
        <v>200</v>
      </c>
      <c r="O243" t="b">
        <v>0</v>
      </c>
      <c r="P243" t="b">
        <v>0</v>
      </c>
      <c r="Q243">
        <v>0.7</v>
      </c>
      <c r="R243">
        <v>4868.4478825330734</v>
      </c>
      <c r="S243">
        <v>6041.6799654960632</v>
      </c>
      <c r="T243">
        <v>0</v>
      </c>
      <c r="U243">
        <v>0</v>
      </c>
      <c r="V243">
        <v>10910.127848029137</v>
      </c>
      <c r="W243">
        <v>0</v>
      </c>
      <c r="X243">
        <v>90.949311689023716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10910127848.029137</v>
      </c>
      <c r="AF243" s="1" t="s">
        <v>3541</v>
      </c>
      <c r="AG243" s="1" t="s">
        <v>3542</v>
      </c>
      <c r="AH243" s="1" t="s">
        <v>3543</v>
      </c>
      <c r="AI243" s="1" t="str">
        <f>_xlfn.TEXTAFTER(_xlfn.TEXTBEFORE(batch_summary[[#This Row],[video]],"_",1),"-",3)</f>
        <v>16</v>
      </c>
      <c r="AJ243" s="1" t="str">
        <f>_xlfn.TEXTBEFORE(_xlfn.TEXTAFTER(batch_summary[[#This Row],[video]],"_",1),"_",1)</f>
        <v>20260326</v>
      </c>
      <c r="AK243" s="1" t="str">
        <f>_xlfn.TEXTBEFORE(_xlfn.TEXTAFTER(batch_summary[[#This Row],[video]],"_",2),".",1)</f>
        <v>090000</v>
      </c>
    </row>
    <row r="244" spans="1:37" x14ac:dyDescent="0.2">
      <c r="A244" s="1" t="s">
        <v>3544</v>
      </c>
      <c r="B244" s="1" t="s">
        <v>3545</v>
      </c>
      <c r="C244">
        <v>119.95833333333333</v>
      </c>
      <c r="D244">
        <v>2879</v>
      </c>
      <c r="E244">
        <v>0.41120988596230745</v>
      </c>
      <c r="F244">
        <v>39.115188018418849</v>
      </c>
      <c r="G244">
        <v>1.4283080443289596E-4</v>
      </c>
      <c r="H244">
        <v>1.3586379999450799E-2</v>
      </c>
      <c r="I244">
        <v>5</v>
      </c>
      <c r="J244" t="b">
        <v>1</v>
      </c>
      <c r="K244">
        <v>0.65</v>
      </c>
      <c r="L244">
        <v>1.3</v>
      </c>
      <c r="M244" t="b">
        <v>1</v>
      </c>
      <c r="N244">
        <v>200</v>
      </c>
      <c r="O244" t="b">
        <v>0</v>
      </c>
      <c r="P244" t="b">
        <v>0</v>
      </c>
      <c r="Q244">
        <v>0.7</v>
      </c>
      <c r="R244">
        <v>6054931.6013970971</v>
      </c>
      <c r="S244">
        <v>6788259.2055109143</v>
      </c>
      <c r="T244">
        <v>5293115.5312540531</v>
      </c>
      <c r="U244">
        <v>6040685.8605639338</v>
      </c>
      <c r="V244">
        <v>12843190.806908011</v>
      </c>
      <c r="W244">
        <v>11333801.391817987</v>
      </c>
      <c r="X244">
        <v>107063.7649759612</v>
      </c>
      <c r="Y244">
        <v>94481.150886985648</v>
      </c>
      <c r="Z244">
        <v>5519.9305365371702</v>
      </c>
      <c r="AA244">
        <v>2833.4503479544969</v>
      </c>
      <c r="AB244">
        <v>52931.155312540533</v>
      </c>
      <c r="AC244">
        <v>60406.85860563934</v>
      </c>
      <c r="AD244">
        <v>113338.01391817987</v>
      </c>
      <c r="AE244">
        <v>1.1331759189092259</v>
      </c>
      <c r="AF244" s="1" t="s">
        <v>3546</v>
      </c>
      <c r="AG244" s="1" t="s">
        <v>3547</v>
      </c>
      <c r="AH244" s="1" t="s">
        <v>3548</v>
      </c>
      <c r="AI244" s="1" t="str">
        <f>_xlfn.TEXTAFTER(_xlfn.TEXTBEFORE(batch_summary[[#This Row],[video]],"_",1),"-",3)</f>
        <v>16</v>
      </c>
      <c r="AJ244" s="1" t="str">
        <f>_xlfn.TEXTBEFORE(_xlfn.TEXTAFTER(batch_summary[[#This Row],[video]],"_",1),"_",1)</f>
        <v>20260326</v>
      </c>
      <c r="AK244" s="1" t="str">
        <f>_xlfn.TEXTBEFORE(_xlfn.TEXTAFTER(batch_summary[[#This Row],[video]],"_",2),".",1)</f>
        <v>100000</v>
      </c>
    </row>
    <row r="245" spans="1:37" x14ac:dyDescent="0.2">
      <c r="A245" s="1" t="s">
        <v>3549</v>
      </c>
      <c r="B245" s="1" t="s">
        <v>3550</v>
      </c>
      <c r="C245">
        <v>119.95833333333333</v>
      </c>
      <c r="D245">
        <v>2879</v>
      </c>
      <c r="E245">
        <v>0.39806703850626945</v>
      </c>
      <c r="F245">
        <v>38.415331778116524</v>
      </c>
      <c r="G245">
        <v>1.3826573063781503E-4</v>
      </c>
      <c r="H245">
        <v>1.334328995419122E-2</v>
      </c>
      <c r="I245">
        <v>5</v>
      </c>
      <c r="J245" t="b">
        <v>1</v>
      </c>
      <c r="K245">
        <v>0.65</v>
      </c>
      <c r="L245">
        <v>1.3</v>
      </c>
      <c r="M245" t="b">
        <v>1</v>
      </c>
      <c r="N245">
        <v>200</v>
      </c>
      <c r="O245" t="b">
        <v>0</v>
      </c>
      <c r="P245" t="b">
        <v>0</v>
      </c>
      <c r="Q245">
        <v>0.7</v>
      </c>
      <c r="R245">
        <v>9644706.11914891</v>
      </c>
      <c r="S245">
        <v>8935042.6534374356</v>
      </c>
      <c r="T245">
        <v>8668419.667026341</v>
      </c>
      <c r="U245">
        <v>8012994.2580651641</v>
      </c>
      <c r="V245">
        <v>18579748.772586346</v>
      </c>
      <c r="W245">
        <v>16681413.925091505</v>
      </c>
      <c r="X245">
        <v>154885.01929214044</v>
      </c>
      <c r="Y245">
        <v>139060.06745473988</v>
      </c>
      <c r="Z245">
        <v>7893.6497931671147</v>
      </c>
      <c r="AA245">
        <v>4170.3534812728767</v>
      </c>
      <c r="AB245">
        <v>86684.196670263409</v>
      </c>
      <c r="AC245">
        <v>80129.942580651637</v>
      </c>
      <c r="AD245">
        <v>166814.13925091503</v>
      </c>
      <c r="AE245">
        <v>1.1137993971026305</v>
      </c>
      <c r="AF245" s="1" t="s">
        <v>3551</v>
      </c>
      <c r="AG245" s="1" t="s">
        <v>3552</v>
      </c>
      <c r="AH245" s="1" t="s">
        <v>3553</v>
      </c>
      <c r="AI245" s="1" t="str">
        <f>_xlfn.TEXTAFTER(_xlfn.TEXTBEFORE(batch_summary[[#This Row],[video]],"_",1),"-",3)</f>
        <v>16</v>
      </c>
      <c r="AJ245" s="1" t="str">
        <f>_xlfn.TEXTBEFORE(_xlfn.TEXTAFTER(batch_summary[[#This Row],[video]],"_",1),"_",1)</f>
        <v>20260326</v>
      </c>
      <c r="AK245" s="1" t="str">
        <f>_xlfn.TEXTBEFORE(_xlfn.TEXTAFTER(batch_summary[[#This Row],[video]],"_",2),".",1)</f>
        <v>110000</v>
      </c>
    </row>
    <row r="246" spans="1:37" x14ac:dyDescent="0.2">
      <c r="A246" s="1" t="s">
        <v>3554</v>
      </c>
      <c r="B246" s="1" t="s">
        <v>3555</v>
      </c>
      <c r="C246">
        <v>119.95833333333333</v>
      </c>
      <c r="D246">
        <v>2879</v>
      </c>
      <c r="E246">
        <v>0.40512158069759607</v>
      </c>
      <c r="F246">
        <v>38.670123136602342</v>
      </c>
      <c r="G246">
        <v>1.4071607526835572E-4</v>
      </c>
      <c r="H246">
        <v>1.3431789905037284E-2</v>
      </c>
      <c r="I246">
        <v>5</v>
      </c>
      <c r="J246" t="b">
        <v>1</v>
      </c>
      <c r="K246">
        <v>0.65</v>
      </c>
      <c r="L246">
        <v>1.3</v>
      </c>
      <c r="M246" t="b">
        <v>1</v>
      </c>
      <c r="N246">
        <v>200</v>
      </c>
      <c r="O246" t="b">
        <v>0</v>
      </c>
      <c r="P246" t="b">
        <v>0</v>
      </c>
      <c r="Q246">
        <v>0.7</v>
      </c>
      <c r="R246">
        <v>8143616.7428190708</v>
      </c>
      <c r="S246">
        <v>9279033.7136358023</v>
      </c>
      <c r="T246">
        <v>7195406.2872006297</v>
      </c>
      <c r="U246">
        <v>8303146.9096541405</v>
      </c>
      <c r="V246">
        <v>17422650.456454873</v>
      </c>
      <c r="W246">
        <v>15498553.19685477</v>
      </c>
      <c r="X246">
        <v>145239.18407603924</v>
      </c>
      <c r="Y246">
        <v>129199.470901186</v>
      </c>
      <c r="Z246">
        <v>7046.8009896850581</v>
      </c>
      <c r="AA246">
        <v>3874.6382992136932</v>
      </c>
      <c r="AB246">
        <v>71954.062872006296</v>
      </c>
      <c r="AC246">
        <v>83031.469096541405</v>
      </c>
      <c r="AD246">
        <v>154985.5319685477</v>
      </c>
      <c r="AE246">
        <v>1.124146895207649</v>
      </c>
      <c r="AF246" s="1" t="s">
        <v>3556</v>
      </c>
      <c r="AG246" s="1" t="s">
        <v>3557</v>
      </c>
      <c r="AH246" s="1" t="s">
        <v>3558</v>
      </c>
      <c r="AI246" s="1" t="str">
        <f>_xlfn.TEXTAFTER(_xlfn.TEXTBEFORE(batch_summary[[#This Row],[video]],"_",1),"-",3)</f>
        <v>16</v>
      </c>
      <c r="AJ246" s="1" t="str">
        <f>_xlfn.TEXTBEFORE(_xlfn.TEXTAFTER(batch_summary[[#This Row],[video]],"_",1),"_",1)</f>
        <v>20260326</v>
      </c>
      <c r="AK246" s="1" t="str">
        <f>_xlfn.TEXTBEFORE(_xlfn.TEXTAFTER(batch_summary[[#This Row],[video]],"_",2),".",1)</f>
        <v>120000</v>
      </c>
    </row>
    <row r="247" spans="1:37" x14ac:dyDescent="0.2">
      <c r="A247" s="1" t="s">
        <v>3559</v>
      </c>
      <c r="B247" s="1" t="s">
        <v>3560</v>
      </c>
      <c r="C247">
        <v>119.95833333333333</v>
      </c>
      <c r="D247">
        <v>2879</v>
      </c>
      <c r="E247">
        <v>0.41453475598245859</v>
      </c>
      <c r="F247">
        <v>39.227801433764398</v>
      </c>
      <c r="G247">
        <v>1.4398567418633505E-4</v>
      </c>
      <c r="H247">
        <v>1.3625495461536782E-2</v>
      </c>
      <c r="I247">
        <v>5</v>
      </c>
      <c r="J247" t="b">
        <v>1</v>
      </c>
      <c r="K247">
        <v>0.65</v>
      </c>
      <c r="L247">
        <v>1.3</v>
      </c>
      <c r="M247" t="b">
        <v>1</v>
      </c>
      <c r="N247">
        <v>200</v>
      </c>
      <c r="O247" t="b">
        <v>0</v>
      </c>
      <c r="P247" t="b">
        <v>0</v>
      </c>
      <c r="Q247">
        <v>0.7</v>
      </c>
      <c r="R247">
        <v>7484168.8884028196</v>
      </c>
      <c r="S247">
        <v>6242660.383425951</v>
      </c>
      <c r="T247">
        <v>6524723.9655866027</v>
      </c>
      <c r="U247">
        <v>5427042.8906037211</v>
      </c>
      <c r="V247">
        <v>13726829.271828771</v>
      </c>
      <c r="W247">
        <v>11951766.856190324</v>
      </c>
      <c r="X247">
        <v>114429.97656265735</v>
      </c>
      <c r="Y247">
        <v>99632.651805685236</v>
      </c>
      <c r="Z247">
        <v>6370.3096920180324</v>
      </c>
      <c r="AA247">
        <v>2987.9417140475807</v>
      </c>
      <c r="AB247">
        <v>65247.239655866026</v>
      </c>
      <c r="AC247">
        <v>54270.42890603721</v>
      </c>
      <c r="AD247">
        <v>119517.66856190324</v>
      </c>
      <c r="AE247">
        <v>1.1485188288055559</v>
      </c>
      <c r="AF247" s="1" t="s">
        <v>3561</v>
      </c>
      <c r="AG247" s="1" t="s">
        <v>3562</v>
      </c>
      <c r="AH247" s="1" t="s">
        <v>3563</v>
      </c>
      <c r="AI247" s="1" t="str">
        <f>_xlfn.TEXTAFTER(_xlfn.TEXTBEFORE(batch_summary[[#This Row],[video]],"_",1),"-",3)</f>
        <v>16</v>
      </c>
      <c r="AJ247" s="1" t="str">
        <f>_xlfn.TEXTBEFORE(_xlfn.TEXTAFTER(batch_summary[[#This Row],[video]],"_",1),"_",1)</f>
        <v>20260326</v>
      </c>
      <c r="AK247" s="1" t="str">
        <f>_xlfn.TEXTBEFORE(_xlfn.TEXTAFTER(batch_summary[[#This Row],[video]],"_",2),".",1)</f>
        <v>130000</v>
      </c>
    </row>
    <row r="248" spans="1:37" x14ac:dyDescent="0.2">
      <c r="A248" s="1" t="s">
        <v>3564</v>
      </c>
      <c r="B248" s="1" t="s">
        <v>3565</v>
      </c>
      <c r="C248">
        <v>119.95833333333333</v>
      </c>
      <c r="D248">
        <v>2879</v>
      </c>
      <c r="E248">
        <v>0.40592580009251833</v>
      </c>
      <c r="F248">
        <v>38.823091493919492</v>
      </c>
      <c r="G248">
        <v>1.4099541510681428E-4</v>
      </c>
      <c r="H248">
        <v>1.3484922366766062E-2</v>
      </c>
      <c r="I248">
        <v>5</v>
      </c>
      <c r="J248" t="b">
        <v>1</v>
      </c>
      <c r="K248">
        <v>0.65</v>
      </c>
      <c r="L248">
        <v>1.3</v>
      </c>
      <c r="M248" t="b">
        <v>1</v>
      </c>
      <c r="N248">
        <v>200</v>
      </c>
      <c r="O248" t="b">
        <v>0</v>
      </c>
      <c r="P248" t="b">
        <v>0</v>
      </c>
      <c r="Q248">
        <v>0.7</v>
      </c>
      <c r="R248">
        <v>5019217.7655778527</v>
      </c>
      <c r="S248">
        <v>5163946.8838543892</v>
      </c>
      <c r="T248">
        <v>4318513.9950928092</v>
      </c>
      <c r="U248">
        <v>4410768.3584840298</v>
      </c>
      <c r="V248">
        <v>10183164.649432242</v>
      </c>
      <c r="W248">
        <v>8729282.353576839</v>
      </c>
      <c r="X248">
        <v>84889.180821942966</v>
      </c>
      <c r="Y248">
        <v>72769.286726587059</v>
      </c>
      <c r="Z248">
        <v>5251.1103488159188</v>
      </c>
      <c r="AA248">
        <v>2182.3205883942096</v>
      </c>
      <c r="AB248">
        <v>43185.139950928089</v>
      </c>
      <c r="AC248">
        <v>44107.683584840299</v>
      </c>
      <c r="AD248">
        <v>87292.823535768388</v>
      </c>
      <c r="AE248">
        <v>1.1665523277820968</v>
      </c>
      <c r="AF248" s="1" t="s">
        <v>3566</v>
      </c>
      <c r="AG248" s="1" t="s">
        <v>3567</v>
      </c>
      <c r="AH248" s="1" t="s">
        <v>3568</v>
      </c>
      <c r="AI248" s="1" t="str">
        <f>_xlfn.TEXTAFTER(_xlfn.TEXTBEFORE(batch_summary[[#This Row],[video]],"_",1),"-",3)</f>
        <v>16</v>
      </c>
      <c r="AJ248" s="1" t="str">
        <f>_xlfn.TEXTBEFORE(_xlfn.TEXTAFTER(batch_summary[[#This Row],[video]],"_",1),"_",1)</f>
        <v>20260326</v>
      </c>
      <c r="AK248" s="1" t="str">
        <f>_xlfn.TEXTBEFORE(_xlfn.TEXTAFTER(batch_summary[[#This Row],[video]],"_",2),".",1)</f>
        <v>140000</v>
      </c>
    </row>
    <row r="249" spans="1:37" x14ac:dyDescent="0.2">
      <c r="A249" s="1" t="s">
        <v>3569</v>
      </c>
      <c r="B249" s="1" t="s">
        <v>3570</v>
      </c>
      <c r="C249">
        <v>119.95833333333333</v>
      </c>
      <c r="D249">
        <v>2879</v>
      </c>
      <c r="E249">
        <v>0.41508143860846758</v>
      </c>
      <c r="F249">
        <v>38.966406843625009</v>
      </c>
      <c r="G249">
        <v>1.4417556047532738E-4</v>
      </c>
      <c r="H249">
        <v>1.3534701925538385E-2</v>
      </c>
      <c r="I249">
        <v>5</v>
      </c>
      <c r="J249" t="b">
        <v>1</v>
      </c>
      <c r="K249">
        <v>0.65</v>
      </c>
      <c r="L249">
        <v>1.3</v>
      </c>
      <c r="M249" t="b">
        <v>1</v>
      </c>
      <c r="N249">
        <v>200</v>
      </c>
      <c r="O249" t="b">
        <v>0</v>
      </c>
      <c r="P249" t="b">
        <v>0</v>
      </c>
      <c r="Q249">
        <v>0.7</v>
      </c>
      <c r="R249">
        <v>3947065.1131144762</v>
      </c>
      <c r="S249">
        <v>3816791.2068604827</v>
      </c>
      <c r="T249">
        <v>3411294.0734285712</v>
      </c>
      <c r="U249">
        <v>3255729.8530293703</v>
      </c>
      <c r="V249">
        <v>7763856.3199749589</v>
      </c>
      <c r="W249">
        <v>6667023.9264579415</v>
      </c>
      <c r="X249">
        <v>64721.275331503653</v>
      </c>
      <c r="Y249">
        <v>55577.830578322544</v>
      </c>
      <c r="Z249">
        <v>3588.2136404752732</v>
      </c>
      <c r="AA249">
        <v>1666.7559816144853</v>
      </c>
      <c r="AB249">
        <v>34112.940734285716</v>
      </c>
      <c r="AC249">
        <v>32557.298530293701</v>
      </c>
      <c r="AD249">
        <v>66670.239264579417</v>
      </c>
      <c r="AE249">
        <v>1.1645160427824868</v>
      </c>
      <c r="AF249" s="1" t="s">
        <v>3571</v>
      </c>
      <c r="AG249" s="1" t="s">
        <v>3572</v>
      </c>
      <c r="AH249" s="1" t="s">
        <v>3573</v>
      </c>
      <c r="AI249" s="1" t="str">
        <f>_xlfn.TEXTAFTER(_xlfn.TEXTBEFORE(batch_summary[[#This Row],[video]],"_",1),"-",3)</f>
        <v>16</v>
      </c>
      <c r="AJ249" s="1" t="str">
        <f>_xlfn.TEXTBEFORE(_xlfn.TEXTAFTER(batch_summary[[#This Row],[video]],"_",1),"_",1)</f>
        <v>20260326</v>
      </c>
      <c r="AK249" s="1" t="str">
        <f>_xlfn.TEXTBEFORE(_xlfn.TEXTAFTER(batch_summary[[#This Row],[video]],"_",2),".",1)</f>
        <v>150000</v>
      </c>
    </row>
    <row r="250" spans="1:37" x14ac:dyDescent="0.2">
      <c r="A250" s="1" t="s">
        <v>3574</v>
      </c>
      <c r="B250" s="1" t="s">
        <v>3575</v>
      </c>
      <c r="C250">
        <v>119.95833333333333</v>
      </c>
      <c r="D250">
        <v>2879</v>
      </c>
      <c r="E250">
        <v>0.41370260249823332</v>
      </c>
      <c r="F250">
        <v>39.0053147720173</v>
      </c>
      <c r="G250">
        <v>1.4369663164231792E-4</v>
      </c>
      <c r="H250">
        <v>1.3548216315393297E-2</v>
      </c>
      <c r="I250">
        <v>5</v>
      </c>
      <c r="J250" t="b">
        <v>1</v>
      </c>
      <c r="K250">
        <v>0.65</v>
      </c>
      <c r="L250">
        <v>1.3</v>
      </c>
      <c r="M250" t="b">
        <v>1</v>
      </c>
      <c r="N250">
        <v>200</v>
      </c>
      <c r="O250" t="b">
        <v>0</v>
      </c>
      <c r="P250" t="b">
        <v>0</v>
      </c>
      <c r="Q250">
        <v>0.7</v>
      </c>
      <c r="R250">
        <v>3658128.98107934</v>
      </c>
      <c r="S250">
        <v>3465883.5633569956</v>
      </c>
      <c r="T250">
        <v>3286346.3460264802</v>
      </c>
      <c r="U250">
        <v>3052596.0939403772</v>
      </c>
      <c r="V250">
        <v>7124012.5444363356</v>
      </c>
      <c r="W250">
        <v>6338942.4399668574</v>
      </c>
      <c r="X250">
        <v>59387.391825797866</v>
      </c>
      <c r="Y250">
        <v>52842.868551304127</v>
      </c>
      <c r="Z250">
        <v>4283.6838728332514</v>
      </c>
      <c r="AA250">
        <v>1584.7356099917145</v>
      </c>
      <c r="AB250">
        <v>32863.4634602648</v>
      </c>
      <c r="AC250">
        <v>30525.960939403772</v>
      </c>
      <c r="AD250">
        <v>63389.424399668569</v>
      </c>
      <c r="AE250">
        <v>1.1238487510976014</v>
      </c>
      <c r="AF250" s="1" t="s">
        <v>3576</v>
      </c>
      <c r="AG250" s="1" t="s">
        <v>3577</v>
      </c>
      <c r="AH250" s="1" t="s">
        <v>3578</v>
      </c>
      <c r="AI250" s="1" t="str">
        <f>_xlfn.TEXTAFTER(_xlfn.TEXTBEFORE(batch_summary[[#This Row],[video]],"_",1),"-",3)</f>
        <v>16</v>
      </c>
      <c r="AJ250" s="1" t="str">
        <f>_xlfn.TEXTBEFORE(_xlfn.TEXTAFTER(batch_summary[[#This Row],[video]],"_",1),"_",1)</f>
        <v>20260326</v>
      </c>
      <c r="AK250" s="1" t="str">
        <f>_xlfn.TEXTBEFORE(_xlfn.TEXTAFTER(batch_summary[[#This Row],[video]],"_",2),".",1)</f>
        <v>160000</v>
      </c>
    </row>
    <row r="251" spans="1:37" x14ac:dyDescent="0.2">
      <c r="A251" s="1" t="s">
        <v>3579</v>
      </c>
      <c r="B251" s="1" t="s">
        <v>3580</v>
      </c>
      <c r="C251">
        <v>119.95833333333333</v>
      </c>
      <c r="D251">
        <v>2879</v>
      </c>
      <c r="E251">
        <v>0.39263148885220289</v>
      </c>
      <c r="F251">
        <v>37.56319625582546</v>
      </c>
      <c r="G251">
        <v>1.3637773145265818E-4</v>
      </c>
      <c r="H251">
        <v>1.3047306792575706E-2</v>
      </c>
      <c r="I251">
        <v>5</v>
      </c>
      <c r="J251" t="b">
        <v>1</v>
      </c>
      <c r="K251">
        <v>0.65</v>
      </c>
      <c r="L251">
        <v>1.3</v>
      </c>
      <c r="M251" t="b">
        <v>1</v>
      </c>
      <c r="N251">
        <v>200</v>
      </c>
      <c r="O251" t="b">
        <v>0</v>
      </c>
      <c r="P251" t="b">
        <v>0</v>
      </c>
      <c r="Q251">
        <v>0.7</v>
      </c>
      <c r="R251">
        <v>1389123.9733524919</v>
      </c>
      <c r="S251">
        <v>1202208.8642339706</v>
      </c>
      <c r="T251">
        <v>1238517.148213625</v>
      </c>
      <c r="U251">
        <v>1043918.219107151</v>
      </c>
      <c r="V251">
        <v>2591332.8375864625</v>
      </c>
      <c r="W251">
        <v>2282435.367320776</v>
      </c>
      <c r="X251">
        <v>21601.940987174403</v>
      </c>
      <c r="Y251">
        <v>19026.901290621267</v>
      </c>
      <c r="Z251">
        <v>3602.0503749525546</v>
      </c>
      <c r="AA251">
        <v>570.60884183019402</v>
      </c>
      <c r="AB251">
        <v>12385.171482136249</v>
      </c>
      <c r="AC251">
        <v>10439.18219107151</v>
      </c>
      <c r="AD251">
        <v>22824.353673207759</v>
      </c>
      <c r="AE251">
        <v>1.1353367874895333</v>
      </c>
      <c r="AF251" s="1" t="s">
        <v>3581</v>
      </c>
      <c r="AG251" s="1" t="s">
        <v>3582</v>
      </c>
      <c r="AH251" s="1" t="s">
        <v>3583</v>
      </c>
      <c r="AI251" s="1" t="str">
        <f>_xlfn.TEXTAFTER(_xlfn.TEXTBEFORE(batch_summary[[#This Row],[video]],"_",1),"-",3)</f>
        <v>16</v>
      </c>
      <c r="AJ251" s="1" t="str">
        <f>_xlfn.TEXTBEFORE(_xlfn.TEXTAFTER(batch_summary[[#This Row],[video]],"_",1),"_",1)</f>
        <v>20260326</v>
      </c>
      <c r="AK251" s="1" t="str">
        <f>_xlfn.TEXTBEFORE(_xlfn.TEXTAFTER(batch_summary[[#This Row],[video]],"_",2),".",1)</f>
        <v>170000</v>
      </c>
    </row>
    <row r="252" spans="1:37" x14ac:dyDescent="0.2">
      <c r="A252" s="1" t="s">
        <v>3584</v>
      </c>
      <c r="B252" s="1" t="s">
        <v>3585</v>
      </c>
      <c r="C252">
        <v>119.95833333333333</v>
      </c>
      <c r="D252">
        <v>2879</v>
      </c>
      <c r="E252">
        <v>0.38456740602850914</v>
      </c>
      <c r="F252">
        <v>37.101457650773227</v>
      </c>
      <c r="G252">
        <v>1.3357673012452559E-4</v>
      </c>
      <c r="H252">
        <v>1.28869251999907E-2</v>
      </c>
      <c r="I252">
        <v>5</v>
      </c>
      <c r="J252" t="b">
        <v>1</v>
      </c>
      <c r="K252">
        <v>0.65</v>
      </c>
      <c r="L252">
        <v>1.3</v>
      </c>
      <c r="M252" t="b">
        <v>1</v>
      </c>
      <c r="N252">
        <v>200</v>
      </c>
      <c r="O252" t="b">
        <v>0</v>
      </c>
      <c r="P252" t="b">
        <v>0</v>
      </c>
      <c r="Q252">
        <v>0.7</v>
      </c>
      <c r="R252">
        <v>155796.00291508436</v>
      </c>
      <c r="S252">
        <v>24849.276896953583</v>
      </c>
      <c r="T252">
        <v>132675.59112548828</v>
      </c>
      <c r="U252">
        <v>17741.140472412109</v>
      </c>
      <c r="V252">
        <v>180645.27981203794</v>
      </c>
      <c r="W252">
        <v>150416.73159790039</v>
      </c>
      <c r="X252">
        <v>1505.9002137856585</v>
      </c>
      <c r="Y252">
        <v>1253.9081480894788</v>
      </c>
      <c r="Z252">
        <v>510.05565429687499</v>
      </c>
      <c r="AA252">
        <v>37.604182899475099</v>
      </c>
      <c r="AB252">
        <v>1326.7559112548829</v>
      </c>
      <c r="AC252">
        <v>177.4114047241211</v>
      </c>
      <c r="AD252">
        <v>1504.1673159790039</v>
      </c>
      <c r="AE252">
        <v>1.2009653307382429</v>
      </c>
      <c r="AF252" s="1" t="s">
        <v>3586</v>
      </c>
      <c r="AG252" s="1" t="s">
        <v>3587</v>
      </c>
      <c r="AH252" s="1" t="s">
        <v>3588</v>
      </c>
      <c r="AI252" s="1" t="str">
        <f>_xlfn.TEXTAFTER(_xlfn.TEXTBEFORE(batch_summary[[#This Row],[video]],"_",1),"-",3)</f>
        <v>16</v>
      </c>
      <c r="AJ252" s="1" t="str">
        <f>_xlfn.TEXTBEFORE(_xlfn.TEXTAFTER(batch_summary[[#This Row],[video]],"_",1),"_",1)</f>
        <v>20260326</v>
      </c>
      <c r="AK252" s="1" t="str">
        <f>_xlfn.TEXTBEFORE(_xlfn.TEXTAFTER(batch_summary[[#This Row],[video]],"_",2),".",1)</f>
        <v>180000</v>
      </c>
    </row>
    <row r="253" spans="1:37" x14ac:dyDescent="0.2">
      <c r="A253" s="1" t="s">
        <v>3589</v>
      </c>
      <c r="B253" s="1" t="s">
        <v>3590</v>
      </c>
      <c r="C253">
        <v>119.95833333333333</v>
      </c>
      <c r="D253">
        <v>2879</v>
      </c>
      <c r="E253">
        <v>0.37055415008217096</v>
      </c>
      <c r="F253">
        <v>36.68563730083406</v>
      </c>
      <c r="G253">
        <v>1.287093261834564E-4</v>
      </c>
      <c r="H253">
        <v>1.2742492983964591E-2</v>
      </c>
      <c r="I253">
        <v>5</v>
      </c>
      <c r="J253" t="b">
        <v>1</v>
      </c>
      <c r="K253">
        <v>0.65</v>
      </c>
      <c r="L253">
        <v>1.3</v>
      </c>
      <c r="M253" t="b">
        <v>1</v>
      </c>
      <c r="N253">
        <v>200</v>
      </c>
      <c r="O253" t="b">
        <v>0</v>
      </c>
      <c r="P253" t="b">
        <v>0</v>
      </c>
      <c r="Q253">
        <v>0.7</v>
      </c>
      <c r="R253">
        <v>144.01356840133667</v>
      </c>
      <c r="S253">
        <v>319.6959228515625</v>
      </c>
      <c r="T253">
        <v>0</v>
      </c>
      <c r="U253">
        <v>0</v>
      </c>
      <c r="V253">
        <v>463.70949125289917</v>
      </c>
      <c r="W253">
        <v>0</v>
      </c>
      <c r="X253">
        <v>3.8655879784889131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463709491.25289917</v>
      </c>
      <c r="AF253" s="1" t="s">
        <v>3591</v>
      </c>
      <c r="AG253" s="1" t="s">
        <v>3592</v>
      </c>
      <c r="AH253" s="1" t="s">
        <v>3593</v>
      </c>
      <c r="AI253" s="1" t="str">
        <f>_xlfn.TEXTAFTER(_xlfn.TEXTBEFORE(batch_summary[[#This Row],[video]],"_",1),"-",3)</f>
        <v>16</v>
      </c>
      <c r="AJ253" s="1" t="str">
        <f>_xlfn.TEXTBEFORE(_xlfn.TEXTAFTER(batch_summary[[#This Row],[video]],"_",1),"_",1)</f>
        <v>20260326</v>
      </c>
      <c r="AK253" s="1" t="str">
        <f>_xlfn.TEXTBEFORE(_xlfn.TEXTAFTER(batch_summary[[#This Row],[video]],"_",2),".",1)</f>
        <v>190000</v>
      </c>
    </row>
    <row r="254" spans="1:37" x14ac:dyDescent="0.2">
      <c r="A254" s="1" t="s">
        <v>3594</v>
      </c>
      <c r="B254" s="1" t="s">
        <v>3595</v>
      </c>
      <c r="C254">
        <v>119.95833333333333</v>
      </c>
      <c r="D254">
        <v>2879</v>
      </c>
      <c r="E254">
        <v>0.37842632737010717</v>
      </c>
      <c r="F254">
        <v>36.985868251882493</v>
      </c>
      <c r="G254">
        <v>1.314436705002109E-4</v>
      </c>
      <c r="H254">
        <v>1.2846776051365923E-2</v>
      </c>
      <c r="I254">
        <v>5</v>
      </c>
      <c r="J254" t="b">
        <v>1</v>
      </c>
      <c r="K254">
        <v>0.65</v>
      </c>
      <c r="L254">
        <v>1.3</v>
      </c>
      <c r="M254" t="b">
        <v>1</v>
      </c>
      <c r="N254">
        <v>200</v>
      </c>
      <c r="O254" t="b">
        <v>0</v>
      </c>
      <c r="P254" t="b">
        <v>0</v>
      </c>
      <c r="Q254">
        <v>0.7</v>
      </c>
      <c r="R254">
        <v>24102.210541427135</v>
      </c>
      <c r="S254">
        <v>24612.565532565117</v>
      </c>
      <c r="T254">
        <v>374.54229736328125</v>
      </c>
      <c r="U254">
        <v>325.11434936523438</v>
      </c>
      <c r="V254">
        <v>48714.776073992252</v>
      </c>
      <c r="W254">
        <v>699.65664672851562</v>
      </c>
      <c r="X254">
        <v>406.09747335040436</v>
      </c>
      <c r="Y254">
        <v>5.8324972287198245</v>
      </c>
      <c r="Z254">
        <v>3.7454229736328126</v>
      </c>
      <c r="AA254">
        <v>0.17491416168212889</v>
      </c>
      <c r="AB254">
        <v>3.7454229736328126</v>
      </c>
      <c r="AC254">
        <v>3.2511434936523438</v>
      </c>
      <c r="AD254">
        <v>6.996566467285156</v>
      </c>
      <c r="AE254">
        <v>69.626689465146768</v>
      </c>
      <c r="AF254" s="1" t="s">
        <v>3596</v>
      </c>
      <c r="AG254" s="1" t="s">
        <v>3597</v>
      </c>
      <c r="AH254" s="1" t="s">
        <v>3598</v>
      </c>
      <c r="AI254" s="1" t="str">
        <f>_xlfn.TEXTAFTER(_xlfn.TEXTBEFORE(batch_summary[[#This Row],[video]],"_",1),"-",3)</f>
        <v>16</v>
      </c>
      <c r="AJ254" s="1" t="str">
        <f>_xlfn.TEXTBEFORE(_xlfn.TEXTAFTER(batch_summary[[#This Row],[video]],"_",1),"_",1)</f>
        <v>20260327</v>
      </c>
      <c r="AK254" s="1" t="str">
        <f>_xlfn.TEXTBEFORE(_xlfn.TEXTAFTER(batch_summary[[#This Row],[video]],"_",2),".",1)</f>
        <v>060000</v>
      </c>
    </row>
    <row r="255" spans="1:37" x14ac:dyDescent="0.2">
      <c r="A255" s="1" t="s">
        <v>3599</v>
      </c>
      <c r="B255" s="1" t="s">
        <v>3600</v>
      </c>
      <c r="C255">
        <v>119.95833333333333</v>
      </c>
      <c r="D255">
        <v>2879</v>
      </c>
      <c r="E255">
        <v>0.38054283522069454</v>
      </c>
      <c r="F255">
        <v>36.995105111971498</v>
      </c>
      <c r="G255">
        <v>1.3217882432118601E-4</v>
      </c>
      <c r="H255">
        <v>1.2849984408465265E-2</v>
      </c>
      <c r="I255">
        <v>5</v>
      </c>
      <c r="J255" t="b">
        <v>1</v>
      </c>
      <c r="K255">
        <v>0.65</v>
      </c>
      <c r="L255">
        <v>1.3</v>
      </c>
      <c r="M255" t="b">
        <v>1</v>
      </c>
      <c r="N255">
        <v>200</v>
      </c>
      <c r="O255" t="b">
        <v>0</v>
      </c>
      <c r="P255" t="b">
        <v>0</v>
      </c>
      <c r="Q255">
        <v>0.7</v>
      </c>
      <c r="R255">
        <v>22732.556021749973</v>
      </c>
      <c r="S255">
        <v>26154.570554733276</v>
      </c>
      <c r="T255">
        <v>0</v>
      </c>
      <c r="U255">
        <v>0</v>
      </c>
      <c r="V255">
        <v>48887.12657648325</v>
      </c>
      <c r="W255">
        <v>0</v>
      </c>
      <c r="X255">
        <v>407.53422641041959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48887126576.483253</v>
      </c>
      <c r="AF255" s="1" t="s">
        <v>3601</v>
      </c>
      <c r="AG255" s="1" t="s">
        <v>3602</v>
      </c>
      <c r="AH255" s="1" t="s">
        <v>3603</v>
      </c>
      <c r="AI255" s="1" t="str">
        <f>_xlfn.TEXTAFTER(_xlfn.TEXTBEFORE(batch_summary[[#This Row],[video]],"_",1),"-",3)</f>
        <v>16</v>
      </c>
      <c r="AJ255" s="1" t="str">
        <f>_xlfn.TEXTBEFORE(_xlfn.TEXTAFTER(batch_summary[[#This Row],[video]],"_",1),"_",1)</f>
        <v>20260327</v>
      </c>
      <c r="AK255" s="1" t="str">
        <f>_xlfn.TEXTBEFORE(_xlfn.TEXTAFTER(batch_summary[[#This Row],[video]],"_",2),".",1)</f>
        <v>070000</v>
      </c>
    </row>
    <row r="256" spans="1:37" x14ac:dyDescent="0.2">
      <c r="A256" s="1" t="s">
        <v>3604</v>
      </c>
      <c r="B256" s="1" t="s">
        <v>3605</v>
      </c>
      <c r="C256">
        <v>119.95833333333333</v>
      </c>
      <c r="D256">
        <v>2879</v>
      </c>
      <c r="E256">
        <v>0.37690703943371773</v>
      </c>
      <c r="F256">
        <v>36.696061613969505</v>
      </c>
      <c r="G256">
        <v>1.3091595673279531E-4</v>
      </c>
      <c r="H256">
        <v>1.2746113794362454E-2</v>
      </c>
      <c r="I256">
        <v>5</v>
      </c>
      <c r="J256" t="b">
        <v>1</v>
      </c>
      <c r="K256">
        <v>0.65</v>
      </c>
      <c r="L256">
        <v>1.3</v>
      </c>
      <c r="M256" t="b">
        <v>1</v>
      </c>
      <c r="N256">
        <v>200</v>
      </c>
      <c r="O256" t="b">
        <v>0</v>
      </c>
      <c r="P256" t="b">
        <v>0</v>
      </c>
      <c r="Q256">
        <v>0.7</v>
      </c>
      <c r="R256">
        <v>2991.6679567098618</v>
      </c>
      <c r="S256">
        <v>4411.7315921783447</v>
      </c>
      <c r="T256">
        <v>0</v>
      </c>
      <c r="U256">
        <v>0</v>
      </c>
      <c r="V256">
        <v>7403.3995488882065</v>
      </c>
      <c r="W256">
        <v>0</v>
      </c>
      <c r="X256">
        <v>61.71642555516393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7403399548.8882065</v>
      </c>
      <c r="AF256" s="1" t="s">
        <v>3606</v>
      </c>
      <c r="AG256" s="1" t="s">
        <v>3607</v>
      </c>
      <c r="AH256" s="1" t="s">
        <v>3608</v>
      </c>
      <c r="AI256" s="1" t="str">
        <f>_xlfn.TEXTAFTER(_xlfn.TEXTBEFORE(batch_summary[[#This Row],[video]],"_",1),"-",3)</f>
        <v>16</v>
      </c>
      <c r="AJ256" s="1" t="str">
        <f>_xlfn.TEXTBEFORE(_xlfn.TEXTAFTER(batch_summary[[#This Row],[video]],"_",1),"_",1)</f>
        <v>20260327</v>
      </c>
      <c r="AK256" s="1" t="str">
        <f>_xlfn.TEXTBEFORE(_xlfn.TEXTAFTER(batch_summary[[#This Row],[video]],"_",2),".",1)</f>
        <v>080000</v>
      </c>
    </row>
    <row r="257" spans="1:37" x14ac:dyDescent="0.2">
      <c r="A257" s="1" t="s">
        <v>3609</v>
      </c>
      <c r="B257" s="1" t="s">
        <v>3610</v>
      </c>
      <c r="C257">
        <v>119.95833333333333</v>
      </c>
      <c r="D257">
        <v>2879</v>
      </c>
      <c r="E257">
        <v>0.3839288167655468</v>
      </c>
      <c r="F257">
        <v>37.187227978371084</v>
      </c>
      <c r="G257">
        <v>1.3335492072439971E-4</v>
      </c>
      <c r="H257">
        <v>1.2916716908083044E-2</v>
      </c>
      <c r="I257">
        <v>5</v>
      </c>
      <c r="J257" t="b">
        <v>1</v>
      </c>
      <c r="K257">
        <v>0.65</v>
      </c>
      <c r="L257">
        <v>1.3</v>
      </c>
      <c r="M257" t="b">
        <v>1</v>
      </c>
      <c r="N257">
        <v>200</v>
      </c>
      <c r="O257" t="b">
        <v>0</v>
      </c>
      <c r="P257" t="b">
        <v>0</v>
      </c>
      <c r="Q257">
        <v>0.7</v>
      </c>
      <c r="R257">
        <v>239709.22178345919</v>
      </c>
      <c r="S257">
        <v>231431.13299429417</v>
      </c>
      <c r="T257">
        <v>151208.79116231203</v>
      </c>
      <c r="U257">
        <v>146200.90003705025</v>
      </c>
      <c r="V257">
        <v>471140.35477775335</v>
      </c>
      <c r="W257">
        <v>297409.69119936228</v>
      </c>
      <c r="X257">
        <v>3927.5333500055858</v>
      </c>
      <c r="Y257">
        <v>2479.274952686591</v>
      </c>
      <c r="Z257">
        <v>779.46258666992185</v>
      </c>
      <c r="AA257">
        <v>74.352422799840568</v>
      </c>
      <c r="AB257">
        <v>1512.0879116231204</v>
      </c>
      <c r="AC257">
        <v>1462.0090003705025</v>
      </c>
      <c r="AD257">
        <v>2974.0969119936226</v>
      </c>
      <c r="AE257">
        <v>1.5841459398239124</v>
      </c>
      <c r="AF257" s="1" t="s">
        <v>3611</v>
      </c>
      <c r="AG257" s="1" t="s">
        <v>3612</v>
      </c>
      <c r="AH257" s="1" t="s">
        <v>3613</v>
      </c>
      <c r="AI257" s="1" t="str">
        <f>_xlfn.TEXTAFTER(_xlfn.TEXTBEFORE(batch_summary[[#This Row],[video]],"_",1),"-",3)</f>
        <v>16</v>
      </c>
      <c r="AJ257" s="1" t="str">
        <f>_xlfn.TEXTBEFORE(_xlfn.TEXTAFTER(batch_summary[[#This Row],[video]],"_",1),"_",1)</f>
        <v>20260327</v>
      </c>
      <c r="AK257" s="1" t="str">
        <f>_xlfn.TEXTBEFORE(_xlfn.TEXTAFTER(batch_summary[[#This Row],[video]],"_",2),".",1)</f>
        <v>090000</v>
      </c>
    </row>
    <row r="258" spans="1:37" x14ac:dyDescent="0.2">
      <c r="A258" s="1" t="s">
        <v>3614</v>
      </c>
      <c r="B258" s="1" t="s">
        <v>3615</v>
      </c>
      <c r="C258">
        <v>119.95833333333333</v>
      </c>
      <c r="D258">
        <v>2879</v>
      </c>
      <c r="E258">
        <v>0.39430214837193489</v>
      </c>
      <c r="F258">
        <v>37.749210270121694</v>
      </c>
      <c r="G258">
        <v>1.3695802305381552E-4</v>
      </c>
      <c r="H258">
        <v>1.3111917426231919E-2</v>
      </c>
      <c r="I258">
        <v>5</v>
      </c>
      <c r="J258" t="b">
        <v>1</v>
      </c>
      <c r="K258">
        <v>0.65</v>
      </c>
      <c r="L258">
        <v>1.3</v>
      </c>
      <c r="M258" t="b">
        <v>1</v>
      </c>
      <c r="N258">
        <v>200</v>
      </c>
      <c r="O258" t="b">
        <v>0</v>
      </c>
      <c r="P258" t="b">
        <v>0</v>
      </c>
      <c r="Q258">
        <v>0.7</v>
      </c>
      <c r="R258">
        <v>989736.85976433754</v>
      </c>
      <c r="S258">
        <v>807260.25416719913</v>
      </c>
      <c r="T258">
        <v>806161.68387490511</v>
      </c>
      <c r="U258">
        <v>640658.77998352051</v>
      </c>
      <c r="V258">
        <v>1796997.1139315367</v>
      </c>
      <c r="W258">
        <v>1446820.4638584256</v>
      </c>
      <c r="X258">
        <v>14980.177399915554</v>
      </c>
      <c r="Y258">
        <v>12061.025054742</v>
      </c>
      <c r="Z258">
        <v>1938.5959104919434</v>
      </c>
      <c r="AA258">
        <v>361.70511596460636</v>
      </c>
      <c r="AB258">
        <v>8061.6168387490507</v>
      </c>
      <c r="AC258">
        <v>6406.5877998352053</v>
      </c>
      <c r="AD258">
        <v>14468.204638584255</v>
      </c>
      <c r="AE258">
        <v>1.2420318614648629</v>
      </c>
      <c r="AF258" s="1" t="s">
        <v>3616</v>
      </c>
      <c r="AG258" s="1" t="s">
        <v>3617</v>
      </c>
      <c r="AH258" s="1" t="s">
        <v>3618</v>
      </c>
      <c r="AI258" s="1" t="str">
        <f>_xlfn.TEXTAFTER(_xlfn.TEXTBEFORE(batch_summary[[#This Row],[video]],"_",1),"-",3)</f>
        <v>16</v>
      </c>
      <c r="AJ258" s="1" t="str">
        <f>_xlfn.TEXTBEFORE(_xlfn.TEXTAFTER(batch_summary[[#This Row],[video]],"_",1),"_",1)</f>
        <v>20260327</v>
      </c>
      <c r="AK258" s="1" t="str">
        <f>_xlfn.TEXTBEFORE(_xlfn.TEXTAFTER(batch_summary[[#This Row],[video]],"_",2),".",1)</f>
        <v>100000</v>
      </c>
    </row>
    <row r="259" spans="1:37" x14ac:dyDescent="0.2">
      <c r="A259" s="1" t="s">
        <v>3619</v>
      </c>
      <c r="B259" s="1" t="s">
        <v>3620</v>
      </c>
      <c r="C259">
        <v>119.95833333333333</v>
      </c>
      <c r="D259">
        <v>2879</v>
      </c>
      <c r="E259">
        <v>0.41364601347595453</v>
      </c>
      <c r="F259">
        <v>39.105586183257401</v>
      </c>
      <c r="G259">
        <v>1.4367697585132149E-4</v>
      </c>
      <c r="H259">
        <v>1.3583044870877874E-2</v>
      </c>
      <c r="I259">
        <v>5</v>
      </c>
      <c r="J259" t="b">
        <v>1</v>
      </c>
      <c r="K259">
        <v>0.65</v>
      </c>
      <c r="L259">
        <v>1.3</v>
      </c>
      <c r="M259" t="b">
        <v>1</v>
      </c>
      <c r="N259">
        <v>200</v>
      </c>
      <c r="O259" t="b">
        <v>0</v>
      </c>
      <c r="P259" t="b">
        <v>0</v>
      </c>
      <c r="Q259">
        <v>0.7</v>
      </c>
      <c r="R259">
        <v>8828636.3356500268</v>
      </c>
      <c r="S259">
        <v>7864739.6917152405</v>
      </c>
      <c r="T259">
        <v>7943166.5117363334</v>
      </c>
      <c r="U259">
        <v>6979693.1812052727</v>
      </c>
      <c r="V259">
        <v>16693376.027365267</v>
      </c>
      <c r="W259">
        <v>14922859.692941606</v>
      </c>
      <c r="X259">
        <v>139159.78626494145</v>
      </c>
      <c r="Y259">
        <v>124400.35867683173</v>
      </c>
      <c r="Z259">
        <v>6410.1693237709997</v>
      </c>
      <c r="AA259">
        <v>3730.7149232354013</v>
      </c>
      <c r="AB259">
        <v>79431.665117363329</v>
      </c>
      <c r="AC259">
        <v>69796.931812052731</v>
      </c>
      <c r="AD259">
        <v>149228.59692941606</v>
      </c>
      <c r="AE259">
        <v>1.118644574220657</v>
      </c>
      <c r="AF259" s="1" t="s">
        <v>3621</v>
      </c>
      <c r="AG259" s="1" t="s">
        <v>3622</v>
      </c>
      <c r="AH259" s="1" t="s">
        <v>3623</v>
      </c>
      <c r="AI259" s="1" t="str">
        <f>_xlfn.TEXTAFTER(_xlfn.TEXTBEFORE(batch_summary[[#This Row],[video]],"_",1),"-",3)</f>
        <v>16</v>
      </c>
      <c r="AJ259" s="1" t="str">
        <f>_xlfn.TEXTBEFORE(_xlfn.TEXTAFTER(batch_summary[[#This Row],[video]],"_",1),"_",1)</f>
        <v>20260327</v>
      </c>
      <c r="AK259" s="1" t="str">
        <f>_xlfn.TEXTBEFORE(_xlfn.TEXTAFTER(batch_summary[[#This Row],[video]],"_",2),".",1)</f>
        <v>110000</v>
      </c>
    </row>
    <row r="260" spans="1:37" x14ac:dyDescent="0.2">
      <c r="A260" s="1" t="s">
        <v>3624</v>
      </c>
      <c r="B260" s="1" t="s">
        <v>3625</v>
      </c>
      <c r="C260">
        <v>119.95833333333333</v>
      </c>
      <c r="D260">
        <v>2879</v>
      </c>
      <c r="E260">
        <v>0.40520806703716516</v>
      </c>
      <c r="F260">
        <v>39.011649377644062</v>
      </c>
      <c r="G260">
        <v>1.4074611567807058E-4</v>
      </c>
      <c r="H260">
        <v>1.3550416595221973E-2</v>
      </c>
      <c r="I260">
        <v>5</v>
      </c>
      <c r="J260" t="b">
        <v>1</v>
      </c>
      <c r="K260">
        <v>0.65</v>
      </c>
      <c r="L260">
        <v>1.3</v>
      </c>
      <c r="M260" t="b">
        <v>1</v>
      </c>
      <c r="N260">
        <v>200</v>
      </c>
      <c r="O260" t="b">
        <v>0</v>
      </c>
      <c r="P260" t="b">
        <v>0</v>
      </c>
      <c r="Q260">
        <v>0.7</v>
      </c>
      <c r="R260">
        <v>7127900.1495761275</v>
      </c>
      <c r="S260">
        <v>6530362.0768530369</v>
      </c>
      <c r="T260">
        <v>6234413.1236801147</v>
      </c>
      <c r="U260">
        <v>5727593.1960675716</v>
      </c>
      <c r="V260">
        <v>13658262.226429164</v>
      </c>
      <c r="W260">
        <v>11962006.319747686</v>
      </c>
      <c r="X260">
        <v>113858.38604873218</v>
      </c>
      <c r="Y260">
        <v>99718.010307031771</v>
      </c>
      <c r="Z260">
        <v>5373.3046302032471</v>
      </c>
      <c r="AA260">
        <v>2990.5015799369221</v>
      </c>
      <c r="AB260">
        <v>62344.131236801149</v>
      </c>
      <c r="AC260">
        <v>57275.93196067572</v>
      </c>
      <c r="AD260">
        <v>119620.06319747688</v>
      </c>
      <c r="AE260">
        <v>1.1418036290351381</v>
      </c>
      <c r="AF260" s="1" t="s">
        <v>3626</v>
      </c>
      <c r="AG260" s="1" t="s">
        <v>3627</v>
      </c>
      <c r="AH260" s="1" t="s">
        <v>3628</v>
      </c>
      <c r="AI260" s="1" t="str">
        <f>_xlfn.TEXTAFTER(_xlfn.TEXTBEFORE(batch_summary[[#This Row],[video]],"_",1),"-",3)</f>
        <v>16</v>
      </c>
      <c r="AJ260" s="1" t="str">
        <f>_xlfn.TEXTBEFORE(_xlfn.TEXTAFTER(batch_summary[[#This Row],[video]],"_",1),"_",1)</f>
        <v>20260327</v>
      </c>
      <c r="AK260" s="1" t="str">
        <f>_xlfn.TEXTBEFORE(_xlfn.TEXTAFTER(batch_summary[[#This Row],[video]],"_",2),".",1)</f>
        <v>120000</v>
      </c>
    </row>
    <row r="261" spans="1:37" x14ac:dyDescent="0.2">
      <c r="A261" s="1" t="s">
        <v>3629</v>
      </c>
      <c r="B261" s="1" t="s">
        <v>3630</v>
      </c>
      <c r="C261">
        <v>119.95833333333333</v>
      </c>
      <c r="D261">
        <v>2879</v>
      </c>
      <c r="E261">
        <v>0.40758959669619799</v>
      </c>
      <c r="F261">
        <v>38.708275506272912</v>
      </c>
      <c r="G261">
        <v>1.41573322923306E-4</v>
      </c>
      <c r="H261">
        <v>1.3445041856989548E-2</v>
      </c>
      <c r="I261">
        <v>5</v>
      </c>
      <c r="J261" t="b">
        <v>1</v>
      </c>
      <c r="K261">
        <v>0.65</v>
      </c>
      <c r="L261">
        <v>1.3</v>
      </c>
      <c r="M261" t="b">
        <v>1</v>
      </c>
      <c r="N261">
        <v>200</v>
      </c>
      <c r="O261" t="b">
        <v>0</v>
      </c>
      <c r="P261" t="b">
        <v>0</v>
      </c>
      <c r="Q261">
        <v>0.7</v>
      </c>
      <c r="R261">
        <v>4269161.2126953602</v>
      </c>
      <c r="S261">
        <v>3814825.9536895156</v>
      </c>
      <c r="T261">
        <v>3733616.2419455647</v>
      </c>
      <c r="U261">
        <v>3298539.1935659051</v>
      </c>
      <c r="V261">
        <v>8083987.1663848758</v>
      </c>
      <c r="W261">
        <v>7032155.4355114698</v>
      </c>
      <c r="X261">
        <v>67389.959011197294</v>
      </c>
      <c r="Y261">
        <v>58621.650035524588</v>
      </c>
      <c r="Z261">
        <v>3691.6300278139115</v>
      </c>
      <c r="AA261">
        <v>1758.0388588778674</v>
      </c>
      <c r="AB261">
        <v>37336.16241945565</v>
      </c>
      <c r="AC261">
        <v>32985.391935659049</v>
      </c>
      <c r="AD261">
        <v>70321.554355114698</v>
      </c>
      <c r="AE261">
        <v>1.1495745849930723</v>
      </c>
      <c r="AF261" s="1" t="s">
        <v>3631</v>
      </c>
      <c r="AG261" s="1" t="s">
        <v>3632</v>
      </c>
      <c r="AH261" s="1" t="s">
        <v>3633</v>
      </c>
      <c r="AI261" s="1" t="str">
        <f>_xlfn.TEXTAFTER(_xlfn.TEXTBEFORE(batch_summary[[#This Row],[video]],"_",1),"-",3)</f>
        <v>16</v>
      </c>
      <c r="AJ261" s="1" t="str">
        <f>_xlfn.TEXTBEFORE(_xlfn.TEXTAFTER(batch_summary[[#This Row],[video]],"_",1),"_",1)</f>
        <v>20260327</v>
      </c>
      <c r="AK261" s="1" t="str">
        <f>_xlfn.TEXTBEFORE(_xlfn.TEXTAFTER(batch_summary[[#This Row],[video]],"_",2),".",1)</f>
        <v>130000</v>
      </c>
    </row>
    <row r="262" spans="1:37" x14ac:dyDescent="0.2">
      <c r="A262" s="1" t="s">
        <v>3634</v>
      </c>
      <c r="B262" s="1" t="s">
        <v>3635</v>
      </c>
      <c r="C262">
        <v>119.95833333333333</v>
      </c>
      <c r="D262">
        <v>2879</v>
      </c>
      <c r="E262">
        <v>0.41723647899925709</v>
      </c>
      <c r="F262">
        <v>39.091266590170562</v>
      </c>
      <c r="G262">
        <v>1.449240982977621E-4</v>
      </c>
      <c r="H262">
        <v>1.3578071062928295E-2</v>
      </c>
      <c r="I262">
        <v>5</v>
      </c>
      <c r="J262" t="b">
        <v>1</v>
      </c>
      <c r="K262">
        <v>0.65</v>
      </c>
      <c r="L262">
        <v>1.3</v>
      </c>
      <c r="M262" t="b">
        <v>1</v>
      </c>
      <c r="N262">
        <v>200</v>
      </c>
      <c r="O262" t="b">
        <v>0</v>
      </c>
      <c r="P262" t="b">
        <v>0</v>
      </c>
      <c r="Q262">
        <v>0.7</v>
      </c>
      <c r="R262">
        <v>6712349.0195782781</v>
      </c>
      <c r="S262">
        <v>6513279.1781408191</v>
      </c>
      <c r="T262">
        <v>5968878.408601284</v>
      </c>
      <c r="U262">
        <v>5808955.9925919175</v>
      </c>
      <c r="V262">
        <v>13225628.197719097</v>
      </c>
      <c r="W262">
        <v>11777834.401193202</v>
      </c>
      <c r="X262">
        <v>110251.85020675871</v>
      </c>
      <c r="Y262">
        <v>98182.711229120134</v>
      </c>
      <c r="Z262">
        <v>7180.9749661636351</v>
      </c>
      <c r="AA262">
        <v>2944.4586002983006</v>
      </c>
      <c r="AB262">
        <v>59688.784086012842</v>
      </c>
      <c r="AC262">
        <v>58089.559925919173</v>
      </c>
      <c r="AD262">
        <v>117778.34401193201</v>
      </c>
      <c r="AE262">
        <v>1.1229252974026551</v>
      </c>
      <c r="AF262" s="1" t="s">
        <v>3636</v>
      </c>
      <c r="AG262" s="1" t="s">
        <v>3637</v>
      </c>
      <c r="AH262" s="1" t="s">
        <v>3638</v>
      </c>
      <c r="AI262" s="1" t="str">
        <f>_xlfn.TEXTAFTER(_xlfn.TEXTBEFORE(batch_summary[[#This Row],[video]],"_",1),"-",3)</f>
        <v>16</v>
      </c>
      <c r="AJ262" s="1" t="str">
        <f>_xlfn.TEXTBEFORE(_xlfn.TEXTAFTER(batch_summary[[#This Row],[video]],"_",1),"_",1)</f>
        <v>20260327</v>
      </c>
      <c r="AK262" s="1" t="str">
        <f>_xlfn.TEXTBEFORE(_xlfn.TEXTAFTER(batch_summary[[#This Row],[video]],"_",2),".",1)</f>
        <v>140000</v>
      </c>
    </row>
    <row r="263" spans="1:37" x14ac:dyDescent="0.2">
      <c r="A263" s="1" t="s">
        <v>3639</v>
      </c>
      <c r="B263" s="1" t="s">
        <v>3640</v>
      </c>
      <c r="C263">
        <v>119.95833333333333</v>
      </c>
      <c r="D263">
        <v>2879</v>
      </c>
      <c r="E263">
        <v>0.41199351754039526</v>
      </c>
      <c r="F263">
        <v>38.919155521318316</v>
      </c>
      <c r="G263">
        <v>1.4310299324084587E-4</v>
      </c>
      <c r="H263">
        <v>1.3518289517651378E-2</v>
      </c>
      <c r="I263">
        <v>5</v>
      </c>
      <c r="J263" t="b">
        <v>1</v>
      </c>
      <c r="K263">
        <v>0.65</v>
      </c>
      <c r="L263">
        <v>1.3</v>
      </c>
      <c r="M263" t="b">
        <v>1</v>
      </c>
      <c r="N263">
        <v>200</v>
      </c>
      <c r="O263" t="b">
        <v>0</v>
      </c>
      <c r="P263" t="b">
        <v>0</v>
      </c>
      <c r="Q263">
        <v>0.7</v>
      </c>
      <c r="R263">
        <v>3700279.3671517968</v>
      </c>
      <c r="S263">
        <v>3651145.9410808682</v>
      </c>
      <c r="T263">
        <v>3277273.9837225676</v>
      </c>
      <c r="U263">
        <v>3201859.0893294215</v>
      </c>
      <c r="V263">
        <v>7351425.3082326651</v>
      </c>
      <c r="W263">
        <v>6479133.0730519891</v>
      </c>
      <c r="X263">
        <v>61283.156442370258</v>
      </c>
      <c r="Y263">
        <v>54011.529612104117</v>
      </c>
      <c r="Z263">
        <v>3345.3959163093568</v>
      </c>
      <c r="AA263">
        <v>1619.7832682629971</v>
      </c>
      <c r="AB263">
        <v>32772.739837225672</v>
      </c>
      <c r="AC263">
        <v>32018.590893294215</v>
      </c>
      <c r="AD263">
        <v>64791.330730519883</v>
      </c>
      <c r="AE263">
        <v>1.1346310108691413</v>
      </c>
      <c r="AF263" s="1" t="s">
        <v>3641</v>
      </c>
      <c r="AG263" s="1" t="s">
        <v>3642</v>
      </c>
      <c r="AH263" s="1" t="s">
        <v>3643</v>
      </c>
      <c r="AI263" s="1" t="str">
        <f>_xlfn.TEXTAFTER(_xlfn.TEXTBEFORE(batch_summary[[#This Row],[video]],"_",1),"-",3)</f>
        <v>16</v>
      </c>
      <c r="AJ263" s="1" t="str">
        <f>_xlfn.TEXTBEFORE(_xlfn.TEXTAFTER(batch_summary[[#This Row],[video]],"_",1),"_",1)</f>
        <v>20260327</v>
      </c>
      <c r="AK263" s="1" t="str">
        <f>_xlfn.TEXTBEFORE(_xlfn.TEXTAFTER(batch_summary[[#This Row],[video]],"_",2),".",1)</f>
        <v>150000</v>
      </c>
    </row>
    <row r="264" spans="1:37" x14ac:dyDescent="0.2">
      <c r="A264" s="1" t="s">
        <v>3644</v>
      </c>
      <c r="B264" s="1" t="s">
        <v>3645</v>
      </c>
      <c r="C264">
        <v>119.95833333333333</v>
      </c>
      <c r="D264">
        <v>2879</v>
      </c>
      <c r="E264">
        <v>0.4138490641489625</v>
      </c>
      <c r="F264">
        <v>39.101874591782689</v>
      </c>
      <c r="G264">
        <v>1.4374750404618357E-4</v>
      </c>
      <c r="H264">
        <v>1.3581755676201004E-2</v>
      </c>
      <c r="I264">
        <v>5</v>
      </c>
      <c r="J264" t="b">
        <v>1</v>
      </c>
      <c r="K264">
        <v>0.65</v>
      </c>
      <c r="L264">
        <v>1.3</v>
      </c>
      <c r="M264" t="b">
        <v>1</v>
      </c>
      <c r="N264">
        <v>200</v>
      </c>
      <c r="O264" t="b">
        <v>0</v>
      </c>
      <c r="P264" t="b">
        <v>0</v>
      </c>
      <c r="Q264">
        <v>0.7</v>
      </c>
      <c r="R264">
        <v>3518915.5504638553</v>
      </c>
      <c r="S264">
        <v>3481654.3205795288</v>
      </c>
      <c r="T264">
        <v>3109897.4349927902</v>
      </c>
      <c r="U264">
        <v>3044637.0647538304</v>
      </c>
      <c r="V264">
        <v>7000569.8710433841</v>
      </c>
      <c r="W264">
        <v>6154534.4997466207</v>
      </c>
      <c r="X264">
        <v>58358.345573129984</v>
      </c>
      <c r="Y264">
        <v>51305.601943007605</v>
      </c>
      <c r="Z264">
        <v>4525.4857121348377</v>
      </c>
      <c r="AA264">
        <v>1538.6336249366552</v>
      </c>
      <c r="AB264">
        <v>31098.974349927903</v>
      </c>
      <c r="AC264">
        <v>30446.370647538304</v>
      </c>
      <c r="AD264">
        <v>61545.344997466207</v>
      </c>
      <c r="AE264">
        <v>1.1374653714804255</v>
      </c>
      <c r="AF264" s="1" t="s">
        <v>3646</v>
      </c>
      <c r="AG264" s="1" t="s">
        <v>3647</v>
      </c>
      <c r="AH264" s="1" t="s">
        <v>3648</v>
      </c>
      <c r="AI264" s="1" t="str">
        <f>_xlfn.TEXTAFTER(_xlfn.TEXTBEFORE(batch_summary[[#This Row],[video]],"_",1),"-",3)</f>
        <v>16</v>
      </c>
      <c r="AJ264" s="1" t="str">
        <f>_xlfn.TEXTBEFORE(_xlfn.TEXTAFTER(batch_summary[[#This Row],[video]],"_",1),"_",1)</f>
        <v>20260327</v>
      </c>
      <c r="AK264" s="1" t="str">
        <f>_xlfn.TEXTBEFORE(_xlfn.TEXTAFTER(batch_summary[[#This Row],[video]],"_",2),".",1)</f>
        <v>160000</v>
      </c>
    </row>
    <row r="265" spans="1:37" x14ac:dyDescent="0.2">
      <c r="A265" s="1" t="s">
        <v>3649</v>
      </c>
      <c r="B265" s="1" t="s">
        <v>3650</v>
      </c>
      <c r="C265">
        <v>119.95833333333333</v>
      </c>
      <c r="D265">
        <v>2879</v>
      </c>
      <c r="E265">
        <v>0.39009165577590466</v>
      </c>
      <c r="F265">
        <v>37.681165713816881</v>
      </c>
      <c r="G265">
        <v>1.3549553865088734E-4</v>
      </c>
      <c r="H265">
        <v>1.3088282637657826E-2</v>
      </c>
      <c r="I265">
        <v>5</v>
      </c>
      <c r="J265" t="b">
        <v>1</v>
      </c>
      <c r="K265">
        <v>0.65</v>
      </c>
      <c r="L265">
        <v>1.3</v>
      </c>
      <c r="M265" t="b">
        <v>1</v>
      </c>
      <c r="N265">
        <v>200</v>
      </c>
      <c r="O265" t="b">
        <v>0</v>
      </c>
      <c r="P265" t="b">
        <v>0</v>
      </c>
      <c r="Q265">
        <v>0.7</v>
      </c>
      <c r="R265">
        <v>1245464.6646136642</v>
      </c>
      <c r="S265">
        <v>1017475.7274687886</v>
      </c>
      <c r="T265">
        <v>1102191.3775042295</v>
      </c>
      <c r="U265">
        <v>858399.28951406479</v>
      </c>
      <c r="V265">
        <v>2262940.3920824528</v>
      </c>
      <c r="W265">
        <v>1960590.6670182943</v>
      </c>
      <c r="X265">
        <v>18864.386734970081</v>
      </c>
      <c r="Y265">
        <v>16343.930534365774</v>
      </c>
      <c r="Z265">
        <v>2318.9820573043821</v>
      </c>
      <c r="AA265">
        <v>490.14766675457361</v>
      </c>
      <c r="AB265">
        <v>11021.913775042296</v>
      </c>
      <c r="AC265">
        <v>8583.9928951406473</v>
      </c>
      <c r="AD265">
        <v>19605.906670182943</v>
      </c>
      <c r="AE265">
        <v>1.1542135898892032</v>
      </c>
      <c r="AF265" s="1" t="s">
        <v>3651</v>
      </c>
      <c r="AG265" s="1" t="s">
        <v>3652</v>
      </c>
      <c r="AH265" s="1" t="s">
        <v>3653</v>
      </c>
      <c r="AI265" s="1" t="str">
        <f>_xlfn.TEXTAFTER(_xlfn.TEXTBEFORE(batch_summary[[#This Row],[video]],"_",1),"-",3)</f>
        <v>16</v>
      </c>
      <c r="AJ265" s="1" t="str">
        <f>_xlfn.TEXTBEFORE(_xlfn.TEXTAFTER(batch_summary[[#This Row],[video]],"_",1),"_",1)</f>
        <v>20260327</v>
      </c>
      <c r="AK265" s="1" t="str">
        <f>_xlfn.TEXTBEFORE(_xlfn.TEXTAFTER(batch_summary[[#This Row],[video]],"_",2),".",1)</f>
        <v>170000</v>
      </c>
    </row>
    <row r="266" spans="1:37" x14ac:dyDescent="0.2">
      <c r="A266" s="1" t="s">
        <v>3654</v>
      </c>
      <c r="B266" s="1" t="s">
        <v>3655</v>
      </c>
      <c r="C266">
        <v>119.95833333333333</v>
      </c>
      <c r="D266">
        <v>2879</v>
      </c>
      <c r="E266">
        <v>0.38805965054780245</v>
      </c>
      <c r="F266">
        <v>37.476432243362069</v>
      </c>
      <c r="G266">
        <v>1.3478973620972644E-4</v>
      </c>
      <c r="H266">
        <v>1.3017169935172653E-2</v>
      </c>
      <c r="I266">
        <v>5</v>
      </c>
      <c r="J266" t="b">
        <v>1</v>
      </c>
      <c r="K266">
        <v>0.65</v>
      </c>
      <c r="L266">
        <v>1.3</v>
      </c>
      <c r="M266" t="b">
        <v>1</v>
      </c>
      <c r="N266">
        <v>200</v>
      </c>
      <c r="O266" t="b">
        <v>0</v>
      </c>
      <c r="P266" t="b">
        <v>0</v>
      </c>
      <c r="Q266">
        <v>0.7</v>
      </c>
      <c r="R266">
        <v>388597.92474585772</v>
      </c>
      <c r="S266">
        <v>175357.79342472553</v>
      </c>
      <c r="T266">
        <v>343612.32945251465</v>
      </c>
      <c r="U266">
        <v>140588.48337697983</v>
      </c>
      <c r="V266">
        <v>563955.71817058325</v>
      </c>
      <c r="W266">
        <v>484200.81282949448</v>
      </c>
      <c r="X266">
        <v>4701.2633678687043</v>
      </c>
      <c r="Y266">
        <v>4036.4083042403154</v>
      </c>
      <c r="Z266">
        <v>1302.8958795166016</v>
      </c>
      <c r="AA266">
        <v>121.05020320737363</v>
      </c>
      <c r="AB266">
        <v>3436.1232945251463</v>
      </c>
      <c r="AC266">
        <v>1405.8848337697982</v>
      </c>
      <c r="AD266">
        <v>4842.008128294945</v>
      </c>
      <c r="AE266">
        <v>1.1647145218014607</v>
      </c>
      <c r="AF266" s="1" t="s">
        <v>3656</v>
      </c>
      <c r="AG266" s="1" t="s">
        <v>3657</v>
      </c>
      <c r="AH266" s="1" t="s">
        <v>3658</v>
      </c>
      <c r="AI266" s="1" t="str">
        <f>_xlfn.TEXTAFTER(_xlfn.TEXTBEFORE(batch_summary[[#This Row],[video]],"_",1),"-",3)</f>
        <v>16</v>
      </c>
      <c r="AJ266" s="1" t="str">
        <f>_xlfn.TEXTBEFORE(_xlfn.TEXTAFTER(batch_summary[[#This Row],[video]],"_",1),"_",1)</f>
        <v>20260327</v>
      </c>
      <c r="AK266" s="1" t="str">
        <f>_xlfn.TEXTBEFORE(_xlfn.TEXTAFTER(batch_summary[[#This Row],[video]],"_",2),".",1)</f>
        <v>180000</v>
      </c>
    </row>
    <row r="267" spans="1:37" x14ac:dyDescent="0.2">
      <c r="A267" s="1" t="s">
        <v>3659</v>
      </c>
      <c r="B267" s="1" t="s">
        <v>3660</v>
      </c>
      <c r="C267">
        <v>119.95833333333333</v>
      </c>
      <c r="D267">
        <v>2879</v>
      </c>
      <c r="E267">
        <v>0.37380256317555904</v>
      </c>
      <c r="F267">
        <v>36.814150894060731</v>
      </c>
      <c r="G267">
        <v>1.2983763917178153E-4</v>
      </c>
      <c r="H267">
        <v>1.2787131258791501E-2</v>
      </c>
      <c r="I267">
        <v>5</v>
      </c>
      <c r="J267" t="b">
        <v>1</v>
      </c>
      <c r="K267">
        <v>0.65</v>
      </c>
      <c r="L267">
        <v>1.3</v>
      </c>
      <c r="M267" t="b">
        <v>1</v>
      </c>
      <c r="N267">
        <v>200</v>
      </c>
      <c r="O267" t="b">
        <v>0</v>
      </c>
      <c r="P267" t="b">
        <v>0</v>
      </c>
      <c r="Q267">
        <v>0.7</v>
      </c>
      <c r="R267">
        <v>545.08579730987549</v>
      </c>
      <c r="S267">
        <v>353.77216768264771</v>
      </c>
      <c r="T267">
        <v>0</v>
      </c>
      <c r="U267">
        <v>0</v>
      </c>
      <c r="V267">
        <v>898.85796499252319</v>
      </c>
      <c r="W267">
        <v>0</v>
      </c>
      <c r="X267">
        <v>7.4930848071624023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898857964.99252319</v>
      </c>
      <c r="AF267" s="1" t="s">
        <v>3661</v>
      </c>
      <c r="AG267" s="1" t="s">
        <v>3662</v>
      </c>
      <c r="AH267" s="1" t="s">
        <v>3663</v>
      </c>
      <c r="AI267" s="1" t="str">
        <f>_xlfn.TEXTAFTER(_xlfn.TEXTBEFORE(batch_summary[[#This Row],[video]],"_",1),"-",3)</f>
        <v>16</v>
      </c>
      <c r="AJ267" s="1" t="str">
        <f>_xlfn.TEXTBEFORE(_xlfn.TEXTAFTER(batch_summary[[#This Row],[video]],"_",1),"_",1)</f>
        <v>20260327</v>
      </c>
      <c r="AK267" s="1" t="str">
        <f>_xlfn.TEXTBEFORE(_xlfn.TEXTAFTER(batch_summary[[#This Row],[video]],"_",2),".",1)</f>
        <v>190000</v>
      </c>
    </row>
    <row r="268" spans="1:37" x14ac:dyDescent="0.2">
      <c r="A268" s="1" t="s">
        <v>3664</v>
      </c>
      <c r="B268" s="1" t="s">
        <v>3665</v>
      </c>
      <c r="C268">
        <v>119.95833333333333</v>
      </c>
      <c r="D268">
        <v>2879</v>
      </c>
      <c r="E268">
        <v>0.3794793114066124</v>
      </c>
      <c r="F268">
        <v>37.050860282965004</v>
      </c>
      <c r="G268">
        <v>1.3180941695262673E-4</v>
      </c>
      <c r="H268">
        <v>1.2869350567198682E-2</v>
      </c>
      <c r="I268">
        <v>5</v>
      </c>
      <c r="J268" t="b">
        <v>1</v>
      </c>
      <c r="K268">
        <v>0.65</v>
      </c>
      <c r="L268">
        <v>1.3</v>
      </c>
      <c r="M268" t="b">
        <v>1</v>
      </c>
      <c r="N268">
        <v>200</v>
      </c>
      <c r="O268" t="b">
        <v>0</v>
      </c>
      <c r="P268" t="b">
        <v>0</v>
      </c>
      <c r="Q268">
        <v>0.7</v>
      </c>
      <c r="R268">
        <v>73304.161133646965</v>
      </c>
      <c r="S268">
        <v>79813.420719325542</v>
      </c>
      <c r="T268">
        <v>1292.855224609375</v>
      </c>
      <c r="U268">
        <v>1186.4995422363281</v>
      </c>
      <c r="V268">
        <v>153117.58185297251</v>
      </c>
      <c r="W268">
        <v>2479.3547668457031</v>
      </c>
      <c r="X268">
        <v>1276.4230512231122</v>
      </c>
      <c r="Y268">
        <v>20.668466274503952</v>
      </c>
      <c r="Z268">
        <v>7.9252984619140623</v>
      </c>
      <c r="AA268">
        <v>0.6198386917114258</v>
      </c>
      <c r="AB268">
        <v>12.92855224609375</v>
      </c>
      <c r="AC268">
        <v>11.864995422363281</v>
      </c>
      <c r="AD268">
        <v>24.79354766845703</v>
      </c>
      <c r="AE268">
        <v>61.757028038295829</v>
      </c>
      <c r="AF268" s="1" t="s">
        <v>3666</v>
      </c>
      <c r="AG268" s="1" t="s">
        <v>3667</v>
      </c>
      <c r="AH268" s="1" t="s">
        <v>3668</v>
      </c>
      <c r="AI268" s="1" t="str">
        <f>_xlfn.TEXTAFTER(_xlfn.TEXTBEFORE(batch_summary[[#This Row],[video]],"_",1),"-",3)</f>
        <v>16</v>
      </c>
      <c r="AJ268" s="1" t="str">
        <f>_xlfn.TEXTBEFORE(_xlfn.TEXTAFTER(batch_summary[[#This Row],[video]],"_",1),"_",1)</f>
        <v>20260328</v>
      </c>
      <c r="AK268" s="1" t="str">
        <f>_xlfn.TEXTBEFORE(_xlfn.TEXTAFTER(batch_summary[[#This Row],[video]],"_",2),".",1)</f>
        <v>060000</v>
      </c>
    </row>
    <row r="269" spans="1:37" x14ac:dyDescent="0.2">
      <c r="A269" s="1" t="s">
        <v>3669</v>
      </c>
      <c r="B269" s="1" t="s">
        <v>3670</v>
      </c>
      <c r="C269">
        <v>119.95833333333333</v>
      </c>
      <c r="D269">
        <v>2879</v>
      </c>
      <c r="E269">
        <v>0.37669302523136139</v>
      </c>
      <c r="F269">
        <v>36.799310912378132</v>
      </c>
      <c r="G269">
        <v>1.3084162043465141E-4</v>
      </c>
      <c r="H269">
        <v>1.2781976697595739E-2</v>
      </c>
      <c r="I269">
        <v>5</v>
      </c>
      <c r="J269" t="b">
        <v>1</v>
      </c>
      <c r="K269">
        <v>0.65</v>
      </c>
      <c r="L269">
        <v>1.3</v>
      </c>
      <c r="M269" t="b">
        <v>1</v>
      </c>
      <c r="N269">
        <v>200</v>
      </c>
      <c r="O269" t="b">
        <v>0</v>
      </c>
      <c r="P269" t="b">
        <v>0</v>
      </c>
      <c r="Q269">
        <v>0.7</v>
      </c>
      <c r="R269">
        <v>3212.4383836984634</v>
      </c>
      <c r="S269">
        <v>5046.5508606433868</v>
      </c>
      <c r="T269">
        <v>0</v>
      </c>
      <c r="U269">
        <v>0</v>
      </c>
      <c r="V269">
        <v>8258.9892443418503</v>
      </c>
      <c r="W269">
        <v>0</v>
      </c>
      <c r="X269">
        <v>68.848816208476691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8258989244.3418503</v>
      </c>
      <c r="AF269" s="1" t="s">
        <v>3671</v>
      </c>
      <c r="AG269" s="1" t="s">
        <v>3672</v>
      </c>
      <c r="AH269" s="1" t="s">
        <v>3673</v>
      </c>
      <c r="AI269" s="1" t="str">
        <f>_xlfn.TEXTAFTER(_xlfn.TEXTBEFORE(batch_summary[[#This Row],[video]],"_",1),"-",3)</f>
        <v>16</v>
      </c>
      <c r="AJ269" s="1" t="str">
        <f>_xlfn.TEXTBEFORE(_xlfn.TEXTAFTER(batch_summary[[#This Row],[video]],"_",1),"_",1)</f>
        <v>20260328</v>
      </c>
      <c r="AK269" s="1" t="str">
        <f>_xlfn.TEXTBEFORE(_xlfn.TEXTAFTER(batch_summary[[#This Row],[video]],"_",2),".",1)</f>
        <v>070000</v>
      </c>
    </row>
    <row r="270" spans="1:37" x14ac:dyDescent="0.2">
      <c r="A270" s="1" t="s">
        <v>3674</v>
      </c>
      <c r="B270" s="1" t="s">
        <v>3675</v>
      </c>
      <c r="C270">
        <v>119.95833333333333</v>
      </c>
      <c r="D270">
        <v>2879</v>
      </c>
      <c r="E270">
        <v>0.37700700666755438</v>
      </c>
      <c r="F270">
        <v>36.657931050285697</v>
      </c>
      <c r="G270">
        <v>1.3095067963444056E-4</v>
      </c>
      <c r="H270">
        <v>1.2732869416563285E-2</v>
      </c>
      <c r="I270">
        <v>5</v>
      </c>
      <c r="J270" t="b">
        <v>1</v>
      </c>
      <c r="K270">
        <v>0.65</v>
      </c>
      <c r="L270">
        <v>1.3</v>
      </c>
      <c r="M270" t="b">
        <v>1</v>
      </c>
      <c r="N270">
        <v>200</v>
      </c>
      <c r="O270" t="b">
        <v>0</v>
      </c>
      <c r="P270" t="b">
        <v>0</v>
      </c>
      <c r="Q270">
        <v>0.7</v>
      </c>
      <c r="R270">
        <v>2439.7560034990311</v>
      </c>
      <c r="S270">
        <v>2143.5985476970673</v>
      </c>
      <c r="T270">
        <v>0</v>
      </c>
      <c r="U270">
        <v>0</v>
      </c>
      <c r="V270">
        <v>4583.3545511960983</v>
      </c>
      <c r="W270">
        <v>0</v>
      </c>
      <c r="X270">
        <v>38.207887887706278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4583354551.1960983</v>
      </c>
      <c r="AF270" s="1" t="s">
        <v>3676</v>
      </c>
      <c r="AG270" s="1" t="s">
        <v>3677</v>
      </c>
      <c r="AH270" s="1" t="s">
        <v>3678</v>
      </c>
      <c r="AI270" s="1" t="str">
        <f>_xlfn.TEXTAFTER(_xlfn.TEXTBEFORE(batch_summary[[#This Row],[video]],"_",1),"-",3)</f>
        <v>16</v>
      </c>
      <c r="AJ270" s="1" t="str">
        <f>_xlfn.TEXTBEFORE(_xlfn.TEXTAFTER(batch_summary[[#This Row],[video]],"_",1),"_",1)</f>
        <v>20260328</v>
      </c>
      <c r="AK270" s="1" t="str">
        <f>_xlfn.TEXTBEFORE(_xlfn.TEXTAFTER(batch_summary[[#This Row],[video]],"_",2),".",1)</f>
        <v>080000</v>
      </c>
    </row>
    <row r="271" spans="1:37" x14ac:dyDescent="0.2">
      <c r="A271" s="1" t="s">
        <v>3679</v>
      </c>
      <c r="B271" s="1" t="s">
        <v>3680</v>
      </c>
      <c r="C271">
        <v>119.95833333333333</v>
      </c>
      <c r="D271">
        <v>2879</v>
      </c>
      <c r="E271">
        <v>0.3846551738679409</v>
      </c>
      <c r="F271">
        <v>37.050240827724338</v>
      </c>
      <c r="G271">
        <v>1.3360721565402602E-4</v>
      </c>
      <c r="H271">
        <v>1.2869135403863958E-2</v>
      </c>
      <c r="I271">
        <v>5</v>
      </c>
      <c r="J271" t="b">
        <v>1</v>
      </c>
      <c r="K271">
        <v>0.65</v>
      </c>
      <c r="L271">
        <v>1.3</v>
      </c>
      <c r="M271" t="b">
        <v>1</v>
      </c>
      <c r="N271">
        <v>200</v>
      </c>
      <c r="O271" t="b">
        <v>0</v>
      </c>
      <c r="P271" t="b">
        <v>0</v>
      </c>
      <c r="Q271">
        <v>0.7</v>
      </c>
      <c r="R271">
        <v>680636.85140383244</v>
      </c>
      <c r="S271">
        <v>699078.24090522528</v>
      </c>
      <c r="T271">
        <v>525235.73844218254</v>
      </c>
      <c r="U271">
        <v>537146.60568076372</v>
      </c>
      <c r="V271">
        <v>1379715.0923090577</v>
      </c>
      <c r="W271">
        <v>1062382.3441229463</v>
      </c>
      <c r="X271">
        <v>11501.619387084886</v>
      </c>
      <c r="Y271">
        <v>8856.2612917508541</v>
      </c>
      <c r="Z271">
        <v>1820.7106007385255</v>
      </c>
      <c r="AA271">
        <v>265.59558603073657</v>
      </c>
      <c r="AB271">
        <v>5252.3573844218254</v>
      </c>
      <c r="AC271">
        <v>5371.466056807637</v>
      </c>
      <c r="AD271">
        <v>10623.823441229462</v>
      </c>
      <c r="AE271">
        <v>1.2986991923779443</v>
      </c>
      <c r="AF271" s="1" t="s">
        <v>3681</v>
      </c>
      <c r="AG271" s="1" t="s">
        <v>3682</v>
      </c>
      <c r="AH271" s="1" t="s">
        <v>3683</v>
      </c>
      <c r="AI271" s="1" t="str">
        <f>_xlfn.TEXTAFTER(_xlfn.TEXTBEFORE(batch_summary[[#This Row],[video]],"_",1),"-",3)</f>
        <v>16</v>
      </c>
      <c r="AJ271" s="1" t="str">
        <f>_xlfn.TEXTBEFORE(_xlfn.TEXTAFTER(batch_summary[[#This Row],[video]],"_",1),"_",1)</f>
        <v>20260328</v>
      </c>
      <c r="AK271" s="1" t="str">
        <f>_xlfn.TEXTBEFORE(_xlfn.TEXTAFTER(batch_summary[[#This Row],[video]],"_",2),".",1)</f>
        <v>090000</v>
      </c>
    </row>
    <row r="272" spans="1:37" x14ac:dyDescent="0.2">
      <c r="A272" s="1" t="s">
        <v>3684</v>
      </c>
      <c r="B272" s="1" t="s">
        <v>3685</v>
      </c>
      <c r="C272">
        <v>119.95833333333333</v>
      </c>
      <c r="D272">
        <v>2879</v>
      </c>
      <c r="E272">
        <v>0.40863658208400011</v>
      </c>
      <c r="F272">
        <v>38.92477629519999</v>
      </c>
      <c r="G272">
        <v>1.4193698578812092E-4</v>
      </c>
      <c r="H272">
        <v>1.3520241853143449E-2</v>
      </c>
      <c r="I272">
        <v>5</v>
      </c>
      <c r="J272" t="b">
        <v>1</v>
      </c>
      <c r="K272">
        <v>0.65</v>
      </c>
      <c r="L272">
        <v>1.3</v>
      </c>
      <c r="M272" t="b">
        <v>1</v>
      </c>
      <c r="N272">
        <v>200</v>
      </c>
      <c r="O272" t="b">
        <v>0</v>
      </c>
      <c r="P272" t="b">
        <v>0</v>
      </c>
      <c r="Q272">
        <v>0.7</v>
      </c>
      <c r="R272">
        <v>5157146.3708712459</v>
      </c>
      <c r="S272">
        <v>4781848.5908270478</v>
      </c>
      <c r="T272">
        <v>4394199.1127555966</v>
      </c>
      <c r="U272">
        <v>4028831.5132572055</v>
      </c>
      <c r="V272">
        <v>9938994.9616982937</v>
      </c>
      <c r="W272">
        <v>8423030.6260128021</v>
      </c>
      <c r="X272">
        <v>82853.726669245938</v>
      </c>
      <c r="Y272">
        <v>70216.302544045597</v>
      </c>
      <c r="Z272">
        <v>5321.8946594238278</v>
      </c>
      <c r="AA272">
        <v>2105.7576565032005</v>
      </c>
      <c r="AB272">
        <v>43941.991127555964</v>
      </c>
      <c r="AC272">
        <v>40288.315132572054</v>
      </c>
      <c r="AD272">
        <v>84230.306260128011</v>
      </c>
      <c r="AE272">
        <v>1.1799784902839776</v>
      </c>
      <c r="AF272" s="1" t="s">
        <v>3686</v>
      </c>
      <c r="AG272" s="1" t="s">
        <v>3687</v>
      </c>
      <c r="AH272" s="1" t="s">
        <v>3688</v>
      </c>
      <c r="AI272" s="1" t="str">
        <f>_xlfn.TEXTAFTER(_xlfn.TEXTBEFORE(batch_summary[[#This Row],[video]],"_",1),"-",3)</f>
        <v>16</v>
      </c>
      <c r="AJ272" s="1" t="str">
        <f>_xlfn.TEXTBEFORE(_xlfn.TEXTAFTER(batch_summary[[#This Row],[video]],"_",1),"_",1)</f>
        <v>20260328</v>
      </c>
      <c r="AK272" s="1" t="str">
        <f>_xlfn.TEXTBEFORE(_xlfn.TEXTAFTER(batch_summary[[#This Row],[video]],"_",2),".",1)</f>
        <v>100000</v>
      </c>
    </row>
    <row r="273" spans="1:37" x14ac:dyDescent="0.2">
      <c r="A273" s="1" t="s">
        <v>3689</v>
      </c>
      <c r="B273" s="1" t="s">
        <v>3690</v>
      </c>
      <c r="C273">
        <v>119.95833333333333</v>
      </c>
      <c r="D273">
        <v>2879</v>
      </c>
      <c r="E273">
        <v>0.4030288141220808</v>
      </c>
      <c r="F273">
        <v>38.815787957981229</v>
      </c>
      <c r="G273">
        <v>1.399891678089895E-4</v>
      </c>
      <c r="H273">
        <v>1.3482385535943463E-2</v>
      </c>
      <c r="I273">
        <v>5</v>
      </c>
      <c r="J273" t="b">
        <v>1</v>
      </c>
      <c r="K273">
        <v>0.65</v>
      </c>
      <c r="L273">
        <v>1.3</v>
      </c>
      <c r="M273" t="b">
        <v>1</v>
      </c>
      <c r="N273">
        <v>200</v>
      </c>
      <c r="O273" t="b">
        <v>0</v>
      </c>
      <c r="P273" t="b">
        <v>0</v>
      </c>
      <c r="Q273">
        <v>0.7</v>
      </c>
      <c r="R273">
        <v>9513625.2417575717</v>
      </c>
      <c r="S273">
        <v>9255899.1429700851</v>
      </c>
      <c r="T273">
        <v>8410412.9638921618</v>
      </c>
      <c r="U273">
        <v>8223899.5291990042</v>
      </c>
      <c r="V273">
        <v>18769524.384727657</v>
      </c>
      <c r="W273">
        <v>16634312.493091166</v>
      </c>
      <c r="X273">
        <v>156467.0320366321</v>
      </c>
      <c r="Y273">
        <v>138667.41918519902</v>
      </c>
      <c r="Z273">
        <v>7272.5023109412195</v>
      </c>
      <c r="AA273">
        <v>4158.5781232727913</v>
      </c>
      <c r="AB273">
        <v>84104.129638921615</v>
      </c>
      <c r="AC273">
        <v>82238.995291990039</v>
      </c>
      <c r="AD273">
        <v>166343.12493091164</v>
      </c>
      <c r="AE273">
        <v>1.1283618960821689</v>
      </c>
      <c r="AF273" s="1" t="s">
        <v>3691</v>
      </c>
      <c r="AG273" s="1" t="s">
        <v>3692</v>
      </c>
      <c r="AH273" s="1" t="s">
        <v>3693</v>
      </c>
      <c r="AI273" s="1" t="str">
        <f>_xlfn.TEXTAFTER(_xlfn.TEXTBEFORE(batch_summary[[#This Row],[video]],"_",1),"-",3)</f>
        <v>16</v>
      </c>
      <c r="AJ273" s="1" t="str">
        <f>_xlfn.TEXTBEFORE(_xlfn.TEXTAFTER(batch_summary[[#This Row],[video]],"_",1),"_",1)</f>
        <v>20260328</v>
      </c>
      <c r="AK273" s="1" t="str">
        <f>_xlfn.TEXTBEFORE(_xlfn.TEXTAFTER(batch_summary[[#This Row],[video]],"_",2),".",1)</f>
        <v>110000</v>
      </c>
    </row>
    <row r="274" spans="1:37" x14ac:dyDescent="0.2">
      <c r="A274" s="1" t="s">
        <v>3694</v>
      </c>
      <c r="B274" s="1" t="s">
        <v>3695</v>
      </c>
      <c r="C274">
        <v>119.95833333333333</v>
      </c>
      <c r="D274">
        <v>2879</v>
      </c>
      <c r="E274">
        <v>0.41306006163358688</v>
      </c>
      <c r="F274">
        <v>38.978792201727629</v>
      </c>
      <c r="G274">
        <v>1.4347344968169048E-4</v>
      </c>
      <c r="H274">
        <v>1.3539003890839747E-2</v>
      </c>
      <c r="I274">
        <v>5</v>
      </c>
      <c r="J274" t="b">
        <v>1</v>
      </c>
      <c r="K274">
        <v>0.65</v>
      </c>
      <c r="L274">
        <v>1.3</v>
      </c>
      <c r="M274" t="b">
        <v>1</v>
      </c>
      <c r="N274">
        <v>200</v>
      </c>
      <c r="O274" t="b">
        <v>0</v>
      </c>
      <c r="P274" t="b">
        <v>0</v>
      </c>
      <c r="Q274">
        <v>0.7</v>
      </c>
      <c r="R274">
        <v>5120958.8163814545</v>
      </c>
      <c r="S274">
        <v>4527624.2408124804</v>
      </c>
      <c r="T274">
        <v>4276507.9182287455</v>
      </c>
      <c r="U274">
        <v>3772402.7544440627</v>
      </c>
      <c r="V274">
        <v>9648583.0571939349</v>
      </c>
      <c r="W274">
        <v>8048910.6726728082</v>
      </c>
      <c r="X274">
        <v>80432.786860942841</v>
      </c>
      <c r="Y274">
        <v>67097.553367192566</v>
      </c>
      <c r="Z274">
        <v>4696.5641212284563</v>
      </c>
      <c r="AA274">
        <v>2012.2276681682022</v>
      </c>
      <c r="AB274">
        <v>42765.079182287453</v>
      </c>
      <c r="AC274">
        <v>37724.027544440629</v>
      </c>
      <c r="AD274">
        <v>80489.106726728089</v>
      </c>
      <c r="AE274">
        <v>1.1987439604656369</v>
      </c>
      <c r="AF274" s="1" t="s">
        <v>3696</v>
      </c>
      <c r="AG274" s="1" t="s">
        <v>3697</v>
      </c>
      <c r="AH274" s="1" t="s">
        <v>3698</v>
      </c>
      <c r="AI274" s="1" t="str">
        <f>_xlfn.TEXTAFTER(_xlfn.TEXTBEFORE(batch_summary[[#This Row],[video]],"_",1),"-",3)</f>
        <v>16</v>
      </c>
      <c r="AJ274" s="1" t="str">
        <f>_xlfn.TEXTBEFORE(_xlfn.TEXTAFTER(batch_summary[[#This Row],[video]],"_",1),"_",1)</f>
        <v>20260328</v>
      </c>
      <c r="AK274" s="1" t="str">
        <f>_xlfn.TEXTBEFORE(_xlfn.TEXTAFTER(batch_summary[[#This Row],[video]],"_",2),".",1)</f>
        <v>120000</v>
      </c>
    </row>
    <row r="275" spans="1:37" x14ac:dyDescent="0.2">
      <c r="A275" s="1" t="s">
        <v>3699</v>
      </c>
      <c r="B275" s="1" t="s">
        <v>3700</v>
      </c>
      <c r="C275">
        <v>119.95833333333333</v>
      </c>
      <c r="D275">
        <v>2879</v>
      </c>
      <c r="E275">
        <v>0.40253226924687624</v>
      </c>
      <c r="F275">
        <v>38.297976074740291</v>
      </c>
      <c r="G275">
        <v>1.3981669650811956E-4</v>
      </c>
      <c r="H275">
        <v>1.3302527292372452E-2</v>
      </c>
      <c r="I275">
        <v>5</v>
      </c>
      <c r="J275" t="b">
        <v>1</v>
      </c>
      <c r="K275">
        <v>0.65</v>
      </c>
      <c r="L275">
        <v>1.3</v>
      </c>
      <c r="M275" t="b">
        <v>1</v>
      </c>
      <c r="N275">
        <v>200</v>
      </c>
      <c r="O275" t="b">
        <v>0</v>
      </c>
      <c r="P275" t="b">
        <v>0</v>
      </c>
      <c r="Q275">
        <v>0.7</v>
      </c>
      <c r="R275">
        <v>3316047.7027109861</v>
      </c>
      <c r="S275">
        <v>3548095.7084385753</v>
      </c>
      <c r="T275">
        <v>2706118.1431646943</v>
      </c>
      <c r="U275">
        <v>3017211.3439722061</v>
      </c>
      <c r="V275">
        <v>6864143.4111495614</v>
      </c>
      <c r="W275">
        <v>5723329.4871369004</v>
      </c>
      <c r="X275">
        <v>57221.063517745562</v>
      </c>
      <c r="Y275">
        <v>47710.9787048578</v>
      </c>
      <c r="Z275">
        <v>5327.8090860748289</v>
      </c>
      <c r="AA275">
        <v>1430.8323717842252</v>
      </c>
      <c r="AB275">
        <v>27061.181431646943</v>
      </c>
      <c r="AC275">
        <v>30172.113439722059</v>
      </c>
      <c r="AD275">
        <v>57233.294871368998</v>
      </c>
      <c r="AE275">
        <v>1.1993269698305198</v>
      </c>
      <c r="AF275" s="1" t="s">
        <v>3701</v>
      </c>
      <c r="AG275" s="1" t="s">
        <v>3702</v>
      </c>
      <c r="AH275" s="1" t="s">
        <v>3703</v>
      </c>
      <c r="AI275" s="1" t="str">
        <f>_xlfn.TEXTAFTER(_xlfn.TEXTBEFORE(batch_summary[[#This Row],[video]],"_",1),"-",3)</f>
        <v>16</v>
      </c>
      <c r="AJ275" s="1" t="str">
        <f>_xlfn.TEXTBEFORE(_xlfn.TEXTAFTER(batch_summary[[#This Row],[video]],"_",1),"_",1)</f>
        <v>20260328</v>
      </c>
      <c r="AK275" s="1" t="str">
        <f>_xlfn.TEXTBEFORE(_xlfn.TEXTAFTER(batch_summary[[#This Row],[video]],"_",2),".",1)</f>
        <v>130000</v>
      </c>
    </row>
    <row r="276" spans="1:37" x14ac:dyDescent="0.2">
      <c r="A276" s="1" t="s">
        <v>3704</v>
      </c>
      <c r="B276" s="1" t="s">
        <v>3705</v>
      </c>
      <c r="C276">
        <v>119.95833333333333</v>
      </c>
      <c r="D276">
        <v>2879</v>
      </c>
      <c r="E276">
        <v>0.41257299110293388</v>
      </c>
      <c r="F276">
        <v>38.918576074764132</v>
      </c>
      <c r="G276">
        <v>1.4330426922644455E-4</v>
      </c>
      <c r="H276">
        <v>1.3518088251046938E-2</v>
      </c>
      <c r="I276">
        <v>5</v>
      </c>
      <c r="J276" t="b">
        <v>1</v>
      </c>
      <c r="K276">
        <v>0.65</v>
      </c>
      <c r="L276">
        <v>1.3</v>
      </c>
      <c r="M276" t="b">
        <v>1</v>
      </c>
      <c r="N276">
        <v>200</v>
      </c>
      <c r="O276" t="b">
        <v>0</v>
      </c>
      <c r="P276" t="b">
        <v>0</v>
      </c>
      <c r="Q276">
        <v>0.7</v>
      </c>
      <c r="R276">
        <v>5957000.7717667222</v>
      </c>
      <c r="S276">
        <v>5118775.8776449561</v>
      </c>
      <c r="T276">
        <v>5346491.8998026252</v>
      </c>
      <c r="U276">
        <v>4524413.3328781724</v>
      </c>
      <c r="V276">
        <v>11075776.649411678</v>
      </c>
      <c r="W276">
        <v>9870905.2326807976</v>
      </c>
      <c r="X276">
        <v>92330.197841570087</v>
      </c>
      <c r="Y276">
        <v>82286.115173441867</v>
      </c>
      <c r="Z276">
        <v>5499.5769040828945</v>
      </c>
      <c r="AA276">
        <v>2467.7263081701994</v>
      </c>
      <c r="AB276">
        <v>53464.918998026253</v>
      </c>
      <c r="AC276">
        <v>45244.133328781725</v>
      </c>
      <c r="AD276">
        <v>98709.052326807985</v>
      </c>
      <c r="AE276">
        <v>1.1220629099691655</v>
      </c>
      <c r="AF276" s="1" t="s">
        <v>3706</v>
      </c>
      <c r="AG276" s="1" t="s">
        <v>3707</v>
      </c>
      <c r="AH276" s="1" t="s">
        <v>3708</v>
      </c>
      <c r="AI276" s="1" t="str">
        <f>_xlfn.TEXTAFTER(_xlfn.TEXTBEFORE(batch_summary[[#This Row],[video]],"_",1),"-",3)</f>
        <v>16</v>
      </c>
      <c r="AJ276" s="1" t="str">
        <f>_xlfn.TEXTBEFORE(_xlfn.TEXTAFTER(batch_summary[[#This Row],[video]],"_",1),"_",1)</f>
        <v>20260328</v>
      </c>
      <c r="AK276" s="1" t="str">
        <f>_xlfn.TEXTBEFORE(_xlfn.TEXTAFTER(batch_summary[[#This Row],[video]],"_",2),".",1)</f>
        <v>140000</v>
      </c>
    </row>
    <row r="277" spans="1:37" x14ac:dyDescent="0.2">
      <c r="A277" s="1" t="s">
        <v>3709</v>
      </c>
      <c r="B277" s="1" t="s">
        <v>3710</v>
      </c>
      <c r="C277">
        <v>119.95833333333333</v>
      </c>
      <c r="D277">
        <v>2879</v>
      </c>
      <c r="E277">
        <v>0.40522877871990204</v>
      </c>
      <c r="F277">
        <v>38.429434829391539</v>
      </c>
      <c r="G277">
        <v>1.4075330973251199E-4</v>
      </c>
      <c r="H277">
        <v>1.3348188547895637E-2</v>
      </c>
      <c r="I277">
        <v>5</v>
      </c>
      <c r="J277" t="b">
        <v>1</v>
      </c>
      <c r="K277">
        <v>0.65</v>
      </c>
      <c r="L277">
        <v>1.3</v>
      </c>
      <c r="M277" t="b">
        <v>1</v>
      </c>
      <c r="N277">
        <v>200</v>
      </c>
      <c r="O277" t="b">
        <v>0</v>
      </c>
      <c r="P277" t="b">
        <v>0</v>
      </c>
      <c r="Q277">
        <v>0.7</v>
      </c>
      <c r="R277">
        <v>1533128.9056645036</v>
      </c>
      <c r="S277">
        <v>1605282.9681049585</v>
      </c>
      <c r="T277">
        <v>1213092.6285539865</v>
      </c>
      <c r="U277">
        <v>1265086.3510580063</v>
      </c>
      <c r="V277">
        <v>3138411.8737694621</v>
      </c>
      <c r="W277">
        <v>2478178.9796119928</v>
      </c>
      <c r="X277">
        <v>26162.516488526257</v>
      </c>
      <c r="Y277">
        <v>20658.664644212517</v>
      </c>
      <c r="Z277">
        <v>1482.060149230957</v>
      </c>
      <c r="AA277">
        <v>619.54474490299822</v>
      </c>
      <c r="AB277">
        <v>12130.926285539865</v>
      </c>
      <c r="AC277">
        <v>12650.863510580062</v>
      </c>
      <c r="AD277">
        <v>24781.789796119927</v>
      </c>
      <c r="AE277">
        <v>1.2664185676616633</v>
      </c>
      <c r="AF277" s="1" t="s">
        <v>3711</v>
      </c>
      <c r="AG277" s="1" t="s">
        <v>3712</v>
      </c>
      <c r="AH277" s="1" t="s">
        <v>3713</v>
      </c>
      <c r="AI277" s="1" t="str">
        <f>_xlfn.TEXTAFTER(_xlfn.TEXTBEFORE(batch_summary[[#This Row],[video]],"_",1),"-",3)</f>
        <v>16</v>
      </c>
      <c r="AJ277" s="1" t="str">
        <f>_xlfn.TEXTBEFORE(_xlfn.TEXTAFTER(batch_summary[[#This Row],[video]],"_",1),"_",1)</f>
        <v>20260328</v>
      </c>
      <c r="AK277" s="1" t="str">
        <f>_xlfn.TEXTBEFORE(_xlfn.TEXTAFTER(batch_summary[[#This Row],[video]],"_",2),".",1)</f>
        <v>150000</v>
      </c>
    </row>
    <row r="278" spans="1:37" x14ac:dyDescent="0.2">
      <c r="A278" s="1" t="s">
        <v>3714</v>
      </c>
      <c r="B278" s="1" t="s">
        <v>3715</v>
      </c>
      <c r="C278">
        <v>119.95833333333333</v>
      </c>
      <c r="D278">
        <v>2879</v>
      </c>
      <c r="E278">
        <v>0.3996534813195467</v>
      </c>
      <c r="F278">
        <v>38.235606661997736</v>
      </c>
      <c r="G278">
        <v>1.3881677017004053E-4</v>
      </c>
      <c r="H278">
        <v>1.3280863724209009E-2</v>
      </c>
      <c r="I278">
        <v>5</v>
      </c>
      <c r="J278" t="b">
        <v>1</v>
      </c>
      <c r="K278">
        <v>0.65</v>
      </c>
      <c r="L278">
        <v>1.3</v>
      </c>
      <c r="M278" t="b">
        <v>1</v>
      </c>
      <c r="N278">
        <v>200</v>
      </c>
      <c r="O278" t="b">
        <v>0</v>
      </c>
      <c r="P278" t="b">
        <v>0</v>
      </c>
      <c r="Q278">
        <v>0.7</v>
      </c>
      <c r="R278">
        <v>1852402.0328269601</v>
      </c>
      <c r="S278">
        <v>2548760.3574783802</v>
      </c>
      <c r="T278">
        <v>1543273.5675227046</v>
      </c>
      <c r="U278">
        <v>2178108.9998908639</v>
      </c>
      <c r="V278">
        <v>4401162.3903053403</v>
      </c>
      <c r="W278">
        <v>3721382.5674135685</v>
      </c>
      <c r="X278">
        <v>36689.092520780883</v>
      </c>
      <c r="Y278">
        <v>31022.293024635514</v>
      </c>
      <c r="Z278">
        <v>2791.6146373987194</v>
      </c>
      <c r="AA278">
        <v>930.34564185339218</v>
      </c>
      <c r="AB278">
        <v>15432.735675227046</v>
      </c>
      <c r="AC278">
        <v>21781.089998908639</v>
      </c>
      <c r="AD278">
        <v>37213.825674135689</v>
      </c>
      <c r="AE278">
        <v>1.1826686212926052</v>
      </c>
      <c r="AF278" s="1" t="s">
        <v>3716</v>
      </c>
      <c r="AG278" s="1" t="s">
        <v>3717</v>
      </c>
      <c r="AH278" s="1" t="s">
        <v>3718</v>
      </c>
      <c r="AI278" s="1" t="str">
        <f>_xlfn.TEXTAFTER(_xlfn.TEXTBEFORE(batch_summary[[#This Row],[video]],"_",1),"-",3)</f>
        <v>16</v>
      </c>
      <c r="AJ278" s="1" t="str">
        <f>_xlfn.TEXTBEFORE(_xlfn.TEXTAFTER(batch_summary[[#This Row],[video]],"_",1),"_",1)</f>
        <v>20260328</v>
      </c>
      <c r="AK278" s="1" t="str">
        <f>_xlfn.TEXTBEFORE(_xlfn.TEXTAFTER(batch_summary[[#This Row],[video]],"_",2),".",1)</f>
        <v>160000</v>
      </c>
    </row>
    <row r="279" spans="1:37" x14ac:dyDescent="0.2">
      <c r="A279" s="1" t="s">
        <v>3719</v>
      </c>
      <c r="B279" s="1" t="s">
        <v>3720</v>
      </c>
      <c r="C279">
        <v>119.95833333333333</v>
      </c>
      <c r="D279">
        <v>2879</v>
      </c>
      <c r="E279">
        <v>0.39972112979739904</v>
      </c>
      <c r="F279">
        <v>38.175252072513103</v>
      </c>
      <c r="G279">
        <v>1.3884026738360508E-4</v>
      </c>
      <c r="H279">
        <v>1.3259899990452623E-2</v>
      </c>
      <c r="I279">
        <v>5</v>
      </c>
      <c r="J279" t="b">
        <v>1</v>
      </c>
      <c r="K279">
        <v>0.65</v>
      </c>
      <c r="L279">
        <v>1.3</v>
      </c>
      <c r="M279" t="b">
        <v>1</v>
      </c>
      <c r="N279">
        <v>200</v>
      </c>
      <c r="O279" t="b">
        <v>0</v>
      </c>
      <c r="P279" t="b">
        <v>0</v>
      </c>
      <c r="Q279">
        <v>0.7</v>
      </c>
      <c r="R279">
        <v>1889738.9799352884</v>
      </c>
      <c r="S279">
        <v>1860585.1760926843</v>
      </c>
      <c r="T279">
        <v>1619870.7278695107</v>
      </c>
      <c r="U279">
        <v>1567395.8839604855</v>
      </c>
      <c r="V279">
        <v>3750324.1560279727</v>
      </c>
      <c r="W279">
        <v>3187266.6118299961</v>
      </c>
      <c r="X279">
        <v>31263.556701865698</v>
      </c>
      <c r="Y279">
        <v>26569.780716887777</v>
      </c>
      <c r="Z279">
        <v>2545.8851962280278</v>
      </c>
      <c r="AA279">
        <v>796.81665295749895</v>
      </c>
      <c r="AB279">
        <v>16198.707278695107</v>
      </c>
      <c r="AC279">
        <v>15673.958839604855</v>
      </c>
      <c r="AD279">
        <v>31872.66611829996</v>
      </c>
      <c r="AE279">
        <v>1.1766584389608663</v>
      </c>
      <c r="AF279" s="1" t="s">
        <v>3721</v>
      </c>
      <c r="AG279" s="1" t="s">
        <v>3722</v>
      </c>
      <c r="AH279" s="1" t="s">
        <v>3723</v>
      </c>
      <c r="AI279" s="1" t="str">
        <f>_xlfn.TEXTAFTER(_xlfn.TEXTBEFORE(batch_summary[[#This Row],[video]],"_",1),"-",3)</f>
        <v>16</v>
      </c>
      <c r="AJ279" s="1" t="str">
        <f>_xlfn.TEXTBEFORE(_xlfn.TEXTAFTER(batch_summary[[#This Row],[video]],"_",1),"_",1)</f>
        <v>20260328</v>
      </c>
      <c r="AK279" s="1" t="str">
        <f>_xlfn.TEXTBEFORE(_xlfn.TEXTAFTER(batch_summary[[#This Row],[video]],"_",2),".",1)</f>
        <v>170000</v>
      </c>
    </row>
    <row r="280" spans="1:37" x14ac:dyDescent="0.2">
      <c r="A280" s="1" t="s">
        <v>3724</v>
      </c>
      <c r="B280" s="1" t="s">
        <v>3725</v>
      </c>
      <c r="C280">
        <v>119.95833333333333</v>
      </c>
      <c r="D280">
        <v>2879</v>
      </c>
      <c r="E280">
        <v>0.34955672919750214</v>
      </c>
      <c r="F280">
        <v>37.68659071624279</v>
      </c>
      <c r="G280">
        <v>1.2141602264588472E-4</v>
      </c>
      <c r="H280">
        <v>1.3090166973338934E-2</v>
      </c>
      <c r="I280">
        <v>5</v>
      </c>
      <c r="J280" t="b">
        <v>1</v>
      </c>
      <c r="K280">
        <v>0.65</v>
      </c>
      <c r="L280">
        <v>1.3</v>
      </c>
      <c r="M280" t="b">
        <v>1</v>
      </c>
      <c r="N280">
        <v>200</v>
      </c>
      <c r="O280" t="b">
        <v>0</v>
      </c>
      <c r="P280" t="b">
        <v>0</v>
      </c>
      <c r="Q280">
        <v>0.7</v>
      </c>
      <c r="R280">
        <v>128569.76894384623</v>
      </c>
      <c r="S280">
        <v>111206.72217410803</v>
      </c>
      <c r="T280">
        <v>102095.71670532227</v>
      </c>
      <c r="U280">
        <v>88062.358428955078</v>
      </c>
      <c r="V280">
        <v>239776.49111795425</v>
      </c>
      <c r="W280">
        <v>190158.07513427734</v>
      </c>
      <c r="X280">
        <v>1998.8314646859681</v>
      </c>
      <c r="Y280">
        <v>1585.2010431478486</v>
      </c>
      <c r="Z280">
        <v>1009.7376953125</v>
      </c>
      <c r="AA280">
        <v>47.539518783569335</v>
      </c>
      <c r="AB280">
        <v>1020.9571670532226</v>
      </c>
      <c r="AC280">
        <v>880.62358428955076</v>
      </c>
      <c r="AD280">
        <v>1901.5807513427735</v>
      </c>
      <c r="AE280">
        <v>1.2609324686771235</v>
      </c>
      <c r="AF280" s="1" t="s">
        <v>3726</v>
      </c>
      <c r="AG280" s="1" t="s">
        <v>3727</v>
      </c>
      <c r="AH280" s="1" t="s">
        <v>3728</v>
      </c>
      <c r="AI280" s="1" t="str">
        <f>_xlfn.TEXTAFTER(_xlfn.TEXTBEFORE(batch_summary[[#This Row],[video]],"_",1),"-",3)</f>
        <v>16</v>
      </c>
      <c r="AJ280" s="1" t="str">
        <f>_xlfn.TEXTBEFORE(_xlfn.TEXTAFTER(batch_summary[[#This Row],[video]],"_",1),"_",1)</f>
        <v>20260328</v>
      </c>
      <c r="AK280" s="1" t="str">
        <f>_xlfn.TEXTBEFORE(_xlfn.TEXTAFTER(batch_summary[[#This Row],[video]],"_",2),".",1)</f>
        <v>180000</v>
      </c>
    </row>
    <row r="281" spans="1:37" x14ac:dyDescent="0.2">
      <c r="A281" s="1" t="s">
        <v>3729</v>
      </c>
      <c r="B281" s="1" t="s">
        <v>3730</v>
      </c>
      <c r="C281">
        <v>119.95833333333333</v>
      </c>
      <c r="D281">
        <v>2879</v>
      </c>
      <c r="E281">
        <v>0.33508642390370369</v>
      </c>
      <c r="F281">
        <v>38.062170336954296</v>
      </c>
      <c r="G281">
        <v>1.163898658922208E-4</v>
      </c>
      <c r="H281">
        <v>1.3220621860699651E-2</v>
      </c>
      <c r="I281">
        <v>5</v>
      </c>
      <c r="J281" t="b">
        <v>1</v>
      </c>
      <c r="K281">
        <v>0.65</v>
      </c>
      <c r="L281">
        <v>1.3</v>
      </c>
      <c r="M281" t="b">
        <v>1</v>
      </c>
      <c r="N281">
        <v>200</v>
      </c>
      <c r="O281" t="b">
        <v>0</v>
      </c>
      <c r="P281" t="b">
        <v>0</v>
      </c>
      <c r="Q281">
        <v>0.7</v>
      </c>
      <c r="R281">
        <v>9866.234365940094</v>
      </c>
      <c r="S281">
        <v>8056.2199857234955</v>
      </c>
      <c r="T281">
        <v>0</v>
      </c>
      <c r="U281">
        <v>0</v>
      </c>
      <c r="V281">
        <v>17922.454351663589</v>
      </c>
      <c r="W281">
        <v>0</v>
      </c>
      <c r="X281">
        <v>149.40566323026266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17922454351.663589</v>
      </c>
      <c r="AF281" s="1" t="s">
        <v>3731</v>
      </c>
      <c r="AG281" s="1" t="s">
        <v>3732</v>
      </c>
      <c r="AH281" s="1" t="s">
        <v>3733</v>
      </c>
      <c r="AI281" s="1" t="str">
        <f>_xlfn.TEXTAFTER(_xlfn.TEXTBEFORE(batch_summary[[#This Row],[video]],"_",1),"-",3)</f>
        <v>16</v>
      </c>
      <c r="AJ281" s="1" t="str">
        <f>_xlfn.TEXTBEFORE(_xlfn.TEXTAFTER(batch_summary[[#This Row],[video]],"_",1),"_",1)</f>
        <v>20260328</v>
      </c>
      <c r="AK281" s="1" t="str">
        <f>_xlfn.TEXTBEFORE(_xlfn.TEXTAFTER(batch_summary[[#This Row],[video]],"_",2),".",1)</f>
        <v>190000</v>
      </c>
    </row>
    <row r="282" spans="1:37" x14ac:dyDescent="0.2">
      <c r="A282" s="1" t="s">
        <v>3734</v>
      </c>
      <c r="B282" s="1" t="s">
        <v>3735</v>
      </c>
      <c r="C282">
        <v>119.95833333333333</v>
      </c>
      <c r="D282">
        <v>2879</v>
      </c>
      <c r="E282">
        <v>0.37405197322368622</v>
      </c>
      <c r="F282">
        <v>37.229067695327103</v>
      </c>
      <c r="G282">
        <v>1.2992426996307266E-4</v>
      </c>
      <c r="H282">
        <v>1.2931249633666934E-2</v>
      </c>
      <c r="I282">
        <v>5</v>
      </c>
      <c r="J282" t="b">
        <v>1</v>
      </c>
      <c r="K282">
        <v>0.65</v>
      </c>
      <c r="L282">
        <v>1.3</v>
      </c>
      <c r="M282" t="b">
        <v>1</v>
      </c>
      <c r="N282">
        <v>200</v>
      </c>
      <c r="O282" t="b">
        <v>0</v>
      </c>
      <c r="P282" t="b">
        <v>0</v>
      </c>
      <c r="Q282">
        <v>0.7</v>
      </c>
      <c r="R282">
        <v>15520.351357460022</v>
      </c>
      <c r="S282">
        <v>16006.322609961033</v>
      </c>
      <c r="T282">
        <v>0</v>
      </c>
      <c r="U282">
        <v>274.20404052734375</v>
      </c>
      <c r="V282">
        <v>31526.673967421055</v>
      </c>
      <c r="W282">
        <v>274.20404052734375</v>
      </c>
      <c r="X282">
        <v>262.81353776245408</v>
      </c>
      <c r="Y282">
        <v>2.2858273611171414</v>
      </c>
      <c r="Z282">
        <v>2.7420404052734373</v>
      </c>
      <c r="AA282">
        <v>6.8551010131835927E-2</v>
      </c>
      <c r="AB282">
        <v>0</v>
      </c>
      <c r="AC282">
        <v>2.7420404052734373</v>
      </c>
      <c r="AD282">
        <v>2.7420404052734373</v>
      </c>
      <c r="AE282">
        <v>114.97523489000959</v>
      </c>
      <c r="AF282" s="1" t="s">
        <v>3736</v>
      </c>
      <c r="AG282" s="1" t="s">
        <v>3737</v>
      </c>
      <c r="AH282" s="1" t="s">
        <v>3738</v>
      </c>
      <c r="AI282" s="1" t="str">
        <f>_xlfn.TEXTAFTER(_xlfn.TEXTBEFORE(batch_summary[[#This Row],[video]],"_",1),"-",3)</f>
        <v>16</v>
      </c>
      <c r="AJ282" s="1" t="str">
        <f>_xlfn.TEXTBEFORE(_xlfn.TEXTAFTER(batch_summary[[#This Row],[video]],"_",1),"_",1)</f>
        <v>20260329</v>
      </c>
      <c r="AK282" s="1" t="str">
        <f>_xlfn.TEXTBEFORE(_xlfn.TEXTAFTER(batch_summary[[#This Row],[video]],"_",2),".",1)</f>
        <v>060000</v>
      </c>
    </row>
    <row r="283" spans="1:37" x14ac:dyDescent="0.2">
      <c r="A283" s="1" t="s">
        <v>3739</v>
      </c>
      <c r="B283" s="1" t="s">
        <v>3740</v>
      </c>
      <c r="C283">
        <v>119.95833333333333</v>
      </c>
      <c r="D283">
        <v>2879</v>
      </c>
      <c r="E283">
        <v>0.38002629857510328</v>
      </c>
      <c r="F283">
        <v>37.01717770844698</v>
      </c>
      <c r="G283">
        <v>1.3199940902226581E-4</v>
      </c>
      <c r="H283">
        <v>1.285765116653247E-2</v>
      </c>
      <c r="I283">
        <v>5</v>
      </c>
      <c r="J283" t="b">
        <v>1</v>
      </c>
      <c r="K283">
        <v>0.65</v>
      </c>
      <c r="L283">
        <v>1.3</v>
      </c>
      <c r="M283" t="b">
        <v>1</v>
      </c>
      <c r="N283">
        <v>200</v>
      </c>
      <c r="O283" t="b">
        <v>0</v>
      </c>
      <c r="P283" t="b">
        <v>0</v>
      </c>
      <c r="Q283">
        <v>0.7</v>
      </c>
      <c r="R283">
        <v>16954.253949403763</v>
      </c>
      <c r="S283">
        <v>19115.396593928337</v>
      </c>
      <c r="T283">
        <v>0</v>
      </c>
      <c r="U283">
        <v>0</v>
      </c>
      <c r="V283">
        <v>36069.6505433321</v>
      </c>
      <c r="W283">
        <v>0</v>
      </c>
      <c r="X283">
        <v>300.68482564778412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36069650543.3321</v>
      </c>
      <c r="AF283" s="1" t="s">
        <v>3741</v>
      </c>
      <c r="AG283" s="1" t="s">
        <v>3742</v>
      </c>
      <c r="AH283" s="1" t="s">
        <v>3743</v>
      </c>
      <c r="AI283" s="1" t="str">
        <f>_xlfn.TEXTAFTER(_xlfn.TEXTBEFORE(batch_summary[[#This Row],[video]],"_",1),"-",3)</f>
        <v>16</v>
      </c>
      <c r="AJ283" s="1" t="str">
        <f>_xlfn.TEXTBEFORE(_xlfn.TEXTAFTER(batch_summary[[#This Row],[video]],"_",1),"_",1)</f>
        <v>20260329</v>
      </c>
      <c r="AK283" s="1" t="str">
        <f>_xlfn.TEXTBEFORE(_xlfn.TEXTAFTER(batch_summary[[#This Row],[video]],"_",2),".",1)</f>
        <v>070000</v>
      </c>
    </row>
    <row r="284" spans="1:37" x14ac:dyDescent="0.2">
      <c r="A284" s="1" t="s">
        <v>3744</v>
      </c>
      <c r="B284" s="1" t="s">
        <v>3745</v>
      </c>
      <c r="C284">
        <v>119.95833333333333</v>
      </c>
      <c r="D284">
        <v>2879</v>
      </c>
      <c r="E284">
        <v>0.37653113529086113</v>
      </c>
      <c r="F284">
        <v>36.793430420570076</v>
      </c>
      <c r="G284">
        <v>1.3078538912499518E-4</v>
      </c>
      <c r="H284">
        <v>1.2779934150944798E-2</v>
      </c>
      <c r="I284">
        <v>5</v>
      </c>
      <c r="J284" t="b">
        <v>1</v>
      </c>
      <c r="K284">
        <v>0.65</v>
      </c>
      <c r="L284">
        <v>1.3</v>
      </c>
      <c r="M284" t="b">
        <v>1</v>
      </c>
      <c r="N284">
        <v>200</v>
      </c>
      <c r="O284" t="b">
        <v>0</v>
      </c>
      <c r="P284" t="b">
        <v>0</v>
      </c>
      <c r="Q284">
        <v>0.7</v>
      </c>
      <c r="R284">
        <v>4989.9341618418694</v>
      </c>
      <c r="S284">
        <v>8446.4031567573547</v>
      </c>
      <c r="T284">
        <v>0</v>
      </c>
      <c r="U284">
        <v>0</v>
      </c>
      <c r="V284">
        <v>13436.337318599224</v>
      </c>
      <c r="W284">
        <v>0</v>
      </c>
      <c r="X284">
        <v>112.00836944994144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13436337318.599224</v>
      </c>
      <c r="AF284" s="1" t="s">
        <v>3746</v>
      </c>
      <c r="AG284" s="1" t="s">
        <v>3747</v>
      </c>
      <c r="AH284" s="1" t="s">
        <v>3748</v>
      </c>
      <c r="AI284" s="1" t="str">
        <f>_xlfn.TEXTAFTER(_xlfn.TEXTBEFORE(batch_summary[[#This Row],[video]],"_",1),"-",3)</f>
        <v>16</v>
      </c>
      <c r="AJ284" s="1" t="str">
        <f>_xlfn.TEXTBEFORE(_xlfn.TEXTAFTER(batch_summary[[#This Row],[video]],"_",1),"_",1)</f>
        <v>20260329</v>
      </c>
      <c r="AK284" s="1" t="str">
        <f>_xlfn.TEXTBEFORE(_xlfn.TEXTAFTER(batch_summary[[#This Row],[video]],"_",2),".",1)</f>
        <v>080000</v>
      </c>
    </row>
    <row r="285" spans="1:37" x14ac:dyDescent="0.2">
      <c r="A285" s="1" t="s">
        <v>3749</v>
      </c>
      <c r="B285" s="1" t="s">
        <v>3750</v>
      </c>
      <c r="C285">
        <v>119.95833333333333</v>
      </c>
      <c r="D285">
        <v>2879</v>
      </c>
      <c r="E285">
        <v>0.38525962550193071</v>
      </c>
      <c r="F285">
        <v>37.067252553999424</v>
      </c>
      <c r="G285">
        <v>1.3381716759358481E-4</v>
      </c>
      <c r="H285">
        <v>1.2875044304966802E-2</v>
      </c>
      <c r="I285">
        <v>5</v>
      </c>
      <c r="J285" t="b">
        <v>1</v>
      </c>
      <c r="K285">
        <v>0.65</v>
      </c>
      <c r="L285">
        <v>1.3</v>
      </c>
      <c r="M285" t="b">
        <v>1</v>
      </c>
      <c r="N285">
        <v>200</v>
      </c>
      <c r="O285" t="b">
        <v>0</v>
      </c>
      <c r="P285" t="b">
        <v>0</v>
      </c>
      <c r="Q285">
        <v>0.7</v>
      </c>
      <c r="R285">
        <v>379401.8714209199</v>
      </c>
      <c r="S285">
        <v>313020.57910060883</v>
      </c>
      <c r="T285">
        <v>251480.87705230713</v>
      </c>
      <c r="U285">
        <v>218878.96230792999</v>
      </c>
      <c r="V285">
        <v>692422.45052152872</v>
      </c>
      <c r="W285">
        <v>470359.83936023712</v>
      </c>
      <c r="X285">
        <v>5772.1913207768985</v>
      </c>
      <c r="Y285">
        <v>3921.0267956393509</v>
      </c>
      <c r="Z285">
        <v>949.06953605651847</v>
      </c>
      <c r="AA285">
        <v>117.58995984005928</v>
      </c>
      <c r="AB285">
        <v>2514.8087705230714</v>
      </c>
      <c r="AC285">
        <v>2188.7896230792999</v>
      </c>
      <c r="AD285">
        <v>4703.5983936023713</v>
      </c>
      <c r="AE285">
        <v>1.4721121842871012</v>
      </c>
      <c r="AF285" s="1" t="s">
        <v>3751</v>
      </c>
      <c r="AG285" s="1" t="s">
        <v>3752</v>
      </c>
      <c r="AH285" s="1" t="s">
        <v>3753</v>
      </c>
      <c r="AI285" s="1" t="str">
        <f>_xlfn.TEXTAFTER(_xlfn.TEXTBEFORE(batch_summary[[#This Row],[video]],"_",1),"-",3)</f>
        <v>16</v>
      </c>
      <c r="AJ285" s="1" t="str">
        <f>_xlfn.TEXTBEFORE(_xlfn.TEXTAFTER(batch_summary[[#This Row],[video]],"_",1),"_",1)</f>
        <v>20260329</v>
      </c>
      <c r="AK285" s="1" t="str">
        <f>_xlfn.TEXTBEFORE(_xlfn.TEXTAFTER(batch_summary[[#This Row],[video]],"_",2),".",1)</f>
        <v>090000</v>
      </c>
    </row>
    <row r="286" spans="1:37" x14ac:dyDescent="0.2">
      <c r="A286" s="1" t="s">
        <v>3754</v>
      </c>
      <c r="B286" s="1" t="s">
        <v>3755</v>
      </c>
      <c r="C286">
        <v>119.95833333333333</v>
      </c>
      <c r="D286">
        <v>2879</v>
      </c>
      <c r="E286">
        <v>0.4142679488286376</v>
      </c>
      <c r="F286">
        <v>39.053844971582294</v>
      </c>
      <c r="G286">
        <v>1.4389300063516415E-4</v>
      </c>
      <c r="H286">
        <v>1.3565072932123062E-2</v>
      </c>
      <c r="I286">
        <v>5</v>
      </c>
      <c r="J286" t="b">
        <v>1</v>
      </c>
      <c r="K286">
        <v>0.65</v>
      </c>
      <c r="L286">
        <v>1.3</v>
      </c>
      <c r="M286" t="b">
        <v>1</v>
      </c>
      <c r="N286">
        <v>200</v>
      </c>
      <c r="O286" t="b">
        <v>0</v>
      </c>
      <c r="P286" t="b">
        <v>0</v>
      </c>
      <c r="Q286">
        <v>0.7</v>
      </c>
      <c r="R286">
        <v>3072194.1286302805</v>
      </c>
      <c r="S286">
        <v>3182838.8232898712</v>
      </c>
      <c r="T286">
        <v>2631976.2312728167</v>
      </c>
      <c r="U286">
        <v>2745434.2791442275</v>
      </c>
      <c r="V286">
        <v>6255032.9519201517</v>
      </c>
      <c r="W286">
        <v>5377410.5104170442</v>
      </c>
      <c r="X286">
        <v>52143.379939591403</v>
      </c>
      <c r="Y286">
        <v>44827.319294897206</v>
      </c>
      <c r="Z286">
        <v>3547.6082359504699</v>
      </c>
      <c r="AA286">
        <v>1344.352627604261</v>
      </c>
      <c r="AB286">
        <v>26319.762312728166</v>
      </c>
      <c r="AC286">
        <v>27454.342791442275</v>
      </c>
      <c r="AD286">
        <v>53774.105104170441</v>
      </c>
      <c r="AE286">
        <v>1.1632054015223479</v>
      </c>
      <c r="AF286" s="1" t="s">
        <v>3756</v>
      </c>
      <c r="AG286" s="1" t="s">
        <v>3757</v>
      </c>
      <c r="AH286" s="1" t="s">
        <v>3758</v>
      </c>
      <c r="AI286" s="1" t="str">
        <f>_xlfn.TEXTAFTER(_xlfn.TEXTBEFORE(batch_summary[[#This Row],[video]],"_",1),"-",3)</f>
        <v>16</v>
      </c>
      <c r="AJ286" s="1" t="str">
        <f>_xlfn.TEXTBEFORE(_xlfn.TEXTAFTER(batch_summary[[#This Row],[video]],"_",1),"_",1)</f>
        <v>20260329</v>
      </c>
      <c r="AK286" s="1" t="str">
        <f>_xlfn.TEXTBEFORE(_xlfn.TEXTAFTER(batch_summary[[#This Row],[video]],"_",2),".",1)</f>
        <v>100000</v>
      </c>
    </row>
    <row r="287" spans="1:37" x14ac:dyDescent="0.2">
      <c r="A287" s="1" t="s">
        <v>3759</v>
      </c>
      <c r="B287" s="1" t="s">
        <v>3760</v>
      </c>
      <c r="C287">
        <v>119.95833333333333</v>
      </c>
      <c r="D287">
        <v>2879</v>
      </c>
      <c r="E287">
        <v>0.41445113066583872</v>
      </c>
      <c r="F287">
        <v>39.355087709613144</v>
      </c>
      <c r="G287">
        <v>1.4395662753242055E-4</v>
      </c>
      <c r="H287">
        <v>1.3669707436475562E-2</v>
      </c>
      <c r="I287">
        <v>5</v>
      </c>
      <c r="J287" t="b">
        <v>1</v>
      </c>
      <c r="K287">
        <v>0.65</v>
      </c>
      <c r="L287">
        <v>1.3</v>
      </c>
      <c r="M287" t="b">
        <v>1</v>
      </c>
      <c r="N287">
        <v>200</v>
      </c>
      <c r="O287" t="b">
        <v>0</v>
      </c>
      <c r="P287" t="b">
        <v>0</v>
      </c>
      <c r="Q287">
        <v>0.7</v>
      </c>
      <c r="R287">
        <v>7399584.3453310728</v>
      </c>
      <c r="S287">
        <v>8003273.734183073</v>
      </c>
      <c r="T287">
        <v>6475847.5697530508</v>
      </c>
      <c r="U287">
        <v>7091039.5122002959</v>
      </c>
      <c r="V287">
        <v>15402858.079514146</v>
      </c>
      <c r="W287">
        <v>13566887.081953347</v>
      </c>
      <c r="X287">
        <v>128401.73459824227</v>
      </c>
      <c r="Y287">
        <v>113096.66202392509</v>
      </c>
      <c r="Z287">
        <v>5430.0598564863212</v>
      </c>
      <c r="AA287">
        <v>3391.7217704883369</v>
      </c>
      <c r="AB287">
        <v>64758.475697530506</v>
      </c>
      <c r="AC287">
        <v>70910.395122002956</v>
      </c>
      <c r="AD287">
        <v>135668.87081953348</v>
      </c>
      <c r="AE287">
        <v>1.1353273589195716</v>
      </c>
      <c r="AF287" s="1" t="s">
        <v>3761</v>
      </c>
      <c r="AG287" s="1" t="s">
        <v>3762</v>
      </c>
      <c r="AH287" s="1" t="s">
        <v>3763</v>
      </c>
      <c r="AI287" s="1" t="str">
        <f>_xlfn.TEXTAFTER(_xlfn.TEXTBEFORE(batch_summary[[#This Row],[video]],"_",1),"-",3)</f>
        <v>16</v>
      </c>
      <c r="AJ287" s="1" t="str">
        <f>_xlfn.TEXTBEFORE(_xlfn.TEXTAFTER(batch_summary[[#This Row],[video]],"_",1),"_",1)</f>
        <v>20260329</v>
      </c>
      <c r="AK287" s="1" t="str">
        <f>_xlfn.TEXTBEFORE(_xlfn.TEXTAFTER(batch_summary[[#This Row],[video]],"_",2),".",1)</f>
        <v>110000</v>
      </c>
    </row>
    <row r="288" spans="1:37" x14ac:dyDescent="0.2">
      <c r="A288" s="1" t="s">
        <v>3764</v>
      </c>
      <c r="B288" s="1" t="s">
        <v>3765</v>
      </c>
      <c r="C288">
        <v>119.95833333333333</v>
      </c>
      <c r="D288">
        <v>2879</v>
      </c>
      <c r="E288">
        <v>0.41057350300252438</v>
      </c>
      <c r="F288">
        <v>38.988943709991872</v>
      </c>
      <c r="G288">
        <v>1.4260976137635441E-4</v>
      </c>
      <c r="H288">
        <v>1.3542529944422324E-2</v>
      </c>
      <c r="I288">
        <v>5</v>
      </c>
      <c r="J288" t="b">
        <v>1</v>
      </c>
      <c r="K288">
        <v>0.65</v>
      </c>
      <c r="L288">
        <v>1.3</v>
      </c>
      <c r="M288" t="b">
        <v>1</v>
      </c>
      <c r="N288">
        <v>200</v>
      </c>
      <c r="O288" t="b">
        <v>0</v>
      </c>
      <c r="P288" t="b">
        <v>0</v>
      </c>
      <c r="Q288">
        <v>0.7</v>
      </c>
      <c r="R288">
        <v>6704328.6029517055</v>
      </c>
      <c r="S288">
        <v>6029694.2823321819</v>
      </c>
      <c r="T288">
        <v>5809764.5257787704</v>
      </c>
      <c r="U288">
        <v>5238919.3694622517</v>
      </c>
      <c r="V288">
        <v>12734022.885283887</v>
      </c>
      <c r="W288">
        <v>11048683.895241022</v>
      </c>
      <c r="X288">
        <v>106153.71630663887</v>
      </c>
      <c r="Y288">
        <v>92104.346469532669</v>
      </c>
      <c r="Z288">
        <v>6336.1388715028761</v>
      </c>
      <c r="AA288">
        <v>2762.1709738102554</v>
      </c>
      <c r="AB288">
        <v>58097.645257787706</v>
      </c>
      <c r="AC288">
        <v>52389.193694622518</v>
      </c>
      <c r="AD288">
        <v>110486.83895241022</v>
      </c>
      <c r="AE288">
        <v>1.1525375335218693</v>
      </c>
      <c r="AF288" s="1" t="s">
        <v>3766</v>
      </c>
      <c r="AG288" s="1" t="s">
        <v>3767</v>
      </c>
      <c r="AH288" s="1" t="s">
        <v>3768</v>
      </c>
      <c r="AI288" s="1" t="str">
        <f>_xlfn.TEXTAFTER(_xlfn.TEXTBEFORE(batch_summary[[#This Row],[video]],"_",1),"-",3)</f>
        <v>16</v>
      </c>
      <c r="AJ288" s="1" t="str">
        <f>_xlfn.TEXTBEFORE(_xlfn.TEXTAFTER(batch_summary[[#This Row],[video]],"_",1),"_",1)</f>
        <v>20260329</v>
      </c>
      <c r="AK288" s="1" t="str">
        <f>_xlfn.TEXTBEFORE(_xlfn.TEXTAFTER(batch_summary[[#This Row],[video]],"_",2),".",1)</f>
        <v>120000</v>
      </c>
    </row>
    <row r="289" spans="1:37" x14ac:dyDescent="0.2">
      <c r="A289" s="1" t="s">
        <v>3769</v>
      </c>
      <c r="B289" s="1" t="s">
        <v>3770</v>
      </c>
      <c r="C289">
        <v>119.95833333333333</v>
      </c>
      <c r="D289">
        <v>2879</v>
      </c>
      <c r="E289">
        <v>0.41244589164853096</v>
      </c>
      <c r="F289">
        <v>39.06048712041229</v>
      </c>
      <c r="G289">
        <v>1.4326012214259498E-4</v>
      </c>
      <c r="H289">
        <v>1.3567380034877488E-2</v>
      </c>
      <c r="I289">
        <v>5</v>
      </c>
      <c r="J289" t="b">
        <v>1</v>
      </c>
      <c r="K289">
        <v>0.65</v>
      </c>
      <c r="L289">
        <v>1.3</v>
      </c>
      <c r="M289" t="b">
        <v>1</v>
      </c>
      <c r="N289">
        <v>200</v>
      </c>
      <c r="O289" t="b">
        <v>0</v>
      </c>
      <c r="P289" t="b">
        <v>0</v>
      </c>
      <c r="Q289">
        <v>0.7</v>
      </c>
      <c r="R289">
        <v>5484551.8798776865</v>
      </c>
      <c r="S289">
        <v>5032706.1734328866</v>
      </c>
      <c r="T289">
        <v>4714055.9380833507</v>
      </c>
      <c r="U289">
        <v>4318942.260885179</v>
      </c>
      <c r="V289">
        <v>10517258.053310573</v>
      </c>
      <c r="W289">
        <v>9032998.1989685297</v>
      </c>
      <c r="X289">
        <v>87674.259562158302</v>
      </c>
      <c r="Y289">
        <v>75301.131217521615</v>
      </c>
      <c r="Z289">
        <v>4729.4486474490168</v>
      </c>
      <c r="AA289">
        <v>2258.2495497421323</v>
      </c>
      <c r="AB289">
        <v>47140.559380833503</v>
      </c>
      <c r="AC289">
        <v>43189.42260885179</v>
      </c>
      <c r="AD289">
        <v>90329.981989685301</v>
      </c>
      <c r="AE289">
        <v>1.1643153050236996</v>
      </c>
      <c r="AF289" s="1" t="s">
        <v>3771</v>
      </c>
      <c r="AG289" s="1" t="s">
        <v>3772</v>
      </c>
      <c r="AH289" s="1" t="s">
        <v>3773</v>
      </c>
      <c r="AI289" s="1" t="str">
        <f>_xlfn.TEXTAFTER(_xlfn.TEXTBEFORE(batch_summary[[#This Row],[video]],"_",1),"-",3)</f>
        <v>16</v>
      </c>
      <c r="AJ289" s="1" t="str">
        <f>_xlfn.TEXTBEFORE(_xlfn.TEXTAFTER(batch_summary[[#This Row],[video]],"_",1),"_",1)</f>
        <v>20260329</v>
      </c>
      <c r="AK289" s="1" t="str">
        <f>_xlfn.TEXTBEFORE(_xlfn.TEXTAFTER(batch_summary[[#This Row],[video]],"_",2),".",1)</f>
        <v>130000</v>
      </c>
    </row>
    <row r="290" spans="1:37" x14ac:dyDescent="0.2">
      <c r="A290" s="1" t="s">
        <v>3774</v>
      </c>
      <c r="B290" s="1" t="s">
        <v>3775</v>
      </c>
      <c r="C290">
        <v>119.95833333333333</v>
      </c>
      <c r="D290">
        <v>2879</v>
      </c>
      <c r="E290">
        <v>0.41020759847015142</v>
      </c>
      <c r="F290">
        <v>39.028357269242406</v>
      </c>
      <c r="G290">
        <v>1.4248266706153227E-4</v>
      </c>
      <c r="H290">
        <v>1.3556219961529144E-2</v>
      </c>
      <c r="I290">
        <v>5</v>
      </c>
      <c r="J290" t="b">
        <v>1</v>
      </c>
      <c r="K290">
        <v>0.65</v>
      </c>
      <c r="L290">
        <v>1.3</v>
      </c>
      <c r="M290" t="b">
        <v>1</v>
      </c>
      <c r="N290">
        <v>200</v>
      </c>
      <c r="O290" t="b">
        <v>0</v>
      </c>
      <c r="P290" t="b">
        <v>0</v>
      </c>
      <c r="Q290">
        <v>0.7</v>
      </c>
      <c r="R290">
        <v>6321160.4938488007</v>
      </c>
      <c r="S290">
        <v>6492233.4851636887</v>
      </c>
      <c r="T290">
        <v>5564526.9886063337</v>
      </c>
      <c r="U290">
        <v>5746643.0611498356</v>
      </c>
      <c r="V290">
        <v>12813393.979012489</v>
      </c>
      <c r="W290">
        <v>11311170.049756169</v>
      </c>
      <c r="X290">
        <v>106815.37182921145</v>
      </c>
      <c r="Y290">
        <v>94292.490862851017</v>
      </c>
      <c r="Z290">
        <v>5593.5160051727298</v>
      </c>
      <c r="AA290">
        <v>2827.7925124390426</v>
      </c>
      <c r="AB290">
        <v>55645.269886063339</v>
      </c>
      <c r="AC290">
        <v>57466.430611498356</v>
      </c>
      <c r="AD290">
        <v>113111.70049756169</v>
      </c>
      <c r="AE290">
        <v>1.1328088891465922</v>
      </c>
      <c r="AF290" s="1" t="s">
        <v>3776</v>
      </c>
      <c r="AG290" s="1" t="s">
        <v>3777</v>
      </c>
      <c r="AH290" s="1" t="s">
        <v>3778</v>
      </c>
      <c r="AI290" s="1" t="str">
        <f>_xlfn.TEXTAFTER(_xlfn.TEXTBEFORE(batch_summary[[#This Row],[video]],"_",1),"-",3)</f>
        <v>16</v>
      </c>
      <c r="AJ290" s="1" t="str">
        <f>_xlfn.TEXTBEFORE(_xlfn.TEXTAFTER(batch_summary[[#This Row],[video]],"_",1),"_",1)</f>
        <v>20260329</v>
      </c>
      <c r="AK290" s="1" t="str">
        <f>_xlfn.TEXTBEFORE(_xlfn.TEXTAFTER(batch_summary[[#This Row],[video]],"_",2),".",1)</f>
        <v>140000</v>
      </c>
    </row>
    <row r="291" spans="1:37" x14ac:dyDescent="0.2">
      <c r="A291" s="1" t="s">
        <v>3779</v>
      </c>
      <c r="B291" s="1" t="s">
        <v>3780</v>
      </c>
      <c r="C291">
        <v>119.95833333333333</v>
      </c>
      <c r="D291">
        <v>2879</v>
      </c>
      <c r="E291">
        <v>0.40652496553957462</v>
      </c>
      <c r="F291">
        <v>38.450272371061146</v>
      </c>
      <c r="G291">
        <v>1.412035309272576E-4</v>
      </c>
      <c r="H291">
        <v>1.3355426318534612E-2</v>
      </c>
      <c r="I291">
        <v>5</v>
      </c>
      <c r="J291" t="b">
        <v>1</v>
      </c>
      <c r="K291">
        <v>0.65</v>
      </c>
      <c r="L291">
        <v>1.3</v>
      </c>
      <c r="M291" t="b">
        <v>1</v>
      </c>
      <c r="N291">
        <v>200</v>
      </c>
      <c r="O291" t="b">
        <v>0</v>
      </c>
      <c r="P291" t="b">
        <v>0</v>
      </c>
      <c r="Q291">
        <v>0.7</v>
      </c>
      <c r="R291">
        <v>2419050.4577830434</v>
      </c>
      <c r="S291">
        <v>2711794.814299047</v>
      </c>
      <c r="T291">
        <v>2077648.1816814542</v>
      </c>
      <c r="U291">
        <v>2315179.6826679111</v>
      </c>
      <c r="V291">
        <v>5130845.2720820904</v>
      </c>
      <c r="W291">
        <v>4392827.8643493652</v>
      </c>
      <c r="X291">
        <v>42771.895286547471</v>
      </c>
      <c r="Y291">
        <v>36619.614013332677</v>
      </c>
      <c r="Z291">
        <v>2437.933037786484</v>
      </c>
      <c r="AA291">
        <v>1098.2069660873412</v>
      </c>
      <c r="AB291">
        <v>20776.481816814543</v>
      </c>
      <c r="AC291">
        <v>23151.79682667911</v>
      </c>
      <c r="AD291">
        <v>43928.278643493657</v>
      </c>
      <c r="AE291">
        <v>1.1680050824941748</v>
      </c>
      <c r="AF291" s="1" t="s">
        <v>3781</v>
      </c>
      <c r="AG291" s="1" t="s">
        <v>3782</v>
      </c>
      <c r="AH291" s="1" t="s">
        <v>3783</v>
      </c>
      <c r="AI291" s="1" t="str">
        <f>_xlfn.TEXTAFTER(_xlfn.TEXTBEFORE(batch_summary[[#This Row],[video]],"_",1),"-",3)</f>
        <v>16</v>
      </c>
      <c r="AJ291" s="1" t="str">
        <f>_xlfn.TEXTBEFORE(_xlfn.TEXTAFTER(batch_summary[[#This Row],[video]],"_",1),"_",1)</f>
        <v>20260329</v>
      </c>
      <c r="AK291" s="1" t="str">
        <f>_xlfn.TEXTBEFORE(_xlfn.TEXTAFTER(batch_summary[[#This Row],[video]],"_",2),".",1)</f>
        <v>150000</v>
      </c>
    </row>
    <row r="292" spans="1:37" x14ac:dyDescent="0.2">
      <c r="A292" s="1" t="s">
        <v>3784</v>
      </c>
      <c r="B292" s="1" t="s">
        <v>3785</v>
      </c>
      <c r="C292">
        <v>119.95833333333333</v>
      </c>
      <c r="D292">
        <v>2879</v>
      </c>
      <c r="E292">
        <v>0.41341354977339506</v>
      </c>
      <c r="F292">
        <v>38.939933249726892</v>
      </c>
      <c r="G292">
        <v>1.4359623125161344E-4</v>
      </c>
      <c r="H292">
        <v>1.3525506512583151E-2</v>
      </c>
      <c r="I292">
        <v>5</v>
      </c>
      <c r="J292" t="b">
        <v>1</v>
      </c>
      <c r="K292">
        <v>0.65</v>
      </c>
      <c r="L292">
        <v>1.3</v>
      </c>
      <c r="M292" t="b">
        <v>1</v>
      </c>
      <c r="N292">
        <v>200</v>
      </c>
      <c r="O292" t="b">
        <v>0</v>
      </c>
      <c r="P292" t="b">
        <v>0</v>
      </c>
      <c r="Q292">
        <v>0.7</v>
      </c>
      <c r="R292">
        <v>2863413.4043926597</v>
      </c>
      <c r="S292">
        <v>3101525.5170587301</v>
      </c>
      <c r="T292">
        <v>2542309.7859682441</v>
      </c>
      <c r="U292">
        <v>2722173.0049214363</v>
      </c>
      <c r="V292">
        <v>5964938.9214513898</v>
      </c>
      <c r="W292">
        <v>5264482.7908896804</v>
      </c>
      <c r="X292">
        <v>49725.090001678836</v>
      </c>
      <c r="Y292">
        <v>43885.928093557603</v>
      </c>
      <c r="Z292">
        <v>4968.3522073745726</v>
      </c>
      <c r="AA292">
        <v>1316.1206977224201</v>
      </c>
      <c r="AB292">
        <v>25423.097859682443</v>
      </c>
      <c r="AC292">
        <v>27221.730049214362</v>
      </c>
      <c r="AD292">
        <v>52644.827908896805</v>
      </c>
      <c r="AE292">
        <v>1.1330531712961178</v>
      </c>
      <c r="AF292" s="1" t="s">
        <v>3786</v>
      </c>
      <c r="AG292" s="1" t="s">
        <v>3787</v>
      </c>
      <c r="AH292" s="1" t="s">
        <v>3788</v>
      </c>
      <c r="AI292" s="1" t="str">
        <f>_xlfn.TEXTAFTER(_xlfn.TEXTBEFORE(batch_summary[[#This Row],[video]],"_",1),"-",3)</f>
        <v>16</v>
      </c>
      <c r="AJ292" s="1" t="str">
        <f>_xlfn.TEXTBEFORE(_xlfn.TEXTAFTER(batch_summary[[#This Row],[video]],"_",1),"_",1)</f>
        <v>20260329</v>
      </c>
      <c r="AK292" s="1" t="str">
        <f>_xlfn.TEXTBEFORE(_xlfn.TEXTAFTER(batch_summary[[#This Row],[video]],"_",2),".",1)</f>
        <v>160000</v>
      </c>
    </row>
    <row r="293" spans="1:37" x14ac:dyDescent="0.2">
      <c r="A293" s="1" t="s">
        <v>3789</v>
      </c>
      <c r="B293" s="1" t="s">
        <v>3790</v>
      </c>
      <c r="C293">
        <v>119.95833333333333</v>
      </c>
      <c r="D293">
        <v>2879</v>
      </c>
      <c r="E293">
        <v>0.39922300446778536</v>
      </c>
      <c r="F293">
        <v>38.064854848198593</v>
      </c>
      <c r="G293">
        <v>1.3866724712323215E-4</v>
      </c>
      <c r="H293">
        <v>1.3221554306425354E-2</v>
      </c>
      <c r="I293">
        <v>5</v>
      </c>
      <c r="J293" t="b">
        <v>1</v>
      </c>
      <c r="K293">
        <v>0.65</v>
      </c>
      <c r="L293">
        <v>1.3</v>
      </c>
      <c r="M293" t="b">
        <v>1</v>
      </c>
      <c r="N293">
        <v>200</v>
      </c>
      <c r="O293" t="b">
        <v>0</v>
      </c>
      <c r="P293" t="b">
        <v>0</v>
      </c>
      <c r="Q293">
        <v>0.7</v>
      </c>
      <c r="R293">
        <v>1525208.2031741738</v>
      </c>
      <c r="S293">
        <v>1630155.7164698839</v>
      </c>
      <c r="T293">
        <v>1365107.1493980289</v>
      </c>
      <c r="U293">
        <v>1451986.4504794478</v>
      </c>
      <c r="V293">
        <v>3155363.9196440578</v>
      </c>
      <c r="W293">
        <v>2817093.5998774767</v>
      </c>
      <c r="X293">
        <v>26303.83260557742</v>
      </c>
      <c r="Y293">
        <v>23483.934142778548</v>
      </c>
      <c r="Z293">
        <v>3224.0935995769505</v>
      </c>
      <c r="AA293">
        <v>704.27339996936917</v>
      </c>
      <c r="AB293">
        <v>13651.071493980289</v>
      </c>
      <c r="AC293">
        <v>14519.864504794479</v>
      </c>
      <c r="AD293">
        <v>28170.935998774767</v>
      </c>
      <c r="AE293">
        <v>1.1200777708562091</v>
      </c>
      <c r="AF293" s="1" t="s">
        <v>3791</v>
      </c>
      <c r="AG293" s="1" t="s">
        <v>3792</v>
      </c>
      <c r="AH293" s="1" t="s">
        <v>3793</v>
      </c>
      <c r="AI293" s="1" t="str">
        <f>_xlfn.TEXTAFTER(_xlfn.TEXTBEFORE(batch_summary[[#This Row],[video]],"_",1),"-",3)</f>
        <v>16</v>
      </c>
      <c r="AJ293" s="1" t="str">
        <f>_xlfn.TEXTBEFORE(_xlfn.TEXTAFTER(batch_summary[[#This Row],[video]],"_",1),"_",1)</f>
        <v>20260329</v>
      </c>
      <c r="AK293" s="1" t="str">
        <f>_xlfn.TEXTBEFORE(_xlfn.TEXTAFTER(batch_summary[[#This Row],[video]],"_",2),".",1)</f>
        <v>170000</v>
      </c>
    </row>
    <row r="294" spans="1:37" x14ac:dyDescent="0.2">
      <c r="A294" s="1" t="s">
        <v>3794</v>
      </c>
      <c r="B294" s="1" t="s">
        <v>3795</v>
      </c>
      <c r="C294">
        <v>119.95833333333333</v>
      </c>
      <c r="D294">
        <v>2879</v>
      </c>
      <c r="E294">
        <v>0.38625702261924744</v>
      </c>
      <c r="F294">
        <v>37.370685056783259</v>
      </c>
      <c r="G294">
        <v>1.3416360632832492E-4</v>
      </c>
      <c r="H294">
        <v>1.2980439408399881E-2</v>
      </c>
      <c r="I294">
        <v>5</v>
      </c>
      <c r="J294" t="b">
        <v>1</v>
      </c>
      <c r="K294">
        <v>0.65</v>
      </c>
      <c r="L294">
        <v>1.3</v>
      </c>
      <c r="M294" t="b">
        <v>1</v>
      </c>
      <c r="N294">
        <v>200</v>
      </c>
      <c r="O294" t="b">
        <v>0</v>
      </c>
      <c r="P294" t="b">
        <v>0</v>
      </c>
      <c r="Q294">
        <v>0.7</v>
      </c>
      <c r="R294">
        <v>275155.31946897507</v>
      </c>
      <c r="S294">
        <v>235453.11547315121</v>
      </c>
      <c r="T294">
        <v>248295.97836303711</v>
      </c>
      <c r="U294">
        <v>204458.94152092934</v>
      </c>
      <c r="V294">
        <v>510608.43494212627</v>
      </c>
      <c r="W294">
        <v>452754.91988396645</v>
      </c>
      <c r="X294">
        <v>4256.5482593299866</v>
      </c>
      <c r="Y294">
        <v>3774.2681754828741</v>
      </c>
      <c r="Z294">
        <v>1187.9016596508027</v>
      </c>
      <c r="AA294">
        <v>113.1887299709916</v>
      </c>
      <c r="AB294">
        <v>2482.959783630371</v>
      </c>
      <c r="AC294">
        <v>2044.5894152092933</v>
      </c>
      <c r="AD294">
        <v>4527.5491988396643</v>
      </c>
      <c r="AE294">
        <v>1.1277810853452166</v>
      </c>
      <c r="AF294" s="1" t="s">
        <v>3796</v>
      </c>
      <c r="AG294" s="1" t="s">
        <v>3797</v>
      </c>
      <c r="AH294" s="1" t="s">
        <v>3798</v>
      </c>
      <c r="AI294" s="1" t="str">
        <f>_xlfn.TEXTAFTER(_xlfn.TEXTBEFORE(batch_summary[[#This Row],[video]],"_",1),"-",3)</f>
        <v>16</v>
      </c>
      <c r="AJ294" s="1" t="str">
        <f>_xlfn.TEXTBEFORE(_xlfn.TEXTAFTER(batch_summary[[#This Row],[video]],"_",1),"_",1)</f>
        <v>20260329</v>
      </c>
      <c r="AK294" s="1" t="str">
        <f>_xlfn.TEXTBEFORE(_xlfn.TEXTAFTER(batch_summary[[#This Row],[video]],"_",2),".",1)</f>
        <v>180000</v>
      </c>
    </row>
    <row r="295" spans="1:37" x14ac:dyDescent="0.2">
      <c r="A295" s="1" t="s">
        <v>3799</v>
      </c>
      <c r="B295" s="1" t="s">
        <v>3800</v>
      </c>
      <c r="C295">
        <v>119.95833333333333</v>
      </c>
      <c r="D295">
        <v>2879</v>
      </c>
      <c r="E295">
        <v>0.37717173807322979</v>
      </c>
      <c r="F295">
        <v>36.986723021604121</v>
      </c>
      <c r="G295">
        <v>1.3100789790664459E-4</v>
      </c>
      <c r="H295">
        <v>1.2847072949497784E-2</v>
      </c>
      <c r="I295">
        <v>5</v>
      </c>
      <c r="J295" t="b">
        <v>1</v>
      </c>
      <c r="K295">
        <v>0.65</v>
      </c>
      <c r="L295">
        <v>1.3</v>
      </c>
      <c r="M295" t="b">
        <v>1</v>
      </c>
      <c r="N295">
        <v>200</v>
      </c>
      <c r="O295" t="b">
        <v>0</v>
      </c>
      <c r="P295" t="b">
        <v>0</v>
      </c>
      <c r="Q295">
        <v>0.7</v>
      </c>
      <c r="R295">
        <v>5390.3360307216644</v>
      </c>
      <c r="S295">
        <v>5761.5668001174927</v>
      </c>
      <c r="T295">
        <v>259.84039306640625</v>
      </c>
      <c r="U295">
        <v>0</v>
      </c>
      <c r="V295">
        <v>11151.902830839157</v>
      </c>
      <c r="W295">
        <v>259.84039306640625</v>
      </c>
      <c r="X295">
        <v>92.964803035824858</v>
      </c>
      <c r="Y295">
        <v>2.1660887230266588</v>
      </c>
      <c r="Z295">
        <v>2.5984039306640625</v>
      </c>
      <c r="AA295">
        <v>6.4960098266601568E-2</v>
      </c>
      <c r="AB295">
        <v>2.5984039306640625</v>
      </c>
      <c r="AC295">
        <v>0</v>
      </c>
      <c r="AD295">
        <v>2.5984039306640625</v>
      </c>
      <c r="AE295">
        <v>42.918280330607082</v>
      </c>
      <c r="AF295" s="1" t="s">
        <v>3801</v>
      </c>
      <c r="AG295" s="1" t="s">
        <v>3802</v>
      </c>
      <c r="AH295" s="1" t="s">
        <v>3803</v>
      </c>
      <c r="AI295" s="1" t="str">
        <f>_xlfn.TEXTAFTER(_xlfn.TEXTBEFORE(batch_summary[[#This Row],[video]],"_",1),"-",3)</f>
        <v>16</v>
      </c>
      <c r="AJ295" s="1" t="str">
        <f>_xlfn.TEXTBEFORE(_xlfn.TEXTAFTER(batch_summary[[#This Row],[video]],"_",1),"_",1)</f>
        <v>20260329</v>
      </c>
      <c r="AK295" s="1" t="str">
        <f>_xlfn.TEXTBEFORE(_xlfn.TEXTAFTER(batch_summary[[#This Row],[video]],"_",2),".",1)</f>
        <v>190000</v>
      </c>
    </row>
    <row r="296" spans="1:37" x14ac:dyDescent="0.2">
      <c r="A296" s="1" t="s">
        <v>3804</v>
      </c>
      <c r="B296" s="1" t="s">
        <v>3805</v>
      </c>
      <c r="C296">
        <v>119.95833333333333</v>
      </c>
      <c r="D296">
        <v>2879</v>
      </c>
      <c r="E296">
        <v>0.38297442253679037</v>
      </c>
      <c r="F296">
        <v>37.174277193844318</v>
      </c>
      <c r="G296">
        <v>1.3302341873455727E-4</v>
      </c>
      <c r="H296">
        <v>1.291221854596885E-2</v>
      </c>
      <c r="I296">
        <v>5</v>
      </c>
      <c r="J296" t="b">
        <v>1</v>
      </c>
      <c r="K296">
        <v>0.65</v>
      </c>
      <c r="L296">
        <v>1.3</v>
      </c>
      <c r="M296" t="b">
        <v>1</v>
      </c>
      <c r="N296">
        <v>200</v>
      </c>
      <c r="O296" t="b">
        <v>0</v>
      </c>
      <c r="P296" t="b">
        <v>0</v>
      </c>
      <c r="Q296">
        <v>0.7</v>
      </c>
      <c r="R296">
        <v>67817.214759528637</v>
      </c>
      <c r="S296">
        <v>72911.891226828098</v>
      </c>
      <c r="T296">
        <v>2041.5735626220703</v>
      </c>
      <c r="U296">
        <v>1038.2407684326172</v>
      </c>
      <c r="V296">
        <v>140729.10598635674</v>
      </c>
      <c r="W296">
        <v>3079.8143310546875</v>
      </c>
      <c r="X296">
        <v>1173.1498935993616</v>
      </c>
      <c r="Y296">
        <v>25.674034020601773</v>
      </c>
      <c r="Z296">
        <v>8.4835522460937494</v>
      </c>
      <c r="AA296">
        <v>0.76995358276367187</v>
      </c>
      <c r="AB296">
        <v>20.415735626220702</v>
      </c>
      <c r="AC296">
        <v>10.382407684326171</v>
      </c>
      <c r="AD296">
        <v>30.798143310546873</v>
      </c>
      <c r="AE296">
        <v>45.694022710181954</v>
      </c>
      <c r="AF296" s="1" t="s">
        <v>3806</v>
      </c>
      <c r="AG296" s="1" t="s">
        <v>3807</v>
      </c>
      <c r="AH296" s="1" t="s">
        <v>3808</v>
      </c>
      <c r="AI296" s="1" t="str">
        <f>_xlfn.TEXTAFTER(_xlfn.TEXTBEFORE(batch_summary[[#This Row],[video]],"_",1),"-",3)</f>
        <v>16</v>
      </c>
      <c r="AJ296" s="1" t="str">
        <f>_xlfn.TEXTBEFORE(_xlfn.TEXTAFTER(batch_summary[[#This Row],[video]],"_",1),"_",1)</f>
        <v>20260330</v>
      </c>
      <c r="AK296" s="1" t="str">
        <f>_xlfn.TEXTBEFORE(_xlfn.TEXTAFTER(batch_summary[[#This Row],[video]],"_",2),".",1)</f>
        <v>060000</v>
      </c>
    </row>
    <row r="297" spans="1:37" x14ac:dyDescent="0.2">
      <c r="A297" s="1" t="s">
        <v>3809</v>
      </c>
      <c r="B297" s="1" t="s">
        <v>3810</v>
      </c>
      <c r="C297">
        <v>119.95833333333333</v>
      </c>
      <c r="D297">
        <v>2879</v>
      </c>
      <c r="E297">
        <v>0.39193511381745338</v>
      </c>
      <c r="F297">
        <v>37.439325777813792</v>
      </c>
      <c r="G297">
        <v>1.3613585057917798E-4</v>
      </c>
      <c r="H297">
        <v>1.3004281270515384E-2</v>
      </c>
      <c r="I297">
        <v>5</v>
      </c>
      <c r="J297" t="b">
        <v>1</v>
      </c>
      <c r="K297">
        <v>0.65</v>
      </c>
      <c r="L297">
        <v>1.3</v>
      </c>
      <c r="M297" t="b">
        <v>1</v>
      </c>
      <c r="N297">
        <v>200</v>
      </c>
      <c r="O297" t="b">
        <v>0</v>
      </c>
      <c r="P297" t="b">
        <v>0</v>
      </c>
      <c r="Q297">
        <v>0.7</v>
      </c>
      <c r="R297">
        <v>3401.470520734787</v>
      </c>
      <c r="S297">
        <v>5571.0761013031006</v>
      </c>
      <c r="T297">
        <v>0</v>
      </c>
      <c r="U297">
        <v>0</v>
      </c>
      <c r="V297">
        <v>8972.5466220378876</v>
      </c>
      <c r="W297">
        <v>0</v>
      </c>
      <c r="X297">
        <v>74.797193097919177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8972546622.0378876</v>
      </c>
      <c r="AF297" s="1" t="s">
        <v>3811</v>
      </c>
      <c r="AG297" s="1" t="s">
        <v>3812</v>
      </c>
      <c r="AH297" s="1" t="s">
        <v>3813</v>
      </c>
      <c r="AI297" s="1" t="str">
        <f>_xlfn.TEXTAFTER(_xlfn.TEXTBEFORE(batch_summary[[#This Row],[video]],"_",1),"-",3)</f>
        <v>16</v>
      </c>
      <c r="AJ297" s="1" t="str">
        <f>_xlfn.TEXTBEFORE(_xlfn.TEXTAFTER(batch_summary[[#This Row],[video]],"_",1),"_",1)</f>
        <v>20260330</v>
      </c>
      <c r="AK297" s="1" t="str">
        <f>_xlfn.TEXTBEFORE(_xlfn.TEXTAFTER(batch_summary[[#This Row],[video]],"_",2),".",1)</f>
        <v>070000</v>
      </c>
    </row>
    <row r="298" spans="1:37" x14ac:dyDescent="0.2">
      <c r="A298" s="1" t="s">
        <v>3814</v>
      </c>
      <c r="B298" s="1" t="s">
        <v>3815</v>
      </c>
      <c r="C298">
        <v>119.95833333333333</v>
      </c>
      <c r="D298">
        <v>2879</v>
      </c>
      <c r="E298">
        <v>0.38295931369066238</v>
      </c>
      <c r="F298">
        <v>36.895556169562042</v>
      </c>
      <c r="G298">
        <v>1.3301817078522488E-4</v>
      </c>
      <c r="H298">
        <v>1.2815406797347009E-2</v>
      </c>
      <c r="I298">
        <v>5</v>
      </c>
      <c r="J298" t="b">
        <v>1</v>
      </c>
      <c r="K298">
        <v>0.65</v>
      </c>
      <c r="L298">
        <v>1.3</v>
      </c>
      <c r="M298" t="b">
        <v>1</v>
      </c>
      <c r="N298">
        <v>200</v>
      </c>
      <c r="O298" t="b">
        <v>0</v>
      </c>
      <c r="P298" t="b">
        <v>0</v>
      </c>
      <c r="Q298">
        <v>0.7</v>
      </c>
      <c r="R298">
        <v>1007.2375565767288</v>
      </c>
      <c r="S298">
        <v>1213.7677379250526</v>
      </c>
      <c r="T298">
        <v>0</v>
      </c>
      <c r="U298">
        <v>0</v>
      </c>
      <c r="V298">
        <v>2221.0052945017815</v>
      </c>
      <c r="W298">
        <v>0</v>
      </c>
      <c r="X298">
        <v>18.514806206336491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2221005294.5017815</v>
      </c>
      <c r="AF298" s="1" t="s">
        <v>3816</v>
      </c>
      <c r="AG298" s="1" t="s">
        <v>3817</v>
      </c>
      <c r="AH298" s="1" t="s">
        <v>3818</v>
      </c>
      <c r="AI298" s="1" t="str">
        <f>_xlfn.TEXTAFTER(_xlfn.TEXTBEFORE(batch_summary[[#This Row],[video]],"_",1),"-",3)</f>
        <v>16</v>
      </c>
      <c r="AJ298" s="1" t="str">
        <f>_xlfn.TEXTBEFORE(_xlfn.TEXTAFTER(batch_summary[[#This Row],[video]],"_",1),"_",1)</f>
        <v>20260330</v>
      </c>
      <c r="AK298" s="1" t="str">
        <f>_xlfn.TEXTBEFORE(_xlfn.TEXTAFTER(batch_summary[[#This Row],[video]],"_",2),".",1)</f>
        <v>080000</v>
      </c>
    </row>
    <row r="299" spans="1:37" x14ac:dyDescent="0.2">
      <c r="A299" s="1" t="s">
        <v>3819</v>
      </c>
      <c r="B299" s="1" t="s">
        <v>3820</v>
      </c>
      <c r="C299">
        <v>119.95833333333333</v>
      </c>
      <c r="D299">
        <v>2879</v>
      </c>
      <c r="E299">
        <v>0.38343985378742218</v>
      </c>
      <c r="F299">
        <v>37.21431234292686</v>
      </c>
      <c r="G299">
        <v>1.3318508294109837E-4</v>
      </c>
      <c r="H299">
        <v>1.2926124467845385E-2</v>
      </c>
      <c r="I299">
        <v>5</v>
      </c>
      <c r="J299" t="b">
        <v>1</v>
      </c>
      <c r="K299">
        <v>0.65</v>
      </c>
      <c r="L299">
        <v>1.3</v>
      </c>
      <c r="M299" t="b">
        <v>1</v>
      </c>
      <c r="N299">
        <v>200</v>
      </c>
      <c r="O299" t="b">
        <v>0</v>
      </c>
      <c r="P299" t="b">
        <v>0</v>
      </c>
      <c r="Q299">
        <v>0.7</v>
      </c>
      <c r="R299">
        <v>277647.47037142515</v>
      </c>
      <c r="S299">
        <v>346965.80504107475</v>
      </c>
      <c r="T299">
        <v>227160.54423332214</v>
      </c>
      <c r="U299">
        <v>283740.9133605957</v>
      </c>
      <c r="V299">
        <v>624613.2754124999</v>
      </c>
      <c r="W299">
        <v>510901.45759391785</v>
      </c>
      <c r="X299">
        <v>5206.9185862799577</v>
      </c>
      <c r="Y299">
        <v>4258.9909629225522</v>
      </c>
      <c r="Z299">
        <v>1147.4768687438964</v>
      </c>
      <c r="AA299">
        <v>127.72536439847947</v>
      </c>
      <c r="AB299">
        <v>2271.6054423332216</v>
      </c>
      <c r="AC299">
        <v>2837.4091336059569</v>
      </c>
      <c r="AD299">
        <v>5109.014575939178</v>
      </c>
      <c r="AE299">
        <v>1.2225709403024725</v>
      </c>
      <c r="AF299" s="1" t="s">
        <v>3821</v>
      </c>
      <c r="AG299" s="1" t="s">
        <v>3822</v>
      </c>
      <c r="AH299" s="1" t="s">
        <v>3823</v>
      </c>
      <c r="AI299" s="1" t="str">
        <f>_xlfn.TEXTAFTER(_xlfn.TEXTBEFORE(batch_summary[[#This Row],[video]],"_",1),"-",3)</f>
        <v>16</v>
      </c>
      <c r="AJ299" s="1" t="str">
        <f>_xlfn.TEXTBEFORE(_xlfn.TEXTAFTER(batch_summary[[#This Row],[video]],"_",1),"_",1)</f>
        <v>20260330</v>
      </c>
      <c r="AK299" s="1" t="str">
        <f>_xlfn.TEXTBEFORE(_xlfn.TEXTAFTER(batch_summary[[#This Row],[video]],"_",2),".",1)</f>
        <v>090000</v>
      </c>
    </row>
    <row r="300" spans="1:37" x14ac:dyDescent="0.2">
      <c r="A300" s="1" t="s">
        <v>3824</v>
      </c>
      <c r="B300" s="1" t="s">
        <v>3825</v>
      </c>
      <c r="C300">
        <v>119.95833333333333</v>
      </c>
      <c r="D300">
        <v>2879</v>
      </c>
      <c r="E300">
        <v>0.39579890854656696</v>
      </c>
      <c r="F300">
        <v>37.855329710058868</v>
      </c>
      <c r="G300">
        <v>1.3747791196476797E-4</v>
      </c>
      <c r="H300">
        <v>1.3148777252538683E-2</v>
      </c>
      <c r="I300">
        <v>5</v>
      </c>
      <c r="J300" t="b">
        <v>1</v>
      </c>
      <c r="K300">
        <v>0.65</v>
      </c>
      <c r="L300">
        <v>1.3</v>
      </c>
      <c r="M300" t="b">
        <v>1</v>
      </c>
      <c r="N300">
        <v>200</v>
      </c>
      <c r="O300" t="b">
        <v>0</v>
      </c>
      <c r="P300" t="b">
        <v>0</v>
      </c>
      <c r="Q300">
        <v>0.7</v>
      </c>
      <c r="R300">
        <v>950399.62706822157</v>
      </c>
      <c r="S300">
        <v>946226.51398277283</v>
      </c>
      <c r="T300">
        <v>844931.45979976654</v>
      </c>
      <c r="U300">
        <v>832229.54880702496</v>
      </c>
      <c r="V300">
        <v>1896626.1410509944</v>
      </c>
      <c r="W300">
        <v>1677161.0086067915</v>
      </c>
      <c r="X300">
        <v>15810.7076711441</v>
      </c>
      <c r="Y300">
        <v>13981.196320445641</v>
      </c>
      <c r="Z300">
        <v>2019.9981492614745</v>
      </c>
      <c r="AA300">
        <v>419.29025215169787</v>
      </c>
      <c r="AB300">
        <v>8449.3145979976653</v>
      </c>
      <c r="AC300">
        <v>8322.2954880702491</v>
      </c>
      <c r="AD300">
        <v>16771.610086067914</v>
      </c>
      <c r="AE300">
        <v>1.130855136339302</v>
      </c>
      <c r="AF300" s="1" t="s">
        <v>3826</v>
      </c>
      <c r="AG300" s="1" t="s">
        <v>3827</v>
      </c>
      <c r="AH300" s="1" t="s">
        <v>3828</v>
      </c>
      <c r="AI300" s="1" t="str">
        <f>_xlfn.TEXTAFTER(_xlfn.TEXTBEFORE(batch_summary[[#This Row],[video]],"_",1),"-",3)</f>
        <v>16</v>
      </c>
      <c r="AJ300" s="1" t="str">
        <f>_xlfn.TEXTBEFORE(_xlfn.TEXTAFTER(batch_summary[[#This Row],[video]],"_",1),"_",1)</f>
        <v>20260330</v>
      </c>
      <c r="AK300" s="1" t="str">
        <f>_xlfn.TEXTBEFORE(_xlfn.TEXTAFTER(batch_summary[[#This Row],[video]],"_",2),".",1)</f>
        <v>100000</v>
      </c>
    </row>
    <row r="301" spans="1:37" x14ac:dyDescent="0.2">
      <c r="A301" s="1" t="s">
        <v>3829</v>
      </c>
      <c r="B301" s="1" t="s">
        <v>3830</v>
      </c>
      <c r="C301">
        <v>119.95833333333333</v>
      </c>
      <c r="D301">
        <v>2879</v>
      </c>
      <c r="E301">
        <v>0.40658339764922857</v>
      </c>
      <c r="F301">
        <v>38.606196156702936</v>
      </c>
      <c r="G301">
        <v>1.4122382690143402E-4</v>
      </c>
      <c r="H301">
        <v>1.340958532709376E-2</v>
      </c>
      <c r="I301">
        <v>5</v>
      </c>
      <c r="J301" t="b">
        <v>1</v>
      </c>
      <c r="K301">
        <v>0.65</v>
      </c>
      <c r="L301">
        <v>1.3</v>
      </c>
      <c r="M301" t="b">
        <v>1</v>
      </c>
      <c r="N301">
        <v>200</v>
      </c>
      <c r="O301" t="b">
        <v>0</v>
      </c>
      <c r="P301" t="b">
        <v>0</v>
      </c>
      <c r="Q301">
        <v>0.7</v>
      </c>
      <c r="R301">
        <v>2274710.997944057</v>
      </c>
      <c r="S301">
        <v>2363527.0550274849</v>
      </c>
      <c r="T301">
        <v>1956141.7636806369</v>
      </c>
      <c r="U301">
        <v>2061788.0149220824</v>
      </c>
      <c r="V301">
        <v>4638238.0529715419</v>
      </c>
      <c r="W301">
        <v>4017929.7786027193</v>
      </c>
      <c r="X301">
        <v>38665.40926409066</v>
      </c>
      <c r="Y301">
        <v>33494.378147434967</v>
      </c>
      <c r="Z301">
        <v>3003.8222382926942</v>
      </c>
      <c r="AA301">
        <v>1004.4824446506798</v>
      </c>
      <c r="AB301">
        <v>19561.417636806367</v>
      </c>
      <c r="AC301">
        <v>20617.880149220826</v>
      </c>
      <c r="AD301">
        <v>40179.297786027193</v>
      </c>
      <c r="AE301">
        <v>1.1543850461678655</v>
      </c>
      <c r="AF301" s="1" t="s">
        <v>3831</v>
      </c>
      <c r="AG301" s="1" t="s">
        <v>3832</v>
      </c>
      <c r="AH301" s="1" t="s">
        <v>3833</v>
      </c>
      <c r="AI301" s="1" t="str">
        <f>_xlfn.TEXTAFTER(_xlfn.TEXTBEFORE(batch_summary[[#This Row],[video]],"_",1),"-",3)</f>
        <v>16</v>
      </c>
      <c r="AJ301" s="1" t="str">
        <f>_xlfn.TEXTBEFORE(_xlfn.TEXTAFTER(batch_summary[[#This Row],[video]],"_",1),"_",1)</f>
        <v>20260330</v>
      </c>
      <c r="AK301" s="1" t="str">
        <f>_xlfn.TEXTBEFORE(_xlfn.TEXTAFTER(batch_summary[[#This Row],[video]],"_",2),".",1)</f>
        <v>110000</v>
      </c>
    </row>
    <row r="302" spans="1:37" x14ac:dyDescent="0.2">
      <c r="A302" s="1" t="s">
        <v>3834</v>
      </c>
      <c r="B302" s="1" t="s">
        <v>3835</v>
      </c>
      <c r="C302">
        <v>119.95833333333333</v>
      </c>
      <c r="D302">
        <v>2879</v>
      </c>
      <c r="E302">
        <v>0.41254373453557491</v>
      </c>
      <c r="F302">
        <v>39.051591079682112</v>
      </c>
      <c r="G302">
        <v>1.4329410716761894E-4</v>
      </c>
      <c r="H302">
        <v>1.3564290058937865E-2</v>
      </c>
      <c r="I302">
        <v>5</v>
      </c>
      <c r="J302" t="b">
        <v>1</v>
      </c>
      <c r="K302">
        <v>0.65</v>
      </c>
      <c r="L302">
        <v>1.3</v>
      </c>
      <c r="M302" t="b">
        <v>1</v>
      </c>
      <c r="N302">
        <v>200</v>
      </c>
      <c r="O302" t="b">
        <v>0</v>
      </c>
      <c r="P302" t="b">
        <v>0</v>
      </c>
      <c r="Q302">
        <v>0.7</v>
      </c>
      <c r="R302">
        <v>6233497.8638240099</v>
      </c>
      <c r="S302">
        <v>6367812.448196888</v>
      </c>
      <c r="T302">
        <v>5506922.0756496787</v>
      </c>
      <c r="U302">
        <v>5675166.5772420764</v>
      </c>
      <c r="V302">
        <v>12601310.312020898</v>
      </c>
      <c r="W302">
        <v>11182088.652891755</v>
      </c>
      <c r="X302">
        <v>105047.39405644375</v>
      </c>
      <c r="Y302">
        <v>93216.438926503004</v>
      </c>
      <c r="Z302">
        <v>5751.8187940657135</v>
      </c>
      <c r="AA302">
        <v>2795.5221632229386</v>
      </c>
      <c r="AB302">
        <v>55069.22075649679</v>
      </c>
      <c r="AC302">
        <v>56751.665772420762</v>
      </c>
      <c r="AD302">
        <v>111820.88652891756</v>
      </c>
      <c r="AE302">
        <v>1.1269191922174686</v>
      </c>
      <c r="AF302" s="1" t="s">
        <v>3836</v>
      </c>
      <c r="AG302" s="1" t="s">
        <v>3837</v>
      </c>
      <c r="AH302" s="1" t="s">
        <v>3838</v>
      </c>
      <c r="AI302" s="1" t="str">
        <f>_xlfn.TEXTAFTER(_xlfn.TEXTBEFORE(batch_summary[[#This Row],[video]],"_",1),"-",3)</f>
        <v>16</v>
      </c>
      <c r="AJ302" s="1" t="str">
        <f>_xlfn.TEXTBEFORE(_xlfn.TEXTAFTER(batch_summary[[#This Row],[video]],"_",1),"_",1)</f>
        <v>20260330</v>
      </c>
      <c r="AK302" s="1" t="str">
        <f>_xlfn.TEXTBEFORE(_xlfn.TEXTAFTER(batch_summary[[#This Row],[video]],"_",2),".",1)</f>
        <v>120000</v>
      </c>
    </row>
    <row r="303" spans="1:37" x14ac:dyDescent="0.2">
      <c r="A303" s="1" t="s">
        <v>3839</v>
      </c>
      <c r="B303" s="1" t="s">
        <v>3840</v>
      </c>
      <c r="C303">
        <v>119.95833333333333</v>
      </c>
      <c r="D303">
        <v>2879</v>
      </c>
      <c r="E303">
        <v>0.41126878466457129</v>
      </c>
      <c r="F303">
        <v>39.029483385384083</v>
      </c>
      <c r="G303">
        <v>1.4285126247466873E-4</v>
      </c>
      <c r="H303">
        <v>1.3556611109893741E-2</v>
      </c>
      <c r="I303">
        <v>5</v>
      </c>
      <c r="J303" t="b">
        <v>1</v>
      </c>
      <c r="K303">
        <v>0.65</v>
      </c>
      <c r="L303">
        <v>1.3</v>
      </c>
      <c r="M303" t="b">
        <v>1</v>
      </c>
      <c r="N303">
        <v>200</v>
      </c>
      <c r="O303" t="b">
        <v>0</v>
      </c>
      <c r="P303" t="b">
        <v>0</v>
      </c>
      <c r="Q303">
        <v>0.7</v>
      </c>
      <c r="R303">
        <v>4363307.7106599212</v>
      </c>
      <c r="S303">
        <v>4805263.8687908053</v>
      </c>
      <c r="T303">
        <v>3946475.0188311338</v>
      </c>
      <c r="U303">
        <v>4307644.1810121536</v>
      </c>
      <c r="V303">
        <v>9168571.5794507265</v>
      </c>
      <c r="W303">
        <v>8254119.1998432875</v>
      </c>
      <c r="X303">
        <v>76431.301808550692</v>
      </c>
      <c r="Y303">
        <v>68808.21840786346</v>
      </c>
      <c r="Z303">
        <v>6313.3734498596186</v>
      </c>
      <c r="AA303">
        <v>2063.5297999608219</v>
      </c>
      <c r="AB303">
        <v>39464.750188311336</v>
      </c>
      <c r="AC303">
        <v>43076.441810121534</v>
      </c>
      <c r="AD303">
        <v>82541.191998432871</v>
      </c>
      <c r="AE303">
        <v>1.1107873968702562</v>
      </c>
      <c r="AF303" s="1" t="s">
        <v>3841</v>
      </c>
      <c r="AG303" s="1" t="s">
        <v>3842</v>
      </c>
      <c r="AH303" s="1" t="s">
        <v>3843</v>
      </c>
      <c r="AI303" s="1" t="str">
        <f>_xlfn.TEXTAFTER(_xlfn.TEXTBEFORE(batch_summary[[#This Row],[video]],"_",1),"-",3)</f>
        <v>16</v>
      </c>
      <c r="AJ303" s="1" t="str">
        <f>_xlfn.TEXTBEFORE(_xlfn.TEXTAFTER(batch_summary[[#This Row],[video]],"_",1),"_",1)</f>
        <v>20260330</v>
      </c>
      <c r="AK303" s="1" t="str">
        <f>_xlfn.TEXTBEFORE(_xlfn.TEXTAFTER(batch_summary[[#This Row],[video]],"_",2),".",1)</f>
        <v>130000</v>
      </c>
    </row>
    <row r="304" spans="1:37" x14ac:dyDescent="0.2">
      <c r="A304" s="1" t="s">
        <v>3844</v>
      </c>
      <c r="B304" s="1" t="s">
        <v>3845</v>
      </c>
      <c r="C304">
        <v>119.95833333333333</v>
      </c>
      <c r="D304">
        <v>2879</v>
      </c>
      <c r="E304">
        <v>0.41023396328091621</v>
      </c>
      <c r="F304">
        <v>38.992646685801446</v>
      </c>
      <c r="G304">
        <v>1.4249182468944641E-4</v>
      </c>
      <c r="H304">
        <v>1.3543816146509707E-2</v>
      </c>
      <c r="I304">
        <v>5</v>
      </c>
      <c r="J304" t="b">
        <v>1</v>
      </c>
      <c r="K304">
        <v>0.65</v>
      </c>
      <c r="L304">
        <v>1.3</v>
      </c>
      <c r="M304" t="b">
        <v>1</v>
      </c>
      <c r="N304">
        <v>200</v>
      </c>
      <c r="O304" t="b">
        <v>0</v>
      </c>
      <c r="P304" t="b">
        <v>0</v>
      </c>
      <c r="Q304">
        <v>0.7</v>
      </c>
      <c r="R304">
        <v>3641423.5547237992</v>
      </c>
      <c r="S304">
        <v>3505637.4108985066</v>
      </c>
      <c r="T304">
        <v>3195403.3074533939</v>
      </c>
      <c r="U304">
        <v>3015049.2940667272</v>
      </c>
      <c r="V304">
        <v>7147060.9656223059</v>
      </c>
      <c r="W304">
        <v>6210452.6015201211</v>
      </c>
      <c r="X304">
        <v>59579.528716545799</v>
      </c>
      <c r="Y304">
        <v>51771.747980716536</v>
      </c>
      <c r="Z304">
        <v>3315.8314226078987</v>
      </c>
      <c r="AA304">
        <v>1552.6131503800302</v>
      </c>
      <c r="AB304">
        <v>31954.033074533938</v>
      </c>
      <c r="AC304">
        <v>30150.492940667271</v>
      </c>
      <c r="AD304">
        <v>62104.526015201205</v>
      </c>
      <c r="AE304">
        <v>1.1508116113587168</v>
      </c>
      <c r="AF304" s="1" t="s">
        <v>3846</v>
      </c>
      <c r="AG304" s="1" t="s">
        <v>3847</v>
      </c>
      <c r="AH304" s="1" t="s">
        <v>3848</v>
      </c>
      <c r="AI304" s="1" t="str">
        <f>_xlfn.TEXTAFTER(_xlfn.TEXTBEFORE(batch_summary[[#This Row],[video]],"_",1),"-",3)</f>
        <v>16</v>
      </c>
      <c r="AJ304" s="1" t="str">
        <f>_xlfn.TEXTBEFORE(_xlfn.TEXTAFTER(batch_summary[[#This Row],[video]],"_",1),"_",1)</f>
        <v>20260330</v>
      </c>
      <c r="AK304" s="1" t="str">
        <f>_xlfn.TEXTBEFORE(_xlfn.TEXTAFTER(batch_summary[[#This Row],[video]],"_",2),".",1)</f>
        <v>140000</v>
      </c>
    </row>
    <row r="305" spans="1:37" x14ac:dyDescent="0.2">
      <c r="A305" s="1" t="s">
        <v>3849</v>
      </c>
      <c r="B305" s="1" t="s">
        <v>3850</v>
      </c>
      <c r="C305">
        <v>119.95833333333333</v>
      </c>
      <c r="D305">
        <v>2879</v>
      </c>
      <c r="E305">
        <v>0.41966293286532164</v>
      </c>
      <c r="F305">
        <v>39.123004094697535</v>
      </c>
      <c r="G305">
        <v>1.4576690964408532E-4</v>
      </c>
      <c r="H305">
        <v>1.3589094857484382E-2</v>
      </c>
      <c r="I305">
        <v>5</v>
      </c>
      <c r="J305" t="b">
        <v>1</v>
      </c>
      <c r="K305">
        <v>0.65</v>
      </c>
      <c r="L305">
        <v>1.3</v>
      </c>
      <c r="M305" t="b">
        <v>1</v>
      </c>
      <c r="N305">
        <v>200</v>
      </c>
      <c r="O305" t="b">
        <v>0</v>
      </c>
      <c r="P305" t="b">
        <v>0</v>
      </c>
      <c r="Q305">
        <v>0.7</v>
      </c>
      <c r="R305">
        <v>3545219.5387102962</v>
      </c>
      <c r="S305">
        <v>3472406.516795516</v>
      </c>
      <c r="T305">
        <v>3191866.889103353</v>
      </c>
      <c r="U305">
        <v>3105431.6854043007</v>
      </c>
      <c r="V305">
        <v>7017626.0555058122</v>
      </c>
      <c r="W305">
        <v>6297298.5745076537</v>
      </c>
      <c r="X305">
        <v>58500.529813178015</v>
      </c>
      <c r="Y305">
        <v>52495.715799994337</v>
      </c>
      <c r="Z305">
        <v>4275.2906412315369</v>
      </c>
      <c r="AA305">
        <v>1574.3246436269135</v>
      </c>
      <c r="AB305">
        <v>31918.668891033529</v>
      </c>
      <c r="AC305">
        <v>31054.316854043005</v>
      </c>
      <c r="AD305">
        <v>62972.985745076534</v>
      </c>
      <c r="AE305">
        <v>1.1143867441690227</v>
      </c>
      <c r="AF305" s="1" t="s">
        <v>3851</v>
      </c>
      <c r="AG305" s="1" t="s">
        <v>3852</v>
      </c>
      <c r="AH305" s="1" t="s">
        <v>3853</v>
      </c>
      <c r="AI305" s="1" t="str">
        <f>_xlfn.TEXTAFTER(_xlfn.TEXTBEFORE(batch_summary[[#This Row],[video]],"_",1),"-",3)</f>
        <v>16</v>
      </c>
      <c r="AJ305" s="1" t="str">
        <f>_xlfn.TEXTBEFORE(_xlfn.TEXTAFTER(batch_summary[[#This Row],[video]],"_",1),"_",1)</f>
        <v>20260330</v>
      </c>
      <c r="AK305" s="1" t="str">
        <f>_xlfn.TEXTBEFORE(_xlfn.TEXTAFTER(batch_summary[[#This Row],[video]],"_",2),".",1)</f>
        <v>150000</v>
      </c>
    </row>
    <row r="306" spans="1:37" x14ac:dyDescent="0.2">
      <c r="A306" s="1" t="s">
        <v>3854</v>
      </c>
      <c r="B306" s="1" t="s">
        <v>3855</v>
      </c>
      <c r="C306">
        <v>119.95833333333333</v>
      </c>
      <c r="D306">
        <v>2879</v>
      </c>
      <c r="E306">
        <v>0.41024402808398008</v>
      </c>
      <c r="F306">
        <v>38.631110239773989</v>
      </c>
      <c r="G306">
        <v>1.4249532062659954E-4</v>
      </c>
      <c r="H306">
        <v>1.3418239055149005E-2</v>
      </c>
      <c r="I306">
        <v>5</v>
      </c>
      <c r="J306" t="b">
        <v>1</v>
      </c>
      <c r="K306">
        <v>0.65</v>
      </c>
      <c r="L306">
        <v>1.3</v>
      </c>
      <c r="M306" t="b">
        <v>1</v>
      </c>
      <c r="N306">
        <v>200</v>
      </c>
      <c r="O306" t="b">
        <v>0</v>
      </c>
      <c r="P306" t="b">
        <v>0</v>
      </c>
      <c r="Q306">
        <v>0.7</v>
      </c>
      <c r="R306">
        <v>2819232.25139153</v>
      </c>
      <c r="S306">
        <v>2923551.6490705013</v>
      </c>
      <c r="T306">
        <v>2513852.9435123801</v>
      </c>
      <c r="U306">
        <v>2604435.8552970886</v>
      </c>
      <c r="V306">
        <v>5742783.9004620314</v>
      </c>
      <c r="W306">
        <v>5118288.7988094687</v>
      </c>
      <c r="X306">
        <v>47873.155127158301</v>
      </c>
      <c r="Y306">
        <v>42667.22166426789</v>
      </c>
      <c r="Z306">
        <v>3910.4211014461516</v>
      </c>
      <c r="AA306">
        <v>1279.5721997023672</v>
      </c>
      <c r="AB306">
        <v>25138.529435123801</v>
      </c>
      <c r="AC306">
        <v>26044.358552970887</v>
      </c>
      <c r="AD306">
        <v>51182.887988094692</v>
      </c>
      <c r="AE306">
        <v>1.1220124784279117</v>
      </c>
      <c r="AF306" s="1" t="s">
        <v>3856</v>
      </c>
      <c r="AG306" s="1" t="s">
        <v>3857</v>
      </c>
      <c r="AH306" s="1" t="s">
        <v>3858</v>
      </c>
      <c r="AI306" s="1" t="str">
        <f>_xlfn.TEXTAFTER(_xlfn.TEXTBEFORE(batch_summary[[#This Row],[video]],"_",1),"-",3)</f>
        <v>16</v>
      </c>
      <c r="AJ306" s="1" t="str">
        <f>_xlfn.TEXTBEFORE(_xlfn.TEXTAFTER(batch_summary[[#This Row],[video]],"_",1),"_",1)</f>
        <v>20260330</v>
      </c>
      <c r="AK306" s="1" t="str">
        <f>_xlfn.TEXTBEFORE(_xlfn.TEXTAFTER(batch_summary[[#This Row],[video]],"_",2),".",1)</f>
        <v>160000</v>
      </c>
    </row>
    <row r="307" spans="1:37" x14ac:dyDescent="0.2">
      <c r="A307" s="1" t="s">
        <v>3859</v>
      </c>
      <c r="B307" s="1" t="s">
        <v>3860</v>
      </c>
      <c r="C307">
        <v>119.95833333333333</v>
      </c>
      <c r="D307">
        <v>2879</v>
      </c>
      <c r="E307">
        <v>0.3933511758223176</v>
      </c>
      <c r="F307">
        <v>37.611525078304112</v>
      </c>
      <c r="G307">
        <v>1.366277095596796E-4</v>
      </c>
      <c r="H307">
        <v>1.3064093462418934E-2</v>
      </c>
      <c r="I307">
        <v>5</v>
      </c>
      <c r="J307" t="b">
        <v>1</v>
      </c>
      <c r="K307">
        <v>0.65</v>
      </c>
      <c r="L307">
        <v>1.3</v>
      </c>
      <c r="M307" t="b">
        <v>1</v>
      </c>
      <c r="N307">
        <v>200</v>
      </c>
      <c r="O307" t="b">
        <v>0</v>
      </c>
      <c r="P307" t="b">
        <v>0</v>
      </c>
      <c r="Q307">
        <v>0.7</v>
      </c>
      <c r="R307">
        <v>980628.80040365458</v>
      </c>
      <c r="S307">
        <v>317270.09616553783</v>
      </c>
      <c r="T307">
        <v>859736.54567050934</v>
      </c>
      <c r="U307">
        <v>226094.92528295517</v>
      </c>
      <c r="V307">
        <v>1297898.8965691924</v>
      </c>
      <c r="W307">
        <v>1085831.4709534645</v>
      </c>
      <c r="X307">
        <v>10819.580937013066</v>
      </c>
      <c r="Y307">
        <v>9051.7385560552793</v>
      </c>
      <c r="Z307">
        <v>1829.6908561229704</v>
      </c>
      <c r="AA307">
        <v>271.45786773836608</v>
      </c>
      <c r="AB307">
        <v>8597.3654567050926</v>
      </c>
      <c r="AC307">
        <v>2260.9492528295518</v>
      </c>
      <c r="AD307">
        <v>10858.314709534645</v>
      </c>
      <c r="AE307">
        <v>1.195304180518467</v>
      </c>
      <c r="AF307" s="1" t="s">
        <v>3861</v>
      </c>
      <c r="AG307" s="1" t="s">
        <v>3862</v>
      </c>
      <c r="AH307" s="1" t="s">
        <v>3863</v>
      </c>
      <c r="AI307" s="1" t="str">
        <f>_xlfn.TEXTAFTER(_xlfn.TEXTBEFORE(batch_summary[[#This Row],[video]],"_",1),"-",3)</f>
        <v>16</v>
      </c>
      <c r="AJ307" s="1" t="str">
        <f>_xlfn.TEXTBEFORE(_xlfn.TEXTAFTER(batch_summary[[#This Row],[video]],"_",1),"_",1)</f>
        <v>20260330</v>
      </c>
      <c r="AK307" s="1" t="str">
        <f>_xlfn.TEXTBEFORE(_xlfn.TEXTAFTER(batch_summary[[#This Row],[video]],"_",2),".",1)</f>
        <v>170000</v>
      </c>
    </row>
    <row r="308" spans="1:37" x14ac:dyDescent="0.2">
      <c r="A308" s="1" t="s">
        <v>3864</v>
      </c>
      <c r="B308" s="1" t="s">
        <v>3865</v>
      </c>
      <c r="C308">
        <v>119.95833333333333</v>
      </c>
      <c r="D308">
        <v>2879</v>
      </c>
      <c r="E308">
        <v>0.38512602541595697</v>
      </c>
      <c r="F308">
        <v>37.506894112564623</v>
      </c>
      <c r="G308">
        <v>1.3377076256198574E-4</v>
      </c>
      <c r="H308">
        <v>1.3027750646948463E-2</v>
      </c>
      <c r="I308">
        <v>5</v>
      </c>
      <c r="J308" t="b">
        <v>1</v>
      </c>
      <c r="K308">
        <v>0.65</v>
      </c>
      <c r="L308">
        <v>1.3</v>
      </c>
      <c r="M308" t="b">
        <v>1</v>
      </c>
      <c r="N308">
        <v>200</v>
      </c>
      <c r="O308" t="b">
        <v>0</v>
      </c>
      <c r="P308" t="b">
        <v>0</v>
      </c>
      <c r="Q308">
        <v>0.7</v>
      </c>
      <c r="R308">
        <v>318832.32011109591</v>
      </c>
      <c r="S308">
        <v>216119.41498827934</v>
      </c>
      <c r="T308">
        <v>241061.51003158092</v>
      </c>
      <c r="U308">
        <v>138253.49280881882</v>
      </c>
      <c r="V308">
        <v>534951.73509937525</v>
      </c>
      <c r="W308">
        <v>379315.00284039974</v>
      </c>
      <c r="X308">
        <v>4459.4795562295958</v>
      </c>
      <c r="Y308">
        <v>3162.0562932162538</v>
      </c>
      <c r="Z308">
        <v>778.81142213046553</v>
      </c>
      <c r="AA308">
        <v>94.828750710099939</v>
      </c>
      <c r="AB308">
        <v>2410.6151003158093</v>
      </c>
      <c r="AC308">
        <v>1382.5349280881883</v>
      </c>
      <c r="AD308">
        <v>3793.1500284039976</v>
      </c>
      <c r="AE308">
        <v>1.4103099827149761</v>
      </c>
      <c r="AF308" s="1" t="s">
        <v>3866</v>
      </c>
      <c r="AG308" s="1" t="s">
        <v>3867</v>
      </c>
      <c r="AH308" s="1" t="s">
        <v>3868</v>
      </c>
      <c r="AI308" s="1" t="str">
        <f>_xlfn.TEXTAFTER(_xlfn.TEXTBEFORE(batch_summary[[#This Row],[video]],"_",1),"-",3)</f>
        <v>16</v>
      </c>
      <c r="AJ308" s="1" t="str">
        <f>_xlfn.TEXTBEFORE(_xlfn.TEXTAFTER(batch_summary[[#This Row],[video]],"_",1),"_",1)</f>
        <v>20260330</v>
      </c>
      <c r="AK308" s="1" t="str">
        <f>_xlfn.TEXTBEFORE(_xlfn.TEXTAFTER(batch_summary[[#This Row],[video]],"_",2),".",1)</f>
        <v>180000</v>
      </c>
    </row>
    <row r="309" spans="1:37" x14ac:dyDescent="0.2">
      <c r="A309" s="1" t="s">
        <v>3869</v>
      </c>
      <c r="B309" s="1" t="s">
        <v>3870</v>
      </c>
      <c r="C309">
        <v>119.95833333333333</v>
      </c>
      <c r="D309">
        <v>2879</v>
      </c>
      <c r="E309">
        <v>0.38047188892960548</v>
      </c>
      <c r="F309">
        <v>36.937554178759456</v>
      </c>
      <c r="G309">
        <v>1.3215418163584769E-4</v>
      </c>
      <c r="H309">
        <v>1.2829994504605577E-2</v>
      </c>
      <c r="I309">
        <v>5</v>
      </c>
      <c r="J309" t="b">
        <v>1</v>
      </c>
      <c r="K309">
        <v>0.65</v>
      </c>
      <c r="L309">
        <v>1.3</v>
      </c>
      <c r="M309" t="b">
        <v>1</v>
      </c>
      <c r="N309">
        <v>200</v>
      </c>
      <c r="O309" t="b">
        <v>0</v>
      </c>
      <c r="P309" t="b">
        <v>0</v>
      </c>
      <c r="Q309">
        <v>0.7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s="1" t="s">
        <v>3871</v>
      </c>
      <c r="AG309" s="1" t="s">
        <v>3872</v>
      </c>
      <c r="AH309" s="1" t="s">
        <v>3873</v>
      </c>
      <c r="AI309" s="1" t="str">
        <f>_xlfn.TEXTAFTER(_xlfn.TEXTBEFORE(batch_summary[[#This Row],[video]],"_",1),"-",3)</f>
        <v>16</v>
      </c>
      <c r="AJ309" s="1" t="str">
        <f>_xlfn.TEXTBEFORE(_xlfn.TEXTAFTER(batch_summary[[#This Row],[video]],"_",1),"_",1)</f>
        <v>20260330</v>
      </c>
      <c r="AK309" s="1" t="str">
        <f>_xlfn.TEXTBEFORE(_xlfn.TEXTAFTER(batch_summary[[#This Row],[video]],"_",2),".",1)</f>
        <v>190000</v>
      </c>
    </row>
    <row r="310" spans="1:37" x14ac:dyDescent="0.2">
      <c r="A310" s="1" t="s">
        <v>3874</v>
      </c>
      <c r="B310" s="1" t="s">
        <v>3875</v>
      </c>
      <c r="C310">
        <v>119.95833333333333</v>
      </c>
      <c r="D310">
        <v>2879</v>
      </c>
      <c r="E310">
        <v>0.3833299670368433</v>
      </c>
      <c r="F310">
        <v>36.983329466544092</v>
      </c>
      <c r="G310">
        <v>1.3314691456646174E-4</v>
      </c>
      <c r="H310">
        <v>1.2845894222488396E-2</v>
      </c>
      <c r="I310">
        <v>5</v>
      </c>
      <c r="J310" t="b">
        <v>1</v>
      </c>
      <c r="K310">
        <v>0.65</v>
      </c>
      <c r="L310">
        <v>1.3</v>
      </c>
      <c r="M310" t="b">
        <v>1</v>
      </c>
      <c r="N310">
        <v>200</v>
      </c>
      <c r="O310" t="b">
        <v>0</v>
      </c>
      <c r="P310" t="b">
        <v>0</v>
      </c>
      <c r="Q310">
        <v>0.7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s="1" t="s">
        <v>3876</v>
      </c>
      <c r="AG310" s="1" t="s">
        <v>3877</v>
      </c>
      <c r="AH310" s="1" t="s">
        <v>3878</v>
      </c>
      <c r="AI310" s="1" t="str">
        <f>_xlfn.TEXTAFTER(_xlfn.TEXTBEFORE(batch_summary[[#This Row],[video]],"_",1),"-",3)</f>
        <v>16</v>
      </c>
      <c r="AJ310" s="1" t="str">
        <f>_xlfn.TEXTBEFORE(_xlfn.TEXTAFTER(batch_summary[[#This Row],[video]],"_",1),"_",1)</f>
        <v>20260331</v>
      </c>
      <c r="AK310" s="1" t="str">
        <f>_xlfn.TEXTBEFORE(_xlfn.TEXTAFTER(batch_summary[[#This Row],[video]],"_",2),".",1)</f>
        <v>060000</v>
      </c>
    </row>
    <row r="311" spans="1:37" x14ac:dyDescent="0.2">
      <c r="A311" s="1" t="s">
        <v>3879</v>
      </c>
      <c r="B311" s="1" t="s">
        <v>3880</v>
      </c>
      <c r="C311">
        <v>119.95833333333333</v>
      </c>
      <c r="D311">
        <v>2879</v>
      </c>
      <c r="E311">
        <v>0.38097205571830273</v>
      </c>
      <c r="F311">
        <v>37.156614506617188</v>
      </c>
      <c r="G311">
        <v>1.3232791098239066E-4</v>
      </c>
      <c r="H311">
        <v>1.2906083538248415E-2</v>
      </c>
      <c r="I311">
        <v>5</v>
      </c>
      <c r="J311" t="b">
        <v>1</v>
      </c>
      <c r="K311">
        <v>0.65</v>
      </c>
      <c r="L311">
        <v>1.3</v>
      </c>
      <c r="M311" t="b">
        <v>1</v>
      </c>
      <c r="N311">
        <v>200</v>
      </c>
      <c r="O311" t="b">
        <v>0</v>
      </c>
      <c r="P311" t="b">
        <v>0</v>
      </c>
      <c r="Q311">
        <v>0.7</v>
      </c>
      <c r="R311">
        <v>50293.299363493919</v>
      </c>
      <c r="S311">
        <v>59468.685732245445</v>
      </c>
      <c r="T311">
        <v>769.9677734375</v>
      </c>
      <c r="U311">
        <v>1992.9676513671875</v>
      </c>
      <c r="V311">
        <v>109761.98509573936</v>
      </c>
      <c r="W311">
        <v>2762.9354248046875</v>
      </c>
      <c r="X311">
        <v>915.00091778316948</v>
      </c>
      <c r="Y311">
        <v>23.032459255058182</v>
      </c>
      <c r="Z311">
        <v>12.857670898437499</v>
      </c>
      <c r="AA311">
        <v>0.69073385620117178</v>
      </c>
      <c r="AB311">
        <v>7.6996777343750002</v>
      </c>
      <c r="AC311">
        <v>19.929676513671875</v>
      </c>
      <c r="AD311">
        <v>27.629354248046877</v>
      </c>
      <c r="AE311">
        <v>39.726583585824656</v>
      </c>
      <c r="AF311" s="1" t="s">
        <v>3881</v>
      </c>
      <c r="AG311" s="1" t="s">
        <v>3882</v>
      </c>
      <c r="AH311" s="1" t="s">
        <v>3883</v>
      </c>
      <c r="AI311" s="1" t="str">
        <f>_xlfn.TEXTAFTER(_xlfn.TEXTBEFORE(batch_summary[[#This Row],[video]],"_",1),"-",3)</f>
        <v>16</v>
      </c>
      <c r="AJ311" s="1" t="str">
        <f>_xlfn.TEXTBEFORE(_xlfn.TEXTAFTER(batch_summary[[#This Row],[video]],"_",1),"_",1)</f>
        <v>20260331</v>
      </c>
      <c r="AK311" s="1" t="str">
        <f>_xlfn.TEXTBEFORE(_xlfn.TEXTAFTER(batch_summary[[#This Row],[video]],"_",2),".",1)</f>
        <v>070000</v>
      </c>
    </row>
    <row r="312" spans="1:37" x14ac:dyDescent="0.2">
      <c r="A312" s="1" t="s">
        <v>3884</v>
      </c>
      <c r="B312" s="1" t="s">
        <v>3885</v>
      </c>
      <c r="C312">
        <v>119.95833333333333</v>
      </c>
      <c r="D312">
        <v>2879</v>
      </c>
      <c r="E312">
        <v>0.3844571840018034</v>
      </c>
      <c r="F312">
        <v>37.371631757356226</v>
      </c>
      <c r="G312">
        <v>1.335384452941311E-4</v>
      </c>
      <c r="H312">
        <v>1.298076823805357E-2</v>
      </c>
      <c r="I312">
        <v>5</v>
      </c>
      <c r="J312" t="b">
        <v>1</v>
      </c>
      <c r="K312">
        <v>0.65</v>
      </c>
      <c r="L312">
        <v>1.3</v>
      </c>
      <c r="M312" t="b">
        <v>1</v>
      </c>
      <c r="N312">
        <v>200</v>
      </c>
      <c r="O312" t="b">
        <v>0</v>
      </c>
      <c r="P312" t="b">
        <v>0</v>
      </c>
      <c r="Q312">
        <v>0.7</v>
      </c>
      <c r="R312">
        <v>5674.5684688091278</v>
      </c>
      <c r="S312">
        <v>6781.7034804224968</v>
      </c>
      <c r="T312">
        <v>0</v>
      </c>
      <c r="U312">
        <v>0</v>
      </c>
      <c r="V312">
        <v>12456.271949231625</v>
      </c>
      <c r="W312">
        <v>0</v>
      </c>
      <c r="X312">
        <v>103.83832121624141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12456271949.231625</v>
      </c>
      <c r="AF312" s="1" t="s">
        <v>3886</v>
      </c>
      <c r="AG312" s="1" t="s">
        <v>3887</v>
      </c>
      <c r="AH312" s="1" t="s">
        <v>3888</v>
      </c>
      <c r="AI312" s="1" t="str">
        <f>_xlfn.TEXTAFTER(_xlfn.TEXTBEFORE(batch_summary[[#This Row],[video]],"_",1),"-",3)</f>
        <v>16</v>
      </c>
      <c r="AJ312" s="1" t="str">
        <f>_xlfn.TEXTBEFORE(_xlfn.TEXTAFTER(batch_summary[[#This Row],[video]],"_",1),"_",1)</f>
        <v>20260331</v>
      </c>
      <c r="AK312" s="1" t="str">
        <f>_xlfn.TEXTBEFORE(_xlfn.TEXTAFTER(batch_summary[[#This Row],[video]],"_",2),".",1)</f>
        <v>080000</v>
      </c>
    </row>
    <row r="313" spans="1:37" x14ac:dyDescent="0.2">
      <c r="A313" s="1" t="s">
        <v>3889</v>
      </c>
      <c r="B313" s="1" t="s">
        <v>3890</v>
      </c>
      <c r="C313">
        <v>119.95833333333333</v>
      </c>
      <c r="D313">
        <v>2879</v>
      </c>
      <c r="E313">
        <v>0.39237833488732576</v>
      </c>
      <c r="F313">
        <v>37.775491035543382</v>
      </c>
      <c r="G313">
        <v>1.3628980023873768E-4</v>
      </c>
      <c r="H313">
        <v>1.3121045861598951E-2</v>
      </c>
      <c r="I313">
        <v>5</v>
      </c>
      <c r="J313" t="b">
        <v>1</v>
      </c>
      <c r="K313">
        <v>0.65</v>
      </c>
      <c r="L313">
        <v>1.3</v>
      </c>
      <c r="M313" t="b">
        <v>1</v>
      </c>
      <c r="N313">
        <v>200</v>
      </c>
      <c r="O313" t="b">
        <v>0</v>
      </c>
      <c r="P313" t="b">
        <v>0</v>
      </c>
      <c r="Q313">
        <v>0.7</v>
      </c>
      <c r="R313">
        <v>851382.56627434492</v>
      </c>
      <c r="S313">
        <v>851155.07274979353</v>
      </c>
      <c r="T313">
        <v>686754.43049412966</v>
      </c>
      <c r="U313">
        <v>677620.23291093111</v>
      </c>
      <c r="V313">
        <v>1702537.6390241385</v>
      </c>
      <c r="W313">
        <v>1364374.6634050608</v>
      </c>
      <c r="X313">
        <v>14192.74169384485</v>
      </c>
      <c r="Y313">
        <v>11373.738076318674</v>
      </c>
      <c r="Z313">
        <v>1661.7338775634767</v>
      </c>
      <c r="AA313">
        <v>341.0936658512652</v>
      </c>
      <c r="AB313">
        <v>6867.544304941297</v>
      </c>
      <c r="AC313">
        <v>6776.202329109311</v>
      </c>
      <c r="AD313">
        <v>13643.746634050607</v>
      </c>
      <c r="AE313">
        <v>1.2478519901381975</v>
      </c>
      <c r="AF313" s="1" t="s">
        <v>3891</v>
      </c>
      <c r="AG313" s="1" t="s">
        <v>3892</v>
      </c>
      <c r="AH313" s="1" t="s">
        <v>3893</v>
      </c>
      <c r="AI313" s="1" t="str">
        <f>_xlfn.TEXTAFTER(_xlfn.TEXTBEFORE(batch_summary[[#This Row],[video]],"_",1),"-",3)</f>
        <v>16</v>
      </c>
      <c r="AJ313" s="1" t="str">
        <f>_xlfn.TEXTBEFORE(_xlfn.TEXTAFTER(batch_summary[[#This Row],[video]],"_",1),"_",1)</f>
        <v>20260331</v>
      </c>
      <c r="AK313" s="1" t="str">
        <f>_xlfn.TEXTBEFORE(_xlfn.TEXTAFTER(batch_summary[[#This Row],[video]],"_",2),".",1)</f>
        <v>090000</v>
      </c>
    </row>
    <row r="314" spans="1:37" x14ac:dyDescent="0.2">
      <c r="A314" s="1" t="s">
        <v>3894</v>
      </c>
      <c r="B314" s="1" t="s">
        <v>3895</v>
      </c>
      <c r="C314">
        <v>119.95833333333333</v>
      </c>
      <c r="D314">
        <v>2879</v>
      </c>
      <c r="E314">
        <v>0.41114892438054085</v>
      </c>
      <c r="F314">
        <v>38.936910361051559</v>
      </c>
      <c r="G314">
        <v>1.4280962986472416E-4</v>
      </c>
      <c r="H314">
        <v>1.3524456533883834E-2</v>
      </c>
      <c r="I314">
        <v>5</v>
      </c>
      <c r="J314" t="b">
        <v>1</v>
      </c>
      <c r="K314">
        <v>0.65</v>
      </c>
      <c r="L314">
        <v>1.3</v>
      </c>
      <c r="M314" t="b">
        <v>1</v>
      </c>
      <c r="N314">
        <v>200</v>
      </c>
      <c r="O314" t="b">
        <v>0</v>
      </c>
      <c r="P314" t="b">
        <v>0</v>
      </c>
      <c r="Q314">
        <v>0.7</v>
      </c>
      <c r="R314">
        <v>4564809.2724802494</v>
      </c>
      <c r="S314">
        <v>4689945.2681602836</v>
      </c>
      <c r="T314">
        <v>4028804.745367527</v>
      </c>
      <c r="U314">
        <v>4157257.5813299417</v>
      </c>
      <c r="V314">
        <v>9254754.540640533</v>
      </c>
      <c r="W314">
        <v>8186062.3266974688</v>
      </c>
      <c r="X314">
        <v>77149.742610410831</v>
      </c>
      <c r="Y314">
        <v>68240.880806092129</v>
      </c>
      <c r="Z314">
        <v>6004.3732218170162</v>
      </c>
      <c r="AA314">
        <v>2046.515581674367</v>
      </c>
      <c r="AB314">
        <v>40288.047453675274</v>
      </c>
      <c r="AC314">
        <v>41572.575813299416</v>
      </c>
      <c r="AD314">
        <v>81860.623266974697</v>
      </c>
      <c r="AE314">
        <v>1.1305502170998263</v>
      </c>
      <c r="AF314" s="1" t="s">
        <v>3896</v>
      </c>
      <c r="AG314" s="1" t="s">
        <v>3897</v>
      </c>
      <c r="AH314" s="1" t="s">
        <v>3898</v>
      </c>
      <c r="AI314" s="1" t="str">
        <f>_xlfn.TEXTAFTER(_xlfn.TEXTBEFORE(batch_summary[[#This Row],[video]],"_",1),"-",3)</f>
        <v>16</v>
      </c>
      <c r="AJ314" s="1" t="str">
        <f>_xlfn.TEXTBEFORE(_xlfn.TEXTAFTER(batch_summary[[#This Row],[video]],"_",1),"_",1)</f>
        <v>20260331</v>
      </c>
      <c r="AK314" s="1" t="str">
        <f>_xlfn.TEXTBEFORE(_xlfn.TEXTAFTER(batch_summary[[#This Row],[video]],"_",2),".",1)</f>
        <v>100000</v>
      </c>
    </row>
    <row r="315" spans="1:37" x14ac:dyDescent="0.2">
      <c r="A315" s="1" t="s">
        <v>3899</v>
      </c>
      <c r="B315" s="1" t="s">
        <v>3900</v>
      </c>
      <c r="C315">
        <v>119.95833333333333</v>
      </c>
      <c r="D315">
        <v>2879</v>
      </c>
      <c r="E315">
        <v>0.41492663882672787</v>
      </c>
      <c r="F315">
        <v>39.108451253734529</v>
      </c>
      <c r="G315">
        <v>1.4412179188146157E-4</v>
      </c>
      <c r="H315">
        <v>1.3584040032558016E-2</v>
      </c>
      <c r="I315">
        <v>5</v>
      </c>
      <c r="J315" t="b">
        <v>1</v>
      </c>
      <c r="K315">
        <v>0.65</v>
      </c>
      <c r="L315">
        <v>1.3</v>
      </c>
      <c r="M315" t="b">
        <v>1</v>
      </c>
      <c r="N315">
        <v>200</v>
      </c>
      <c r="O315" t="b">
        <v>0</v>
      </c>
      <c r="P315" t="b">
        <v>0</v>
      </c>
      <c r="Q315">
        <v>0.7</v>
      </c>
      <c r="R315">
        <v>4179863.4467632174</v>
      </c>
      <c r="S315">
        <v>3800303.190233767</v>
      </c>
      <c r="T315">
        <v>3651441.4497883916</v>
      </c>
      <c r="U315">
        <v>3264588.9274556637</v>
      </c>
      <c r="V315">
        <v>7980166.6369969845</v>
      </c>
      <c r="W315">
        <v>6916030.3772440553</v>
      </c>
      <c r="X315">
        <v>66524.487421996397</v>
      </c>
      <c r="Y315">
        <v>57653.605089912235</v>
      </c>
      <c r="Z315">
        <v>3895.6610378646847</v>
      </c>
      <c r="AA315">
        <v>1729.0075943110139</v>
      </c>
      <c r="AB315">
        <v>36514.414497883918</v>
      </c>
      <c r="AC315">
        <v>32645.889274556637</v>
      </c>
      <c r="AD315">
        <v>69160.303772440559</v>
      </c>
      <c r="AE315">
        <v>1.1538651801262003</v>
      </c>
      <c r="AF315" s="1" t="s">
        <v>3901</v>
      </c>
      <c r="AG315" s="1" t="s">
        <v>3902</v>
      </c>
      <c r="AH315" s="1" t="s">
        <v>3903</v>
      </c>
      <c r="AI315" s="1" t="str">
        <f>_xlfn.TEXTAFTER(_xlfn.TEXTBEFORE(batch_summary[[#This Row],[video]],"_",1),"-",3)</f>
        <v>16</v>
      </c>
      <c r="AJ315" s="1" t="str">
        <f>_xlfn.TEXTBEFORE(_xlfn.TEXTAFTER(batch_summary[[#This Row],[video]],"_",1),"_",1)</f>
        <v>20260331</v>
      </c>
      <c r="AK315" s="1" t="str">
        <f>_xlfn.TEXTBEFORE(_xlfn.TEXTAFTER(batch_summary[[#This Row],[video]],"_",2),".",1)</f>
        <v>110000</v>
      </c>
    </row>
    <row r="316" spans="1:37" x14ac:dyDescent="0.2">
      <c r="A316" s="1" t="s">
        <v>3904</v>
      </c>
      <c r="B316" s="1" t="s">
        <v>3905</v>
      </c>
      <c r="C316">
        <v>119.95833333333333</v>
      </c>
      <c r="D316">
        <v>2879</v>
      </c>
      <c r="E316">
        <v>0.39337886963039637</v>
      </c>
      <c r="F316">
        <v>37.788420561701059</v>
      </c>
      <c r="G316">
        <v>1.3663732880527836E-4</v>
      </c>
      <c r="H316">
        <v>1.3125536839771121E-2</v>
      </c>
      <c r="I316">
        <v>5</v>
      </c>
      <c r="J316" t="b">
        <v>1</v>
      </c>
      <c r="K316">
        <v>0.65</v>
      </c>
      <c r="L316">
        <v>1.3</v>
      </c>
      <c r="M316" t="b">
        <v>1</v>
      </c>
      <c r="N316">
        <v>200</v>
      </c>
      <c r="O316" t="b">
        <v>0</v>
      </c>
      <c r="P316" t="b">
        <v>0</v>
      </c>
      <c r="Q316">
        <v>0.7</v>
      </c>
      <c r="R316">
        <v>808962.73133027554</v>
      </c>
      <c r="S316">
        <v>1160361.1537716985</v>
      </c>
      <c r="T316">
        <v>635275.63226997852</v>
      </c>
      <c r="U316">
        <v>984746.287545681</v>
      </c>
      <c r="V316">
        <v>1969323.885101974</v>
      </c>
      <c r="W316">
        <v>1620021.9198156595</v>
      </c>
      <c r="X316">
        <v>16416.732630235281</v>
      </c>
      <c r="Y316">
        <v>13504.871856747422</v>
      </c>
      <c r="Z316">
        <v>1471.0178868865967</v>
      </c>
      <c r="AA316">
        <v>405.00547995391491</v>
      </c>
      <c r="AB316">
        <v>6352.7563226997854</v>
      </c>
      <c r="AC316">
        <v>9847.4628754568093</v>
      </c>
      <c r="AD316">
        <v>16200.219198156596</v>
      </c>
      <c r="AE316">
        <v>1.2156155796497254</v>
      </c>
      <c r="AF316" s="1" t="s">
        <v>3906</v>
      </c>
      <c r="AG316" s="1" t="s">
        <v>3907</v>
      </c>
      <c r="AH316" s="1" t="s">
        <v>3908</v>
      </c>
      <c r="AI316" s="1" t="str">
        <f>_xlfn.TEXTAFTER(_xlfn.TEXTBEFORE(batch_summary[[#This Row],[video]],"_",1),"-",3)</f>
        <v>16</v>
      </c>
      <c r="AJ316" s="1" t="str">
        <f>_xlfn.TEXTBEFORE(_xlfn.TEXTAFTER(batch_summary[[#This Row],[video]],"_",1),"_",1)</f>
        <v>20260331</v>
      </c>
      <c r="AK316" s="1" t="str">
        <f>_xlfn.TEXTBEFORE(_xlfn.TEXTAFTER(batch_summary[[#This Row],[video]],"_",2),".",1)</f>
        <v>120000</v>
      </c>
    </row>
    <row r="317" spans="1:37" x14ac:dyDescent="0.2">
      <c r="A317" s="1" t="s">
        <v>3909</v>
      </c>
      <c r="B317" s="1" t="s">
        <v>3910</v>
      </c>
      <c r="C317">
        <v>119.95833333333333</v>
      </c>
      <c r="D317">
        <v>2879</v>
      </c>
      <c r="E317">
        <v>0.40728715714067221</v>
      </c>
      <c r="F317">
        <v>38.702166860923171</v>
      </c>
      <c r="G317">
        <v>1.4146827271298098E-4</v>
      </c>
      <c r="H317">
        <v>1.3442920062842366E-2</v>
      </c>
      <c r="I317">
        <v>5</v>
      </c>
      <c r="J317" t="b">
        <v>1</v>
      </c>
      <c r="K317">
        <v>0.65</v>
      </c>
      <c r="L317">
        <v>1.3</v>
      </c>
      <c r="M317" t="b">
        <v>1</v>
      </c>
      <c r="N317">
        <v>200</v>
      </c>
      <c r="O317" t="b">
        <v>0</v>
      </c>
      <c r="P317" t="b">
        <v>0</v>
      </c>
      <c r="Q317">
        <v>0.7</v>
      </c>
      <c r="R317">
        <v>3286791.3442265391</v>
      </c>
      <c r="S317">
        <v>3259558.841219604</v>
      </c>
      <c r="T317">
        <v>2856660.0772249699</v>
      </c>
      <c r="U317">
        <v>2821378.3651307225</v>
      </c>
      <c r="V317">
        <v>6546350.1854461432</v>
      </c>
      <c r="W317">
        <v>5678038.4423556924</v>
      </c>
      <c r="X317">
        <v>54571.866776904288</v>
      </c>
      <c r="Y317">
        <v>47333.422235684826</v>
      </c>
      <c r="Z317">
        <v>3709.8852775609494</v>
      </c>
      <c r="AA317">
        <v>1419.5096105889231</v>
      </c>
      <c r="AB317">
        <v>28566.600772249698</v>
      </c>
      <c r="AC317">
        <v>28213.783651307225</v>
      </c>
      <c r="AD317">
        <v>56780.384423556927</v>
      </c>
      <c r="AE317">
        <v>1.1529245974478128</v>
      </c>
      <c r="AF317" s="1" t="s">
        <v>3911</v>
      </c>
      <c r="AG317" s="1" t="s">
        <v>3912</v>
      </c>
      <c r="AH317" s="1" t="s">
        <v>3913</v>
      </c>
      <c r="AI317" s="1" t="str">
        <f>_xlfn.TEXTAFTER(_xlfn.TEXTBEFORE(batch_summary[[#This Row],[video]],"_",1),"-",3)</f>
        <v>16</v>
      </c>
      <c r="AJ317" s="1" t="str">
        <f>_xlfn.TEXTBEFORE(_xlfn.TEXTAFTER(batch_summary[[#This Row],[video]],"_",1),"_",1)</f>
        <v>20260331</v>
      </c>
      <c r="AK317" s="1" t="str">
        <f>_xlfn.TEXTBEFORE(_xlfn.TEXTAFTER(batch_summary[[#This Row],[video]],"_",2),".",1)</f>
        <v>130000</v>
      </c>
    </row>
    <row r="318" spans="1:37" x14ac:dyDescent="0.2">
      <c r="A318" s="1" t="s">
        <v>3914</v>
      </c>
      <c r="B318" s="1" t="s">
        <v>3915</v>
      </c>
      <c r="C318">
        <v>119.95833333333333</v>
      </c>
      <c r="D318">
        <v>2879</v>
      </c>
      <c r="E318">
        <v>0.40351091604679823</v>
      </c>
      <c r="F318">
        <v>38.435800428502262</v>
      </c>
      <c r="G318">
        <v>1.4015662245460167E-4</v>
      </c>
      <c r="H318">
        <v>1.3350399593088664E-2</v>
      </c>
      <c r="I318">
        <v>5</v>
      </c>
      <c r="J318" t="b">
        <v>1</v>
      </c>
      <c r="K318">
        <v>0.65</v>
      </c>
      <c r="L318">
        <v>1.3</v>
      </c>
      <c r="M318" t="b">
        <v>1</v>
      </c>
      <c r="N318">
        <v>200</v>
      </c>
      <c r="O318" t="b">
        <v>0</v>
      </c>
      <c r="P318" t="b">
        <v>0</v>
      </c>
      <c r="Q318">
        <v>0.7</v>
      </c>
      <c r="R318">
        <v>1698753.2075894475</v>
      </c>
      <c r="S318">
        <v>1653921.0879802108</v>
      </c>
      <c r="T318">
        <v>1431212.3801304102</v>
      </c>
      <c r="U318">
        <v>1386780.2728695273</v>
      </c>
      <c r="V318">
        <v>3352674.2955696583</v>
      </c>
      <c r="W318">
        <v>2817992.6529999375</v>
      </c>
      <c r="X318">
        <v>27948.656857822785</v>
      </c>
      <c r="Y318">
        <v>23491.428854462836</v>
      </c>
      <c r="Z318">
        <v>2330.9729681015015</v>
      </c>
      <c r="AA318">
        <v>704.49816324998449</v>
      </c>
      <c r="AB318">
        <v>14312.123801304102</v>
      </c>
      <c r="AC318">
        <v>13867.802728695273</v>
      </c>
      <c r="AD318">
        <v>28179.926529999375</v>
      </c>
      <c r="AE318">
        <v>1.189738479978121</v>
      </c>
      <c r="AF318" s="1" t="s">
        <v>3916</v>
      </c>
      <c r="AG318" s="1" t="s">
        <v>3917</v>
      </c>
      <c r="AH318" s="1" t="s">
        <v>3918</v>
      </c>
      <c r="AI318" s="1" t="str">
        <f>_xlfn.TEXTAFTER(_xlfn.TEXTBEFORE(batch_summary[[#This Row],[video]],"_",1),"-",3)</f>
        <v>16</v>
      </c>
      <c r="AJ318" s="1" t="str">
        <f>_xlfn.TEXTBEFORE(_xlfn.TEXTAFTER(batch_summary[[#This Row],[video]],"_",1),"_",1)</f>
        <v>20260331</v>
      </c>
      <c r="AK318" s="1" t="str">
        <f>_xlfn.TEXTBEFORE(_xlfn.TEXTAFTER(batch_summary[[#This Row],[video]],"_",2),".",1)</f>
        <v>140000</v>
      </c>
    </row>
    <row r="319" spans="1:37" x14ac:dyDescent="0.2">
      <c r="A319" s="1" t="s">
        <v>3919</v>
      </c>
      <c r="B319" s="1" t="s">
        <v>3920</v>
      </c>
      <c r="C319">
        <v>119.95833333333333</v>
      </c>
      <c r="D319">
        <v>2879</v>
      </c>
      <c r="E319">
        <v>0.4054607730358839</v>
      </c>
      <c r="F319">
        <v>38.516297977417707</v>
      </c>
      <c r="G319">
        <v>1.4083389129415904E-4</v>
      </c>
      <c r="H319">
        <v>1.3378359839325359E-2</v>
      </c>
      <c r="I319">
        <v>5</v>
      </c>
      <c r="J319" t="b">
        <v>1</v>
      </c>
      <c r="K319">
        <v>0.65</v>
      </c>
      <c r="L319">
        <v>1.3</v>
      </c>
      <c r="M319" t="b">
        <v>1</v>
      </c>
      <c r="N319">
        <v>200</v>
      </c>
      <c r="O319" t="b">
        <v>0</v>
      </c>
      <c r="P319" t="b">
        <v>0</v>
      </c>
      <c r="Q319">
        <v>0.7</v>
      </c>
      <c r="R319">
        <v>2286273.2845721245</v>
      </c>
      <c r="S319">
        <v>2102540.8753888011</v>
      </c>
      <c r="T319">
        <v>2016799.0302287936</v>
      </c>
      <c r="U319">
        <v>1799104.9900941253</v>
      </c>
      <c r="V319">
        <v>4388814.1599609256</v>
      </c>
      <c r="W319">
        <v>3815904.0203229189</v>
      </c>
      <c r="X319">
        <v>36586.154859000424</v>
      </c>
      <c r="Y319">
        <v>31810.245393452609</v>
      </c>
      <c r="Z319">
        <v>2984.2730776643753</v>
      </c>
      <c r="AA319">
        <v>953.97600508072969</v>
      </c>
      <c r="AB319">
        <v>20167.990302287937</v>
      </c>
      <c r="AC319">
        <v>17991.049900941252</v>
      </c>
      <c r="AD319">
        <v>38159.04020322919</v>
      </c>
      <c r="AE319">
        <v>1.150137460634957</v>
      </c>
      <c r="AF319" s="1" t="s">
        <v>3921</v>
      </c>
      <c r="AG319" s="1" t="s">
        <v>3922</v>
      </c>
      <c r="AH319" s="1" t="s">
        <v>3923</v>
      </c>
      <c r="AI319" s="1" t="str">
        <f>_xlfn.TEXTAFTER(_xlfn.TEXTBEFORE(batch_summary[[#This Row],[video]],"_",1),"-",3)</f>
        <v>16</v>
      </c>
      <c r="AJ319" s="1" t="str">
        <f>_xlfn.TEXTBEFORE(_xlfn.TEXTAFTER(batch_summary[[#This Row],[video]],"_",1),"_",1)</f>
        <v>20260331</v>
      </c>
      <c r="AK319" s="1" t="str">
        <f>_xlfn.TEXTBEFORE(_xlfn.TEXTAFTER(batch_summary[[#This Row],[video]],"_",2),".",1)</f>
        <v>150000</v>
      </c>
    </row>
    <row r="320" spans="1:37" x14ac:dyDescent="0.2">
      <c r="A320" s="1" t="s">
        <v>3924</v>
      </c>
      <c r="B320" s="1" t="s">
        <v>3925</v>
      </c>
      <c r="C320">
        <v>119.95833333333333</v>
      </c>
      <c r="D320">
        <v>2879</v>
      </c>
      <c r="E320">
        <v>0.38586742430925369</v>
      </c>
      <c r="F320">
        <v>37.400603203102946</v>
      </c>
      <c r="G320">
        <v>1.3402828214979288E-4</v>
      </c>
      <c r="H320">
        <v>1.299083126193225E-2</v>
      </c>
      <c r="I320">
        <v>5</v>
      </c>
      <c r="J320" t="b">
        <v>1</v>
      </c>
      <c r="K320">
        <v>0.65</v>
      </c>
      <c r="L320">
        <v>1.3</v>
      </c>
      <c r="M320" t="b">
        <v>1</v>
      </c>
      <c r="N320">
        <v>200</v>
      </c>
      <c r="O320" t="b">
        <v>0</v>
      </c>
      <c r="P320" t="b">
        <v>0</v>
      </c>
      <c r="Q320">
        <v>0.7</v>
      </c>
      <c r="R320">
        <v>622425.42476886511</v>
      </c>
      <c r="S320">
        <v>812892.07308346033</v>
      </c>
      <c r="T320">
        <v>540254.52462619543</v>
      </c>
      <c r="U320">
        <v>717528.67141598463</v>
      </c>
      <c r="V320">
        <v>1435317.4978523254</v>
      </c>
      <c r="W320">
        <v>1257783.1960421801</v>
      </c>
      <c r="X320">
        <v>11965.133709085034</v>
      </c>
      <c r="Y320">
        <v>10485.167316780939</v>
      </c>
      <c r="Z320">
        <v>1490.7186276233197</v>
      </c>
      <c r="AA320">
        <v>314.44579901054504</v>
      </c>
      <c r="AB320">
        <v>5402.5452462619542</v>
      </c>
      <c r="AC320">
        <v>7175.2867141598463</v>
      </c>
      <c r="AD320">
        <v>12577.831960421801</v>
      </c>
      <c r="AE320">
        <v>1.1411485718435308</v>
      </c>
      <c r="AF320" s="1" t="s">
        <v>3926</v>
      </c>
      <c r="AG320" s="1" t="s">
        <v>3927</v>
      </c>
      <c r="AH320" s="1" t="s">
        <v>3928</v>
      </c>
      <c r="AI320" s="1" t="str">
        <f>_xlfn.TEXTAFTER(_xlfn.TEXTBEFORE(batch_summary[[#This Row],[video]],"_",1),"-",3)</f>
        <v>16</v>
      </c>
      <c r="AJ320" s="1" t="str">
        <f>_xlfn.TEXTBEFORE(_xlfn.TEXTAFTER(batch_summary[[#This Row],[video]],"_",1),"_",1)</f>
        <v>20260331</v>
      </c>
      <c r="AK320" s="1" t="str">
        <f>_xlfn.TEXTBEFORE(_xlfn.TEXTAFTER(batch_summary[[#This Row],[video]],"_",2),".",1)</f>
        <v>160000</v>
      </c>
    </row>
    <row r="321" spans="1:37" x14ac:dyDescent="0.2">
      <c r="A321" s="1" t="s">
        <v>3929</v>
      </c>
      <c r="B321" s="1" t="s">
        <v>3930</v>
      </c>
      <c r="C321">
        <v>119.95833333333333</v>
      </c>
      <c r="D321">
        <v>2879</v>
      </c>
      <c r="E321">
        <v>0.38544633332639933</v>
      </c>
      <c r="F321">
        <v>37.369977132417262</v>
      </c>
      <c r="G321">
        <v>1.3388201921722798E-4</v>
      </c>
      <c r="H321">
        <v>1.2980193515949031E-2</v>
      </c>
      <c r="I321">
        <v>5</v>
      </c>
      <c r="J321" t="b">
        <v>1</v>
      </c>
      <c r="K321">
        <v>0.65</v>
      </c>
      <c r="L321">
        <v>1.3</v>
      </c>
      <c r="M321" t="b">
        <v>1</v>
      </c>
      <c r="N321">
        <v>200</v>
      </c>
      <c r="O321" t="b">
        <v>0</v>
      </c>
      <c r="P321" t="b">
        <v>0</v>
      </c>
      <c r="Q321">
        <v>0.7</v>
      </c>
      <c r="R321">
        <v>265641.19290989637</v>
      </c>
      <c r="S321">
        <v>282895.47287523746</v>
      </c>
      <c r="T321">
        <v>212869.77404069901</v>
      </c>
      <c r="U321">
        <v>238102.69641876221</v>
      </c>
      <c r="V321">
        <v>548536.66578513384</v>
      </c>
      <c r="W321">
        <v>450972.47045946121</v>
      </c>
      <c r="X321">
        <v>4572.7266338462014</v>
      </c>
      <c r="Y321">
        <v>3759.4092709368078</v>
      </c>
      <c r="Z321">
        <v>1152.9758498191834</v>
      </c>
      <c r="AA321">
        <v>112.74311761486528</v>
      </c>
      <c r="AB321">
        <v>2128.6977404069899</v>
      </c>
      <c r="AC321">
        <v>2381.0269641876221</v>
      </c>
      <c r="AD321">
        <v>4509.7247045946115</v>
      </c>
      <c r="AE321">
        <v>1.2163417984833353</v>
      </c>
      <c r="AF321" s="1" t="s">
        <v>3931</v>
      </c>
      <c r="AG321" s="1" t="s">
        <v>3932</v>
      </c>
      <c r="AH321" s="1" t="s">
        <v>3933</v>
      </c>
      <c r="AI321" s="1" t="str">
        <f>_xlfn.TEXTAFTER(_xlfn.TEXTBEFORE(batch_summary[[#This Row],[video]],"_",1),"-",3)</f>
        <v>16</v>
      </c>
      <c r="AJ321" s="1" t="str">
        <f>_xlfn.TEXTBEFORE(_xlfn.TEXTAFTER(batch_summary[[#This Row],[video]],"_",1),"_",1)</f>
        <v>20260331</v>
      </c>
      <c r="AK321" s="1" t="str">
        <f>_xlfn.TEXTBEFORE(_xlfn.TEXTAFTER(batch_summary[[#This Row],[video]],"_",2),".",1)</f>
        <v>170000</v>
      </c>
    </row>
    <row r="322" spans="1:37" x14ac:dyDescent="0.2">
      <c r="A322" s="1" t="s">
        <v>3934</v>
      </c>
      <c r="B322" s="1" t="s">
        <v>3935</v>
      </c>
      <c r="C322">
        <v>119.95833333333333</v>
      </c>
      <c r="D322">
        <v>2879</v>
      </c>
      <c r="E322">
        <v>0.38235228788107634</v>
      </c>
      <c r="F322">
        <v>37.265716754831374</v>
      </c>
      <c r="G322">
        <v>1.328073247242363E-4</v>
      </c>
      <c r="H322">
        <v>1.294397942161562E-2</v>
      </c>
      <c r="I322">
        <v>5</v>
      </c>
      <c r="J322" t="b">
        <v>1</v>
      </c>
      <c r="K322">
        <v>0.65</v>
      </c>
      <c r="L322">
        <v>1.3</v>
      </c>
      <c r="M322" t="b">
        <v>1</v>
      </c>
      <c r="N322">
        <v>200</v>
      </c>
      <c r="O322" t="b">
        <v>0</v>
      </c>
      <c r="P322" t="b">
        <v>0</v>
      </c>
      <c r="Q322">
        <v>0.7</v>
      </c>
      <c r="R322">
        <v>1231.6432747840881</v>
      </c>
      <c r="S322">
        <v>1577.0362557768822</v>
      </c>
      <c r="T322">
        <v>0</v>
      </c>
      <c r="U322">
        <v>0</v>
      </c>
      <c r="V322">
        <v>2808.6795305609703</v>
      </c>
      <c r="W322">
        <v>0</v>
      </c>
      <c r="X322">
        <v>23.413792543752447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2808679530.5609703</v>
      </c>
      <c r="AF322" s="1" t="s">
        <v>3936</v>
      </c>
      <c r="AG322" s="1" t="s">
        <v>3937</v>
      </c>
      <c r="AH322" s="1" t="s">
        <v>3938</v>
      </c>
      <c r="AI322" s="1" t="str">
        <f>_xlfn.TEXTAFTER(_xlfn.TEXTBEFORE(batch_summary[[#This Row],[video]],"_",1),"-",3)</f>
        <v>16</v>
      </c>
      <c r="AJ322" s="1" t="str">
        <f>_xlfn.TEXTBEFORE(_xlfn.TEXTAFTER(batch_summary[[#This Row],[video]],"_",1),"_",1)</f>
        <v>20260331</v>
      </c>
      <c r="AK322" s="1" t="str">
        <f>_xlfn.TEXTBEFORE(_xlfn.TEXTAFTER(batch_summary[[#This Row],[video]],"_",2),".",1)</f>
        <v>180000</v>
      </c>
    </row>
    <row r="323" spans="1:37" x14ac:dyDescent="0.2">
      <c r="A323" s="1" t="s">
        <v>3939</v>
      </c>
      <c r="B323" s="1" t="s">
        <v>3940</v>
      </c>
      <c r="C323">
        <v>119.95833333333333</v>
      </c>
      <c r="D323">
        <v>2879</v>
      </c>
      <c r="E323">
        <v>0.37261213641613722</v>
      </c>
      <c r="F323">
        <v>36.785731954500079</v>
      </c>
      <c r="G323">
        <v>1.2942415297538632E-4</v>
      </c>
      <c r="H323">
        <v>1.277726014397363E-2</v>
      </c>
      <c r="I323">
        <v>5</v>
      </c>
      <c r="J323" t="b">
        <v>1</v>
      </c>
      <c r="K323">
        <v>0.65</v>
      </c>
      <c r="L323">
        <v>1.3</v>
      </c>
      <c r="M323" t="b">
        <v>1</v>
      </c>
      <c r="N323">
        <v>200</v>
      </c>
      <c r="O323" t="b">
        <v>0</v>
      </c>
      <c r="P323" t="b">
        <v>0</v>
      </c>
      <c r="Q323">
        <v>0.7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s="1" t="s">
        <v>3941</v>
      </c>
      <c r="AG323" s="1" t="s">
        <v>3942</v>
      </c>
      <c r="AH323" s="1" t="s">
        <v>3943</v>
      </c>
      <c r="AI323" s="1" t="str">
        <f>_xlfn.TEXTAFTER(_xlfn.TEXTBEFORE(batch_summary[[#This Row],[video]],"_",1),"-",3)</f>
        <v>16</v>
      </c>
      <c r="AJ323" s="1" t="str">
        <f>_xlfn.TEXTBEFORE(_xlfn.TEXTAFTER(batch_summary[[#This Row],[video]],"_",1),"_",1)</f>
        <v>20260331</v>
      </c>
      <c r="AK323" s="1" t="str">
        <f>_xlfn.TEXTBEFORE(_xlfn.TEXTAFTER(batch_summary[[#This Row],[video]],"_",2),".",1)</f>
        <v>190000</v>
      </c>
    </row>
    <row r="324" spans="1:37" x14ac:dyDescent="0.2">
      <c r="A324" s="1" t="s">
        <v>3944</v>
      </c>
      <c r="B324" s="1" t="s">
        <v>3945</v>
      </c>
      <c r="C324">
        <v>119.95833333333333</v>
      </c>
      <c r="D324">
        <v>2879</v>
      </c>
      <c r="E324">
        <v>0.37451096065342426</v>
      </c>
      <c r="F324">
        <v>36.949538446031511</v>
      </c>
      <c r="G324">
        <v>1.3008369595464544E-4</v>
      </c>
      <c r="H324">
        <v>1.2834157153883818E-2</v>
      </c>
      <c r="I324">
        <v>5</v>
      </c>
      <c r="J324" t="b">
        <v>1</v>
      </c>
      <c r="K324">
        <v>0.65</v>
      </c>
      <c r="L324">
        <v>1.3</v>
      </c>
      <c r="M324" t="b">
        <v>1</v>
      </c>
      <c r="N324">
        <v>200</v>
      </c>
      <c r="O324" t="b">
        <v>0</v>
      </c>
      <c r="P324" t="b">
        <v>0</v>
      </c>
      <c r="Q324">
        <v>0.7</v>
      </c>
      <c r="R324">
        <v>52690.457203149796</v>
      </c>
      <c r="S324">
        <v>48925.060005486012</v>
      </c>
      <c r="T324">
        <v>1410.4860076904297</v>
      </c>
      <c r="U324">
        <v>2874.04345703125</v>
      </c>
      <c r="V324">
        <v>101615.51720863581</v>
      </c>
      <c r="W324">
        <v>4284.5294647216797</v>
      </c>
      <c r="X324">
        <v>847.09010524739824</v>
      </c>
      <c r="Y324">
        <v>35.716813877499241</v>
      </c>
      <c r="Z324">
        <v>8.7575924682617181</v>
      </c>
      <c r="AA324">
        <v>1.0711323661804197</v>
      </c>
      <c r="AB324">
        <v>14.104860076904297</v>
      </c>
      <c r="AC324">
        <v>28.740434570312502</v>
      </c>
      <c r="AD324">
        <v>42.845294647216797</v>
      </c>
      <c r="AE324">
        <v>23.716844065451347</v>
      </c>
      <c r="AF324" s="1" t="s">
        <v>3946</v>
      </c>
      <c r="AG324" s="1" t="s">
        <v>3947</v>
      </c>
      <c r="AH324" s="1" t="s">
        <v>3948</v>
      </c>
      <c r="AI324" s="1" t="str">
        <f>_xlfn.TEXTAFTER(_xlfn.TEXTBEFORE(batch_summary[[#This Row],[video]],"_",1),"-",3)</f>
        <v>16</v>
      </c>
      <c r="AJ324" s="1" t="str">
        <f>_xlfn.TEXTBEFORE(_xlfn.TEXTAFTER(batch_summary[[#This Row],[video]],"_",1),"_",1)</f>
        <v>20260401</v>
      </c>
      <c r="AK324" s="1" t="str">
        <f>_xlfn.TEXTBEFORE(_xlfn.TEXTAFTER(batch_summary[[#This Row],[video]],"_",2),".",1)</f>
        <v>060000</v>
      </c>
    </row>
    <row r="325" spans="1:37" x14ac:dyDescent="0.2">
      <c r="A325" s="1" t="s">
        <v>3949</v>
      </c>
      <c r="B325" s="1" t="s">
        <v>3950</v>
      </c>
      <c r="C325">
        <v>119.95833333333333</v>
      </c>
      <c r="D325">
        <v>2879</v>
      </c>
      <c r="E325">
        <v>0.38235853612422943</v>
      </c>
      <c r="F325">
        <v>37.256507275626063</v>
      </c>
      <c r="G325">
        <v>1.3280949500667921E-4</v>
      </c>
      <c r="H325">
        <v>1.2940780575069838E-2</v>
      </c>
      <c r="I325">
        <v>5</v>
      </c>
      <c r="J325" t="b">
        <v>1</v>
      </c>
      <c r="K325">
        <v>0.65</v>
      </c>
      <c r="L325">
        <v>1.3</v>
      </c>
      <c r="M325" t="b">
        <v>1</v>
      </c>
      <c r="N325">
        <v>200</v>
      </c>
      <c r="O325" t="b">
        <v>0</v>
      </c>
      <c r="P325" t="b">
        <v>0</v>
      </c>
      <c r="Q325">
        <v>0.7</v>
      </c>
      <c r="R325">
        <v>3996.7178103327751</v>
      </c>
      <c r="S325">
        <v>2776.2934564352036</v>
      </c>
      <c r="T325">
        <v>0</v>
      </c>
      <c r="U325">
        <v>0</v>
      </c>
      <c r="V325">
        <v>6773.0112667679787</v>
      </c>
      <c r="W325">
        <v>0</v>
      </c>
      <c r="X325">
        <v>56.461365197093258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6773011266.7679787</v>
      </c>
      <c r="AF325" s="1" t="s">
        <v>3951</v>
      </c>
      <c r="AG325" s="1" t="s">
        <v>3952</v>
      </c>
      <c r="AH325" s="1" t="s">
        <v>3953</v>
      </c>
      <c r="AI325" s="1" t="str">
        <f>_xlfn.TEXTAFTER(_xlfn.TEXTBEFORE(batch_summary[[#This Row],[video]],"_",1),"-",3)</f>
        <v>16</v>
      </c>
      <c r="AJ325" s="1" t="str">
        <f>_xlfn.TEXTBEFORE(_xlfn.TEXTAFTER(batch_summary[[#This Row],[video]],"_",1),"_",1)</f>
        <v>20260401</v>
      </c>
      <c r="AK325" s="1" t="str">
        <f>_xlfn.TEXTBEFORE(_xlfn.TEXTAFTER(batch_summary[[#This Row],[video]],"_",2),".",1)</f>
        <v>070000</v>
      </c>
    </row>
    <row r="326" spans="1:37" x14ac:dyDescent="0.2">
      <c r="A326" s="1" t="s">
        <v>3954</v>
      </c>
      <c r="B326" s="1" t="s">
        <v>3955</v>
      </c>
      <c r="C326">
        <v>119.95833333333333</v>
      </c>
      <c r="D326">
        <v>2879</v>
      </c>
      <c r="E326">
        <v>0.37473642267286777</v>
      </c>
      <c r="F326">
        <v>36.71407765429467</v>
      </c>
      <c r="G326">
        <v>1.3016200856994366E-4</v>
      </c>
      <c r="H326">
        <v>1.275237153674702E-2</v>
      </c>
      <c r="I326">
        <v>5</v>
      </c>
      <c r="J326" t="b">
        <v>1</v>
      </c>
      <c r="K326">
        <v>0.65</v>
      </c>
      <c r="L326">
        <v>1.3</v>
      </c>
      <c r="M326" t="b">
        <v>1</v>
      </c>
      <c r="N326">
        <v>200</v>
      </c>
      <c r="O326" t="b">
        <v>0</v>
      </c>
      <c r="P326" t="b">
        <v>0</v>
      </c>
      <c r="Q326">
        <v>0.7</v>
      </c>
      <c r="R326">
        <v>2396.6243462562561</v>
      </c>
      <c r="S326">
        <v>2769.7105580568314</v>
      </c>
      <c r="T326">
        <v>0</v>
      </c>
      <c r="U326">
        <v>0</v>
      </c>
      <c r="V326">
        <v>5166.3349043130875</v>
      </c>
      <c r="W326">
        <v>0</v>
      </c>
      <c r="X326">
        <v>43.067744947382458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5166334904.3130875</v>
      </c>
      <c r="AF326" s="1" t="s">
        <v>3956</v>
      </c>
      <c r="AG326" s="1" t="s">
        <v>3957</v>
      </c>
      <c r="AH326" s="1" t="s">
        <v>3958</v>
      </c>
      <c r="AI326" s="1" t="str">
        <f>_xlfn.TEXTAFTER(_xlfn.TEXTBEFORE(batch_summary[[#This Row],[video]],"_",1),"-",3)</f>
        <v>16</v>
      </c>
      <c r="AJ326" s="1" t="str">
        <f>_xlfn.TEXTBEFORE(_xlfn.TEXTAFTER(batch_summary[[#This Row],[video]],"_",1),"_",1)</f>
        <v>20260401</v>
      </c>
      <c r="AK326" s="1" t="str">
        <f>_xlfn.TEXTBEFORE(_xlfn.TEXTAFTER(batch_summary[[#This Row],[video]],"_",2),".",1)</f>
        <v>080000</v>
      </c>
    </row>
    <row r="327" spans="1:37" x14ac:dyDescent="0.2">
      <c r="A327" s="1" t="s">
        <v>3959</v>
      </c>
      <c r="B327" s="1" t="s">
        <v>3960</v>
      </c>
      <c r="C327">
        <v>119.95833333333333</v>
      </c>
      <c r="D327">
        <v>2879</v>
      </c>
      <c r="E327">
        <v>0.39249446522444487</v>
      </c>
      <c r="F327">
        <v>37.675810232758522</v>
      </c>
      <c r="G327">
        <v>1.3633013727837613E-4</v>
      </c>
      <c r="H327">
        <v>1.3086422449725086E-2</v>
      </c>
      <c r="I327">
        <v>5</v>
      </c>
      <c r="J327" t="b">
        <v>1</v>
      </c>
      <c r="K327">
        <v>0.65</v>
      </c>
      <c r="L327">
        <v>1.3</v>
      </c>
      <c r="M327" t="b">
        <v>1</v>
      </c>
      <c r="N327">
        <v>200</v>
      </c>
      <c r="O327" t="b">
        <v>0</v>
      </c>
      <c r="P327" t="b">
        <v>0</v>
      </c>
      <c r="Q327">
        <v>0.7</v>
      </c>
      <c r="R327">
        <v>887837.64940589666</v>
      </c>
      <c r="S327">
        <v>778186.81272006035</v>
      </c>
      <c r="T327">
        <v>665990.73686122894</v>
      </c>
      <c r="U327">
        <v>559384.62289583683</v>
      </c>
      <c r="V327">
        <v>1666024.462125957</v>
      </c>
      <c r="W327">
        <v>1225375.3597570658</v>
      </c>
      <c r="X327">
        <v>13888.359531442504</v>
      </c>
      <c r="Y327">
        <v>10215.008209159285</v>
      </c>
      <c r="Z327">
        <v>1503.3748737144469</v>
      </c>
      <c r="AA327">
        <v>306.34383993926639</v>
      </c>
      <c r="AB327">
        <v>6659.9073686122892</v>
      </c>
      <c r="AC327">
        <v>5593.8462289583686</v>
      </c>
      <c r="AD327">
        <v>12253.753597570658</v>
      </c>
      <c r="AE327">
        <v>1.3596033646834969</v>
      </c>
      <c r="AF327" s="1" t="s">
        <v>3961</v>
      </c>
      <c r="AG327" s="1" t="s">
        <v>3962</v>
      </c>
      <c r="AH327" s="1" t="s">
        <v>3963</v>
      </c>
      <c r="AI327" s="1" t="str">
        <f>_xlfn.TEXTAFTER(_xlfn.TEXTBEFORE(batch_summary[[#This Row],[video]],"_",1),"-",3)</f>
        <v>16</v>
      </c>
      <c r="AJ327" s="1" t="str">
        <f>_xlfn.TEXTBEFORE(_xlfn.TEXTAFTER(batch_summary[[#This Row],[video]],"_",1),"_",1)</f>
        <v>20260401</v>
      </c>
      <c r="AK327" s="1" t="str">
        <f>_xlfn.TEXTBEFORE(_xlfn.TEXTAFTER(batch_summary[[#This Row],[video]],"_",2),".",1)</f>
        <v>090000</v>
      </c>
    </row>
    <row r="328" spans="1:37" x14ac:dyDescent="0.2">
      <c r="A328" s="1" t="s">
        <v>3964</v>
      </c>
      <c r="B328" s="1" t="s">
        <v>3965</v>
      </c>
      <c r="C328">
        <v>119.95833333333333</v>
      </c>
      <c r="D328">
        <v>2879</v>
      </c>
      <c r="E328">
        <v>0.41099392715841532</v>
      </c>
      <c r="F328">
        <v>38.894974970258772</v>
      </c>
      <c r="G328">
        <v>1.4275579269135648E-4</v>
      </c>
      <c r="H328">
        <v>1.3509890576678975E-2</v>
      </c>
      <c r="I328">
        <v>5</v>
      </c>
      <c r="J328" t="b">
        <v>1</v>
      </c>
      <c r="K328">
        <v>0.65</v>
      </c>
      <c r="L328">
        <v>1.3</v>
      </c>
      <c r="M328" t="b">
        <v>1</v>
      </c>
      <c r="N328">
        <v>200</v>
      </c>
      <c r="O328" t="b">
        <v>0</v>
      </c>
      <c r="P328" t="b">
        <v>0</v>
      </c>
      <c r="Q328">
        <v>0.7</v>
      </c>
      <c r="R328">
        <v>5074377.9033814669</v>
      </c>
      <c r="S328">
        <v>5217116.0395053029</v>
      </c>
      <c r="T328">
        <v>4307421.288893342</v>
      </c>
      <c r="U328">
        <v>4409000.711743474</v>
      </c>
      <c r="V328">
        <v>10291493.94288677</v>
      </c>
      <c r="W328">
        <v>8716422.000636816</v>
      </c>
      <c r="X328">
        <v>85792.238495756334</v>
      </c>
      <c r="Y328">
        <v>72662.079894158946</v>
      </c>
      <c r="Z328">
        <v>4039.0815169066191</v>
      </c>
      <c r="AA328">
        <v>2179.105500159204</v>
      </c>
      <c r="AB328">
        <v>43074.21288893342</v>
      </c>
      <c r="AC328">
        <v>44090.007117434739</v>
      </c>
      <c r="AD328">
        <v>87164.220006368152</v>
      </c>
      <c r="AE328">
        <v>1.180701662004763</v>
      </c>
      <c r="AF328" s="1" t="s">
        <v>3966</v>
      </c>
      <c r="AG328" s="1" t="s">
        <v>3967</v>
      </c>
      <c r="AH328" s="1" t="s">
        <v>3968</v>
      </c>
      <c r="AI328" s="1" t="str">
        <f>_xlfn.TEXTAFTER(_xlfn.TEXTBEFORE(batch_summary[[#This Row],[video]],"_",1),"-",3)</f>
        <v>16</v>
      </c>
      <c r="AJ328" s="1" t="str">
        <f>_xlfn.TEXTBEFORE(_xlfn.TEXTAFTER(batch_summary[[#This Row],[video]],"_",1),"_",1)</f>
        <v>20260401</v>
      </c>
      <c r="AK328" s="1" t="str">
        <f>_xlfn.TEXTBEFORE(_xlfn.TEXTAFTER(batch_summary[[#This Row],[video]],"_",2),".",1)</f>
        <v>100000</v>
      </c>
    </row>
    <row r="329" spans="1:37" x14ac:dyDescent="0.2">
      <c r="A329" s="1" t="s">
        <v>3969</v>
      </c>
      <c r="B329" s="1" t="s">
        <v>3970</v>
      </c>
      <c r="C329">
        <v>119.95833333333333</v>
      </c>
      <c r="D329">
        <v>2879</v>
      </c>
      <c r="E329">
        <v>0.40704740397632122</v>
      </c>
      <c r="F329">
        <v>38.823570866137743</v>
      </c>
      <c r="G329">
        <v>1.4138499617100423E-4</v>
      </c>
      <c r="H329">
        <v>1.3485088873267713E-2</v>
      </c>
      <c r="I329">
        <v>5</v>
      </c>
      <c r="J329" t="b">
        <v>1</v>
      </c>
      <c r="K329">
        <v>0.65</v>
      </c>
      <c r="L329">
        <v>1.3</v>
      </c>
      <c r="M329" t="b">
        <v>1</v>
      </c>
      <c r="N329">
        <v>200</v>
      </c>
      <c r="O329" t="b">
        <v>0</v>
      </c>
      <c r="P329" t="b">
        <v>0</v>
      </c>
      <c r="Q329">
        <v>0.7</v>
      </c>
      <c r="R329">
        <v>6483472.6337479353</v>
      </c>
      <c r="S329">
        <v>5364728.456061542</v>
      </c>
      <c r="T329">
        <v>5752385.1381514072</v>
      </c>
      <c r="U329">
        <v>4612494.6343822479</v>
      </c>
      <c r="V329">
        <v>11848201.089809477</v>
      </c>
      <c r="W329">
        <v>10364879.772533655</v>
      </c>
      <c r="X329">
        <v>98769.303978960568</v>
      </c>
      <c r="Y329">
        <v>86403.999493160038</v>
      </c>
      <c r="Z329">
        <v>4758.4353620529173</v>
      </c>
      <c r="AA329">
        <v>2591.2199431334134</v>
      </c>
      <c r="AB329">
        <v>57523.851381514076</v>
      </c>
      <c r="AC329">
        <v>46124.946343822478</v>
      </c>
      <c r="AD329">
        <v>103648.79772533655</v>
      </c>
      <c r="AE329">
        <v>1.143110325428621</v>
      </c>
      <c r="AF329" s="1" t="s">
        <v>3971</v>
      </c>
      <c r="AG329" s="1" t="s">
        <v>3972</v>
      </c>
      <c r="AH329" s="1" t="s">
        <v>3973</v>
      </c>
      <c r="AI329" s="1" t="str">
        <f>_xlfn.TEXTAFTER(_xlfn.TEXTBEFORE(batch_summary[[#This Row],[video]],"_",1),"-",3)</f>
        <v>16</v>
      </c>
      <c r="AJ329" s="1" t="str">
        <f>_xlfn.TEXTBEFORE(_xlfn.TEXTAFTER(batch_summary[[#This Row],[video]],"_",1),"_",1)</f>
        <v>20260401</v>
      </c>
      <c r="AK329" s="1" t="str">
        <f>_xlfn.TEXTBEFORE(_xlfn.TEXTAFTER(batch_summary[[#This Row],[video]],"_",2),".",1)</f>
        <v>110000</v>
      </c>
    </row>
    <row r="330" spans="1:37" x14ac:dyDescent="0.2">
      <c r="A330" s="1" t="s">
        <v>3974</v>
      </c>
      <c r="B330" s="1" t="s">
        <v>3975</v>
      </c>
      <c r="C330">
        <v>119.95833333333333</v>
      </c>
      <c r="D330">
        <v>2879</v>
      </c>
      <c r="E330">
        <v>0.41082697175443172</v>
      </c>
      <c r="F330">
        <v>39.092791535891593</v>
      </c>
      <c r="G330">
        <v>1.4269780192929202E-4</v>
      </c>
      <c r="H330">
        <v>1.3578600741886625E-2</v>
      </c>
      <c r="I330">
        <v>5</v>
      </c>
      <c r="J330" t="b">
        <v>1</v>
      </c>
      <c r="K330">
        <v>0.65</v>
      </c>
      <c r="L330">
        <v>1.3</v>
      </c>
      <c r="M330" t="b">
        <v>1</v>
      </c>
      <c r="N330">
        <v>200</v>
      </c>
      <c r="O330" t="b">
        <v>0</v>
      </c>
      <c r="P330" t="b">
        <v>0</v>
      </c>
      <c r="Q330">
        <v>0.7</v>
      </c>
      <c r="R330">
        <v>7566735.9847554564</v>
      </c>
      <c r="S330">
        <v>8157924.9458764195</v>
      </c>
      <c r="T330">
        <v>6674105.3425248861</v>
      </c>
      <c r="U330">
        <v>7213671.5127981901</v>
      </c>
      <c r="V330">
        <v>15724660.930631876</v>
      </c>
      <c r="W330">
        <v>13887776.855323076</v>
      </c>
      <c r="X330">
        <v>131084.35649015807</v>
      </c>
      <c r="Y330">
        <v>115771.67229168248</v>
      </c>
      <c r="Z330">
        <v>6804.4878613257406</v>
      </c>
      <c r="AA330">
        <v>3471.9442138307691</v>
      </c>
      <c r="AB330">
        <v>66741.053425248858</v>
      </c>
      <c r="AC330">
        <v>72136.715127981908</v>
      </c>
      <c r="AD330">
        <v>138877.76855323077</v>
      </c>
      <c r="AE330">
        <v>1.1322662435064066</v>
      </c>
      <c r="AF330" s="1" t="s">
        <v>3976</v>
      </c>
      <c r="AG330" s="1" t="s">
        <v>3977</v>
      </c>
      <c r="AH330" s="1" t="s">
        <v>3978</v>
      </c>
      <c r="AI330" s="1" t="str">
        <f>_xlfn.TEXTAFTER(_xlfn.TEXTBEFORE(batch_summary[[#This Row],[video]],"_",1),"-",3)</f>
        <v>16</v>
      </c>
      <c r="AJ330" s="1" t="str">
        <f>_xlfn.TEXTBEFORE(_xlfn.TEXTAFTER(batch_summary[[#This Row],[video]],"_",1),"_",1)</f>
        <v>20260401</v>
      </c>
      <c r="AK330" s="1" t="str">
        <f>_xlfn.TEXTBEFORE(_xlfn.TEXTAFTER(batch_summary[[#This Row],[video]],"_",2),".",1)</f>
        <v>120000</v>
      </c>
    </row>
    <row r="331" spans="1:37" x14ac:dyDescent="0.2">
      <c r="A331" s="1" t="s">
        <v>3979</v>
      </c>
      <c r="B331" s="1" t="s">
        <v>3980</v>
      </c>
      <c r="C331">
        <v>119.95833333333333</v>
      </c>
      <c r="D331">
        <v>2879</v>
      </c>
      <c r="E331">
        <v>0.411833256483078</v>
      </c>
      <c r="F331">
        <v>39.04278810415417</v>
      </c>
      <c r="G331">
        <v>1.430473277120799E-4</v>
      </c>
      <c r="H331">
        <v>1.3561232408528716E-2</v>
      </c>
      <c r="I331">
        <v>5</v>
      </c>
      <c r="J331" t="b">
        <v>1</v>
      </c>
      <c r="K331">
        <v>0.65</v>
      </c>
      <c r="L331">
        <v>1.3</v>
      </c>
      <c r="M331" t="b">
        <v>1</v>
      </c>
      <c r="N331">
        <v>200</v>
      </c>
      <c r="O331" t="b">
        <v>0</v>
      </c>
      <c r="P331" t="b">
        <v>0</v>
      </c>
      <c r="Q331">
        <v>0.7</v>
      </c>
      <c r="R331">
        <v>5871689.9375542402</v>
      </c>
      <c r="S331">
        <v>6157578.7147616744</v>
      </c>
      <c r="T331">
        <v>5260150.0716391802</v>
      </c>
      <c r="U331">
        <v>5502596.2309894562</v>
      </c>
      <c r="V331">
        <v>12029268.652315915</v>
      </c>
      <c r="W331">
        <v>10762746.302628636</v>
      </c>
      <c r="X331">
        <v>100278.72443750675</v>
      </c>
      <c r="Y331">
        <v>89720.70554466387</v>
      </c>
      <c r="Z331">
        <v>5010.8060933113102</v>
      </c>
      <c r="AA331">
        <v>2690.6865756571592</v>
      </c>
      <c r="AB331">
        <v>52601.500716391805</v>
      </c>
      <c r="AC331">
        <v>55025.962309894559</v>
      </c>
      <c r="AD331">
        <v>107627.46302628636</v>
      </c>
      <c r="AE331">
        <v>1.1176765031967677</v>
      </c>
      <c r="AF331" s="1" t="s">
        <v>3981</v>
      </c>
      <c r="AG331" s="1" t="s">
        <v>3982</v>
      </c>
      <c r="AH331" s="1" t="s">
        <v>3983</v>
      </c>
      <c r="AI331" s="1" t="str">
        <f>_xlfn.TEXTAFTER(_xlfn.TEXTBEFORE(batch_summary[[#This Row],[video]],"_",1),"-",3)</f>
        <v>16</v>
      </c>
      <c r="AJ331" s="1" t="str">
        <f>_xlfn.TEXTBEFORE(_xlfn.TEXTAFTER(batch_summary[[#This Row],[video]],"_",1),"_",1)</f>
        <v>20260401</v>
      </c>
      <c r="AK331" s="1" t="str">
        <f>_xlfn.TEXTBEFORE(_xlfn.TEXTAFTER(batch_summary[[#This Row],[video]],"_",2),".",1)</f>
        <v>130000</v>
      </c>
    </row>
    <row r="332" spans="1:37" x14ac:dyDescent="0.2">
      <c r="A332" s="1" t="s">
        <v>3984</v>
      </c>
      <c r="B332" s="1" t="s">
        <v>3985</v>
      </c>
      <c r="C332">
        <v>119.95833333333333</v>
      </c>
      <c r="D332">
        <v>2879</v>
      </c>
      <c r="E332">
        <v>0.39828933216631413</v>
      </c>
      <c r="F332">
        <v>38.697153894230723</v>
      </c>
      <c r="G332">
        <v>1.3834294274620151E-4</v>
      </c>
      <c r="H332">
        <v>1.3441178844817896E-2</v>
      </c>
      <c r="I332">
        <v>5</v>
      </c>
      <c r="J332" t="b">
        <v>1</v>
      </c>
      <c r="K332">
        <v>0.65</v>
      </c>
      <c r="L332">
        <v>1.3</v>
      </c>
      <c r="M332" t="b">
        <v>1</v>
      </c>
      <c r="N332">
        <v>200</v>
      </c>
      <c r="O332" t="b">
        <v>0</v>
      </c>
      <c r="P332" t="b">
        <v>0</v>
      </c>
      <c r="Q332">
        <v>0.7</v>
      </c>
      <c r="R332">
        <v>9162148.7603954673</v>
      </c>
      <c r="S332">
        <v>9858888.7933615446</v>
      </c>
      <c r="T332">
        <v>8320204.1127538085</v>
      </c>
      <c r="U332">
        <v>8892411.5525603294</v>
      </c>
      <c r="V332">
        <v>19021037.553757012</v>
      </c>
      <c r="W332">
        <v>17212615.665314138</v>
      </c>
      <c r="X332">
        <v>158563.70312267047</v>
      </c>
      <c r="Y332">
        <v>143488.28619921478</v>
      </c>
      <c r="Z332">
        <v>7178.7195398712156</v>
      </c>
      <c r="AA332">
        <v>4303.1539163285343</v>
      </c>
      <c r="AB332">
        <v>83202.04112753809</v>
      </c>
      <c r="AC332">
        <v>88924.115525603294</v>
      </c>
      <c r="AD332">
        <v>172126.15665314137</v>
      </c>
      <c r="AE332">
        <v>1.1050637464756214</v>
      </c>
      <c r="AF332" s="1" t="s">
        <v>3986</v>
      </c>
      <c r="AG332" s="1" t="s">
        <v>3987</v>
      </c>
      <c r="AH332" s="1" t="s">
        <v>3988</v>
      </c>
      <c r="AI332" s="1" t="str">
        <f>_xlfn.TEXTAFTER(_xlfn.TEXTBEFORE(batch_summary[[#This Row],[video]],"_",1),"-",3)</f>
        <v>16</v>
      </c>
      <c r="AJ332" s="1" t="str">
        <f>_xlfn.TEXTBEFORE(_xlfn.TEXTAFTER(batch_summary[[#This Row],[video]],"_",1),"_",1)</f>
        <v>20260401</v>
      </c>
      <c r="AK332" s="1" t="str">
        <f>_xlfn.TEXTBEFORE(_xlfn.TEXTAFTER(batch_summary[[#This Row],[video]],"_",2),".",1)</f>
        <v>140000</v>
      </c>
    </row>
    <row r="333" spans="1:37" x14ac:dyDescent="0.2">
      <c r="A333" s="1" t="s">
        <v>3989</v>
      </c>
      <c r="B333" s="1" t="s">
        <v>3990</v>
      </c>
      <c r="C333">
        <v>119.95833333333333</v>
      </c>
      <c r="D333">
        <v>2879</v>
      </c>
      <c r="E333">
        <v>0.40939409844577312</v>
      </c>
      <c r="F333">
        <v>39.032758411020041</v>
      </c>
      <c r="G333">
        <v>1.4220010366299866E-4</v>
      </c>
      <c r="H333">
        <v>1.3557748666557847E-2</v>
      </c>
      <c r="I333">
        <v>5</v>
      </c>
      <c r="J333" t="b">
        <v>1</v>
      </c>
      <c r="K333">
        <v>0.65</v>
      </c>
      <c r="L333">
        <v>1.3</v>
      </c>
      <c r="M333" t="b">
        <v>1</v>
      </c>
      <c r="N333">
        <v>200</v>
      </c>
      <c r="O333" t="b">
        <v>0</v>
      </c>
      <c r="P333" t="b">
        <v>0</v>
      </c>
      <c r="Q333">
        <v>0.7</v>
      </c>
      <c r="R333">
        <v>4677338.6183109283</v>
      </c>
      <c r="S333">
        <v>4878415.7100676298</v>
      </c>
      <c r="T333">
        <v>4196083.941711545</v>
      </c>
      <c r="U333">
        <v>4439479.0024470091</v>
      </c>
      <c r="V333">
        <v>9555754.3283785582</v>
      </c>
      <c r="W333">
        <v>8635562.9441585541</v>
      </c>
      <c r="X333">
        <v>79658.945425871978</v>
      </c>
      <c r="Y333">
        <v>71988.020375062624</v>
      </c>
      <c r="Z333">
        <v>4461.7506837844849</v>
      </c>
      <c r="AA333">
        <v>2158.8907360396388</v>
      </c>
      <c r="AB333">
        <v>41960.83941711545</v>
      </c>
      <c r="AC333">
        <v>44394.790024470094</v>
      </c>
      <c r="AD333">
        <v>86355.629441585537</v>
      </c>
      <c r="AE333">
        <v>1.1065583552769376</v>
      </c>
      <c r="AF333" s="1" t="s">
        <v>3991</v>
      </c>
      <c r="AG333" s="1" t="s">
        <v>3992</v>
      </c>
      <c r="AH333" s="1" t="s">
        <v>3993</v>
      </c>
      <c r="AI333" s="1" t="str">
        <f>_xlfn.TEXTAFTER(_xlfn.TEXTBEFORE(batch_summary[[#This Row],[video]],"_",1),"-",3)</f>
        <v>16</v>
      </c>
      <c r="AJ333" s="1" t="str">
        <f>_xlfn.TEXTBEFORE(_xlfn.TEXTAFTER(batch_summary[[#This Row],[video]],"_",1),"_",1)</f>
        <v>20260401</v>
      </c>
      <c r="AK333" s="1" t="str">
        <f>_xlfn.TEXTBEFORE(_xlfn.TEXTAFTER(batch_summary[[#This Row],[video]],"_",2),".",1)</f>
        <v>150000</v>
      </c>
    </row>
    <row r="334" spans="1:37" x14ac:dyDescent="0.2">
      <c r="A334" s="1" t="s">
        <v>3994</v>
      </c>
      <c r="B334" s="1" t="s">
        <v>3995</v>
      </c>
      <c r="C334">
        <v>119.95833333333333</v>
      </c>
      <c r="D334">
        <v>2879</v>
      </c>
      <c r="E334">
        <v>0.40810130257159472</v>
      </c>
      <c r="F334">
        <v>38.672151799313724</v>
      </c>
      <c r="G334">
        <v>1.4175106028884845E-4</v>
      </c>
      <c r="H334">
        <v>1.3432494546479237E-2</v>
      </c>
      <c r="I334">
        <v>5</v>
      </c>
      <c r="J334" t="b">
        <v>1</v>
      </c>
      <c r="K334">
        <v>0.65</v>
      </c>
      <c r="L334">
        <v>1.3</v>
      </c>
      <c r="M334" t="b">
        <v>1</v>
      </c>
      <c r="N334">
        <v>200</v>
      </c>
      <c r="O334" t="b">
        <v>0</v>
      </c>
      <c r="P334" t="b">
        <v>0</v>
      </c>
      <c r="Q334">
        <v>0.7</v>
      </c>
      <c r="R334">
        <v>3351155.4358029366</v>
      </c>
      <c r="S334">
        <v>2979887.7813384533</v>
      </c>
      <c r="T334">
        <v>3028854.0090495348</v>
      </c>
      <c r="U334">
        <v>2664428.7485557795</v>
      </c>
      <c r="V334">
        <v>6331043.2171413898</v>
      </c>
      <c r="W334">
        <v>5693282.7576053143</v>
      </c>
      <c r="X334">
        <v>52777.018829938643</v>
      </c>
      <c r="Y334">
        <v>47460.502321128013</v>
      </c>
      <c r="Z334">
        <v>5034.4526850152015</v>
      </c>
      <c r="AA334">
        <v>1423.3206894013285</v>
      </c>
      <c r="AB334">
        <v>30288.540090495349</v>
      </c>
      <c r="AC334">
        <v>26644.287485557794</v>
      </c>
      <c r="AD334">
        <v>56932.82757605314</v>
      </c>
      <c r="AE334">
        <v>1.1120198111861086</v>
      </c>
      <c r="AF334" s="1" t="s">
        <v>3996</v>
      </c>
      <c r="AG334" s="1" t="s">
        <v>3997</v>
      </c>
      <c r="AH334" s="1" t="s">
        <v>3998</v>
      </c>
      <c r="AI334" s="1" t="str">
        <f>_xlfn.TEXTAFTER(_xlfn.TEXTBEFORE(batch_summary[[#This Row],[video]],"_",1),"-",3)</f>
        <v>16</v>
      </c>
      <c r="AJ334" s="1" t="str">
        <f>_xlfn.TEXTBEFORE(_xlfn.TEXTAFTER(batch_summary[[#This Row],[video]],"_",1),"_",1)</f>
        <v>20260401</v>
      </c>
      <c r="AK334" s="1" t="str">
        <f>_xlfn.TEXTBEFORE(_xlfn.TEXTAFTER(batch_summary[[#This Row],[video]],"_",2),".",1)</f>
        <v>160000</v>
      </c>
    </row>
    <row r="335" spans="1:37" x14ac:dyDescent="0.2">
      <c r="A335" s="1" t="s">
        <v>3999</v>
      </c>
      <c r="B335" s="1" t="s">
        <v>4000</v>
      </c>
      <c r="C335">
        <v>119.95833333333333</v>
      </c>
      <c r="D335">
        <v>2879</v>
      </c>
      <c r="E335">
        <v>0.38899472169578075</v>
      </c>
      <c r="F335">
        <v>37.675387818366289</v>
      </c>
      <c r="G335">
        <v>1.3511452646605793E-4</v>
      </c>
      <c r="H335">
        <v>1.3086275727115765E-2</v>
      </c>
      <c r="I335">
        <v>5</v>
      </c>
      <c r="J335" t="b">
        <v>1</v>
      </c>
      <c r="K335">
        <v>0.65</v>
      </c>
      <c r="L335">
        <v>1.3</v>
      </c>
      <c r="M335" t="b">
        <v>1</v>
      </c>
      <c r="N335">
        <v>200</v>
      </c>
      <c r="O335" t="b">
        <v>0</v>
      </c>
      <c r="P335" t="b">
        <v>0</v>
      </c>
      <c r="Q335">
        <v>0.7</v>
      </c>
      <c r="R335">
        <v>1188491.295507431</v>
      </c>
      <c r="S335">
        <v>917369.12118983269</v>
      </c>
      <c r="T335">
        <v>1067546.5716458559</v>
      </c>
      <c r="U335">
        <v>799622.27490866184</v>
      </c>
      <c r="V335">
        <v>2105860.4166972637</v>
      </c>
      <c r="W335">
        <v>1867168.8465545177</v>
      </c>
      <c r="X335">
        <v>17554.932268403729</v>
      </c>
      <c r="Y335">
        <v>15565.14495217382</v>
      </c>
      <c r="Z335">
        <v>2861.201910562515</v>
      </c>
      <c r="AA335">
        <v>466.7922116386294</v>
      </c>
      <c r="AB335">
        <v>10675.465716458559</v>
      </c>
      <c r="AC335">
        <v>7996.222749086618</v>
      </c>
      <c r="AD335">
        <v>18671.688465545176</v>
      </c>
      <c r="AE335">
        <v>1.1278360929078284</v>
      </c>
      <c r="AF335" s="1" t="s">
        <v>4001</v>
      </c>
      <c r="AG335" s="1" t="s">
        <v>4002</v>
      </c>
      <c r="AH335" s="1" t="s">
        <v>4003</v>
      </c>
      <c r="AI335" s="1" t="str">
        <f>_xlfn.TEXTAFTER(_xlfn.TEXTBEFORE(batch_summary[[#This Row],[video]],"_",1),"-",3)</f>
        <v>16</v>
      </c>
      <c r="AJ335" s="1" t="str">
        <f>_xlfn.TEXTBEFORE(_xlfn.TEXTAFTER(batch_summary[[#This Row],[video]],"_",1),"_",1)</f>
        <v>20260401</v>
      </c>
      <c r="AK335" s="1" t="str">
        <f>_xlfn.TEXTBEFORE(_xlfn.TEXTAFTER(batch_summary[[#This Row],[video]],"_",2),".",1)</f>
        <v>170000</v>
      </c>
    </row>
    <row r="336" spans="1:37" x14ac:dyDescent="0.2">
      <c r="A336" s="1" t="s">
        <v>4004</v>
      </c>
      <c r="B336" s="1" t="s">
        <v>4005</v>
      </c>
      <c r="C336">
        <v>119.95833333333333</v>
      </c>
      <c r="D336">
        <v>2879</v>
      </c>
      <c r="E336">
        <v>0.38718483503907919</v>
      </c>
      <c r="F336">
        <v>37.545944294892251</v>
      </c>
      <c r="G336">
        <v>1.3448587531749885E-4</v>
      </c>
      <c r="H336">
        <v>1.3041314447687479E-2</v>
      </c>
      <c r="I336">
        <v>5</v>
      </c>
      <c r="J336" t="b">
        <v>1</v>
      </c>
      <c r="K336">
        <v>0.65</v>
      </c>
      <c r="L336">
        <v>1.3</v>
      </c>
      <c r="M336" t="b">
        <v>1</v>
      </c>
      <c r="N336">
        <v>200</v>
      </c>
      <c r="O336" t="b">
        <v>0</v>
      </c>
      <c r="P336" t="b">
        <v>0</v>
      </c>
      <c r="Q336">
        <v>0.7</v>
      </c>
      <c r="R336">
        <v>619592.09185153246</v>
      </c>
      <c r="S336">
        <v>491705.22990936041</v>
      </c>
      <c r="T336">
        <v>531478.93405175209</v>
      </c>
      <c r="U336">
        <v>420267.76801347733</v>
      </c>
      <c r="V336">
        <v>1111297.3217608929</v>
      </c>
      <c r="W336">
        <v>951746.70206522942</v>
      </c>
      <c r="X336">
        <v>9264.0276909556887</v>
      </c>
      <c r="Y336">
        <v>7933.9773704638783</v>
      </c>
      <c r="Z336">
        <v>1237.450412285328</v>
      </c>
      <c r="AA336">
        <v>237.93667551630739</v>
      </c>
      <c r="AB336">
        <v>5314.7893405175209</v>
      </c>
      <c r="AC336">
        <v>4202.6776801347733</v>
      </c>
      <c r="AD336">
        <v>9517.4670206522933</v>
      </c>
      <c r="AE336">
        <v>1.1676397925513677</v>
      </c>
      <c r="AF336" s="1" t="s">
        <v>4006</v>
      </c>
      <c r="AG336" s="1" t="s">
        <v>4007</v>
      </c>
      <c r="AH336" s="1" t="s">
        <v>4008</v>
      </c>
      <c r="AI336" s="1" t="str">
        <f>_xlfn.TEXTAFTER(_xlfn.TEXTBEFORE(batch_summary[[#This Row],[video]],"_",1),"-",3)</f>
        <v>16</v>
      </c>
      <c r="AJ336" s="1" t="str">
        <f>_xlfn.TEXTBEFORE(_xlfn.TEXTAFTER(batch_summary[[#This Row],[video]],"_",1),"_",1)</f>
        <v>20260401</v>
      </c>
      <c r="AK336" s="1" t="str">
        <f>_xlfn.TEXTBEFORE(_xlfn.TEXTAFTER(batch_summary[[#This Row],[video]],"_",2),".",1)</f>
        <v>180000</v>
      </c>
    </row>
    <row r="337" spans="1:37" x14ac:dyDescent="0.2">
      <c r="A337" s="1" t="s">
        <v>4009</v>
      </c>
      <c r="B337" s="1" t="s">
        <v>4010</v>
      </c>
      <c r="C337">
        <v>119.95833333333333</v>
      </c>
      <c r="D337">
        <v>2879</v>
      </c>
      <c r="E337">
        <v>0.37544894032180309</v>
      </c>
      <c r="F337">
        <v>36.946188037283719</v>
      </c>
      <c r="G337">
        <v>1.3040949646467631E-4</v>
      </c>
      <c r="H337">
        <v>1.2832993413436512E-2</v>
      </c>
      <c r="I337">
        <v>5</v>
      </c>
      <c r="J337" t="b">
        <v>1</v>
      </c>
      <c r="K337">
        <v>0.65</v>
      </c>
      <c r="L337">
        <v>1.3</v>
      </c>
      <c r="M337" t="b">
        <v>1</v>
      </c>
      <c r="N337">
        <v>200</v>
      </c>
      <c r="O337" t="b">
        <v>0</v>
      </c>
      <c r="P337" t="b">
        <v>0</v>
      </c>
      <c r="Q337">
        <v>0.7</v>
      </c>
      <c r="R337">
        <v>2403.6354960203171</v>
      </c>
      <c r="S337">
        <v>2211.3157075643539</v>
      </c>
      <c r="T337">
        <v>0</v>
      </c>
      <c r="U337">
        <v>0</v>
      </c>
      <c r="V337">
        <v>4614.951203584671</v>
      </c>
      <c r="W337">
        <v>0</v>
      </c>
      <c r="X337">
        <v>38.471284781532518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4614951203.584671</v>
      </c>
      <c r="AF337" s="1" t="s">
        <v>4011</v>
      </c>
      <c r="AG337" s="1" t="s">
        <v>4012</v>
      </c>
      <c r="AH337" s="1" t="s">
        <v>4013</v>
      </c>
      <c r="AI337" s="1" t="str">
        <f>_xlfn.TEXTAFTER(_xlfn.TEXTBEFORE(batch_summary[[#This Row],[video]],"_",1),"-",3)</f>
        <v>16</v>
      </c>
      <c r="AJ337" s="1" t="str">
        <f>_xlfn.TEXTBEFORE(_xlfn.TEXTAFTER(batch_summary[[#This Row],[video]],"_",1),"_",1)</f>
        <v>20260401</v>
      </c>
      <c r="AK337" s="1" t="str">
        <f>_xlfn.TEXTBEFORE(_xlfn.TEXTAFTER(batch_summary[[#This Row],[video]],"_",2),".",1)</f>
        <v>190000</v>
      </c>
    </row>
    <row r="338" spans="1:37" x14ac:dyDescent="0.2">
      <c r="A338" s="1" t="s">
        <v>4014</v>
      </c>
      <c r="B338" s="1" t="s">
        <v>4015</v>
      </c>
      <c r="C338">
        <v>119.95833333333333</v>
      </c>
      <c r="D338">
        <v>2879</v>
      </c>
      <c r="E338">
        <v>0.37952783890068531</v>
      </c>
      <c r="F338">
        <v>36.962190846912563</v>
      </c>
      <c r="G338">
        <v>1.3182627262962323E-4</v>
      </c>
      <c r="H338">
        <v>1.2838551874578868E-2</v>
      </c>
      <c r="I338">
        <v>5</v>
      </c>
      <c r="J338" t="b">
        <v>1</v>
      </c>
      <c r="K338">
        <v>0.65</v>
      </c>
      <c r="L338">
        <v>1.3</v>
      </c>
      <c r="M338" t="b">
        <v>1</v>
      </c>
      <c r="N338">
        <v>200</v>
      </c>
      <c r="O338" t="b">
        <v>0</v>
      </c>
      <c r="P338" t="b">
        <v>0</v>
      </c>
      <c r="Q338">
        <v>0.7</v>
      </c>
      <c r="R338">
        <v>82571.87075060606</v>
      </c>
      <c r="S338">
        <v>73018.440125524998</v>
      </c>
      <c r="T338">
        <v>3262.7619018554688</v>
      </c>
      <c r="U338">
        <v>2955.943115234375</v>
      </c>
      <c r="V338">
        <v>155590.31087613106</v>
      </c>
      <c r="W338">
        <v>6218.7050170898438</v>
      </c>
      <c r="X338">
        <v>1297.0362837885189</v>
      </c>
      <c r="Y338">
        <v>51.84054199727553</v>
      </c>
      <c r="Z338">
        <v>15.358318176269531</v>
      </c>
      <c r="AA338">
        <v>1.554676254272461</v>
      </c>
      <c r="AB338">
        <v>32.627619018554689</v>
      </c>
      <c r="AC338">
        <v>29.559431152343748</v>
      </c>
      <c r="AD338">
        <v>62.187050170898438</v>
      </c>
      <c r="AE338">
        <v>25.019728456092999</v>
      </c>
      <c r="AF338" s="1" t="s">
        <v>4016</v>
      </c>
      <c r="AG338" s="1" t="s">
        <v>4017</v>
      </c>
      <c r="AH338" s="1" t="s">
        <v>4018</v>
      </c>
      <c r="AI338" s="1" t="str">
        <f>_xlfn.TEXTAFTER(_xlfn.TEXTBEFORE(batch_summary[[#This Row],[video]],"_",1),"-",3)</f>
        <v>16</v>
      </c>
      <c r="AJ338" s="1" t="str">
        <f>_xlfn.TEXTBEFORE(_xlfn.TEXTAFTER(batch_summary[[#This Row],[video]],"_",1),"_",1)</f>
        <v>20260402</v>
      </c>
      <c r="AK338" s="1" t="str">
        <f>_xlfn.TEXTBEFORE(_xlfn.TEXTAFTER(batch_summary[[#This Row],[video]],"_",2),".",1)</f>
        <v>060000</v>
      </c>
    </row>
    <row r="339" spans="1:37" x14ac:dyDescent="0.2">
      <c r="A339" s="1" t="s">
        <v>4019</v>
      </c>
      <c r="B339" s="1" t="s">
        <v>4020</v>
      </c>
      <c r="C339">
        <v>119.95833333333333</v>
      </c>
      <c r="D339">
        <v>2879</v>
      </c>
      <c r="E339">
        <v>0.38089653104543686</v>
      </c>
      <c r="F339">
        <v>36.858210244216025</v>
      </c>
      <c r="G339">
        <v>1.3230167802898119E-4</v>
      </c>
      <c r="H339">
        <v>1.2802434958046553E-2</v>
      </c>
      <c r="I339">
        <v>5</v>
      </c>
      <c r="J339" t="b">
        <v>1</v>
      </c>
      <c r="K339">
        <v>0.65</v>
      </c>
      <c r="L339">
        <v>1.3</v>
      </c>
      <c r="M339" t="b">
        <v>1</v>
      </c>
      <c r="N339">
        <v>200</v>
      </c>
      <c r="O339" t="b">
        <v>0</v>
      </c>
      <c r="P339" t="b">
        <v>0</v>
      </c>
      <c r="Q339">
        <v>0.7</v>
      </c>
      <c r="R339">
        <v>1630.7234205007553</v>
      </c>
      <c r="S339">
        <v>2205.5674282312393</v>
      </c>
      <c r="T339">
        <v>0</v>
      </c>
      <c r="U339">
        <v>0</v>
      </c>
      <c r="V339">
        <v>3836.2908487319946</v>
      </c>
      <c r="W339">
        <v>0</v>
      </c>
      <c r="X339">
        <v>31.980194640350078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3836290848.7319946</v>
      </c>
      <c r="AF339" s="1" t="s">
        <v>4021</v>
      </c>
      <c r="AG339" s="1" t="s">
        <v>4022</v>
      </c>
      <c r="AH339" s="1" t="s">
        <v>4023</v>
      </c>
      <c r="AI339" s="1" t="str">
        <f>_xlfn.TEXTAFTER(_xlfn.TEXTBEFORE(batch_summary[[#This Row],[video]],"_",1),"-",3)</f>
        <v>16</v>
      </c>
      <c r="AJ339" s="1" t="str">
        <f>_xlfn.TEXTBEFORE(_xlfn.TEXTAFTER(batch_summary[[#This Row],[video]],"_",1),"_",1)</f>
        <v>20260402</v>
      </c>
      <c r="AK339" s="1" t="str">
        <f>_xlfn.TEXTBEFORE(_xlfn.TEXTAFTER(batch_summary[[#This Row],[video]],"_",2),".",1)</f>
        <v>070000</v>
      </c>
    </row>
    <row r="340" spans="1:37" x14ac:dyDescent="0.2">
      <c r="A340" s="1" t="s">
        <v>4024</v>
      </c>
      <c r="B340" s="1" t="s">
        <v>4025</v>
      </c>
      <c r="C340">
        <v>119.95833333333333</v>
      </c>
      <c r="D340">
        <v>2879</v>
      </c>
      <c r="E340">
        <v>0.37859993148595095</v>
      </c>
      <c r="F340">
        <v>36.8800911558792</v>
      </c>
      <c r="G340">
        <v>1.3150397064465126E-4</v>
      </c>
      <c r="H340">
        <v>1.2810035135769086E-2</v>
      </c>
      <c r="I340">
        <v>5</v>
      </c>
      <c r="J340" t="b">
        <v>1</v>
      </c>
      <c r="K340">
        <v>0.65</v>
      </c>
      <c r="L340">
        <v>1.3</v>
      </c>
      <c r="M340" t="b">
        <v>1</v>
      </c>
      <c r="N340">
        <v>200</v>
      </c>
      <c r="O340" t="b">
        <v>0</v>
      </c>
      <c r="P340" t="b">
        <v>0</v>
      </c>
      <c r="Q340">
        <v>0.7</v>
      </c>
      <c r="R340">
        <v>1128.617467880249</v>
      </c>
      <c r="S340">
        <v>757.85324478149414</v>
      </c>
      <c r="T340">
        <v>0</v>
      </c>
      <c r="U340">
        <v>0</v>
      </c>
      <c r="V340">
        <v>1886.4707126617432</v>
      </c>
      <c r="W340">
        <v>0</v>
      </c>
      <c r="X340">
        <v>15.726049706106926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1886470712.6617432</v>
      </c>
      <c r="AF340" s="1" t="s">
        <v>4026</v>
      </c>
      <c r="AG340" s="1" t="s">
        <v>4027</v>
      </c>
      <c r="AH340" s="1" t="s">
        <v>4028</v>
      </c>
      <c r="AI340" s="1" t="str">
        <f>_xlfn.TEXTAFTER(_xlfn.TEXTBEFORE(batch_summary[[#This Row],[video]],"_",1),"-",3)</f>
        <v>16</v>
      </c>
      <c r="AJ340" s="1" t="str">
        <f>_xlfn.TEXTBEFORE(_xlfn.TEXTAFTER(batch_summary[[#This Row],[video]],"_",1),"_",1)</f>
        <v>20260402</v>
      </c>
      <c r="AK340" s="1" t="str">
        <f>_xlfn.TEXTBEFORE(_xlfn.TEXTAFTER(batch_summary[[#This Row],[video]],"_",2),".",1)</f>
        <v>080000</v>
      </c>
    </row>
    <row r="341" spans="1:37" x14ac:dyDescent="0.2">
      <c r="A341" s="1" t="s">
        <v>4029</v>
      </c>
      <c r="B341" s="1" t="s">
        <v>4030</v>
      </c>
      <c r="C341">
        <v>119.95833333333333</v>
      </c>
      <c r="D341">
        <v>2879</v>
      </c>
      <c r="E341">
        <v>0.37620632443577051</v>
      </c>
      <c r="F341">
        <v>36.793640184216201</v>
      </c>
      <c r="G341">
        <v>1.3067256840422733E-4</v>
      </c>
      <c r="H341">
        <v>1.2780007010842724E-2</v>
      </c>
      <c r="I341">
        <v>5</v>
      </c>
      <c r="J341" t="b">
        <v>1</v>
      </c>
      <c r="K341">
        <v>0.65</v>
      </c>
      <c r="L341">
        <v>1.3</v>
      </c>
      <c r="M341" t="b">
        <v>1</v>
      </c>
      <c r="N341">
        <v>200</v>
      </c>
      <c r="O341" t="b">
        <v>0</v>
      </c>
      <c r="P341" t="b">
        <v>0</v>
      </c>
      <c r="Q341">
        <v>0.7</v>
      </c>
      <c r="R341">
        <v>290204.97803086042</v>
      </c>
      <c r="S341">
        <v>211383.95890438557</v>
      </c>
      <c r="T341">
        <v>250775.02265381813</v>
      </c>
      <c r="U341">
        <v>172153.22124385834</v>
      </c>
      <c r="V341">
        <v>501588.93693524599</v>
      </c>
      <c r="W341">
        <v>422928.24389767647</v>
      </c>
      <c r="X341">
        <v>4181.3596687898244</v>
      </c>
      <c r="Y341">
        <v>3525.62620824739</v>
      </c>
      <c r="Z341">
        <v>2976.4888988399507</v>
      </c>
      <c r="AA341">
        <v>105.73206097441911</v>
      </c>
      <c r="AB341">
        <v>2507.7502265381813</v>
      </c>
      <c r="AC341">
        <v>1721.5322124385834</v>
      </c>
      <c r="AD341">
        <v>4229.2824389767648</v>
      </c>
      <c r="AE341">
        <v>1.1859906359353969</v>
      </c>
      <c r="AF341" s="1" t="s">
        <v>4031</v>
      </c>
      <c r="AG341" s="1" t="s">
        <v>4032</v>
      </c>
      <c r="AH341" s="1" t="s">
        <v>4033</v>
      </c>
      <c r="AI341" s="1" t="str">
        <f>_xlfn.TEXTAFTER(_xlfn.TEXTBEFORE(batch_summary[[#This Row],[video]],"_",1),"-",3)</f>
        <v>16</v>
      </c>
      <c r="AJ341" s="1" t="str">
        <f>_xlfn.TEXTBEFORE(_xlfn.TEXTAFTER(batch_summary[[#This Row],[video]],"_",1),"_",1)</f>
        <v>20260402</v>
      </c>
      <c r="AK341" s="1" t="str">
        <f>_xlfn.TEXTBEFORE(_xlfn.TEXTAFTER(batch_summary[[#This Row],[video]],"_",2),".",1)</f>
        <v>090000</v>
      </c>
    </row>
    <row r="342" spans="1:37" x14ac:dyDescent="0.2">
      <c r="A342" s="1" t="s">
        <v>4034</v>
      </c>
      <c r="B342" s="1" t="s">
        <v>4035</v>
      </c>
      <c r="C342">
        <v>119.95833333333333</v>
      </c>
      <c r="D342">
        <v>2879</v>
      </c>
      <c r="E342">
        <v>0.38765303418040276</v>
      </c>
      <c r="F342">
        <v>37.485443754121661</v>
      </c>
      <c r="G342">
        <v>1.3464850093101866E-4</v>
      </c>
      <c r="H342">
        <v>1.302030001879877E-2</v>
      </c>
      <c r="I342">
        <v>5</v>
      </c>
      <c r="J342" t="b">
        <v>1</v>
      </c>
      <c r="K342">
        <v>0.65</v>
      </c>
      <c r="L342">
        <v>1.3</v>
      </c>
      <c r="M342" t="b">
        <v>1</v>
      </c>
      <c r="N342">
        <v>200</v>
      </c>
      <c r="O342" t="b">
        <v>0</v>
      </c>
      <c r="P342" t="b">
        <v>0</v>
      </c>
      <c r="Q342">
        <v>0.7</v>
      </c>
      <c r="R342">
        <v>1145522.1107267141</v>
      </c>
      <c r="S342">
        <v>1251934.2985722423</v>
      </c>
      <c r="T342">
        <v>882398.76233148575</v>
      </c>
      <c r="U342">
        <v>1040734.1683015227</v>
      </c>
      <c r="V342">
        <v>2397456.4092989564</v>
      </c>
      <c r="W342">
        <v>1923132.9306330085</v>
      </c>
      <c r="X342">
        <v>19985.742904888833</v>
      </c>
      <c r="Y342">
        <v>16031.674308854535</v>
      </c>
      <c r="Z342">
        <v>3020.0652351212502</v>
      </c>
      <c r="AA342">
        <v>480.78323265825213</v>
      </c>
      <c r="AB342">
        <v>8823.987623314857</v>
      </c>
      <c r="AC342">
        <v>10407.341683015227</v>
      </c>
      <c r="AD342">
        <v>19231.329306330084</v>
      </c>
      <c r="AE342">
        <v>1.2466410257505298</v>
      </c>
      <c r="AF342" s="1" t="s">
        <v>4036</v>
      </c>
      <c r="AG342" s="1" t="s">
        <v>4037</v>
      </c>
      <c r="AH342" s="1" t="s">
        <v>4038</v>
      </c>
      <c r="AI342" s="1" t="str">
        <f>_xlfn.TEXTAFTER(_xlfn.TEXTBEFORE(batch_summary[[#This Row],[video]],"_",1),"-",3)</f>
        <v>16</v>
      </c>
      <c r="AJ342" s="1" t="str">
        <f>_xlfn.TEXTBEFORE(_xlfn.TEXTAFTER(batch_summary[[#This Row],[video]],"_",1),"_",1)</f>
        <v>20260402</v>
      </c>
      <c r="AK342" s="1" t="str">
        <f>_xlfn.TEXTBEFORE(_xlfn.TEXTAFTER(batch_summary[[#This Row],[video]],"_",2),".",1)</f>
        <v>100000</v>
      </c>
    </row>
    <row r="343" spans="1:37" x14ac:dyDescent="0.2">
      <c r="A343" s="1" t="s">
        <v>4039</v>
      </c>
      <c r="B343" s="1" t="s">
        <v>4040</v>
      </c>
      <c r="C343">
        <v>119.95833333333333</v>
      </c>
      <c r="D343">
        <v>2879</v>
      </c>
      <c r="E343">
        <v>0.3918591495603323</v>
      </c>
      <c r="F343">
        <v>38.559354215860367</v>
      </c>
      <c r="G343">
        <v>1.3610946493933042E-4</v>
      </c>
      <c r="H343">
        <v>1.3393315114921976E-2</v>
      </c>
      <c r="I343">
        <v>5</v>
      </c>
      <c r="J343" t="b">
        <v>1</v>
      </c>
      <c r="K343">
        <v>0.65</v>
      </c>
      <c r="L343">
        <v>1.3</v>
      </c>
      <c r="M343" t="b">
        <v>1</v>
      </c>
      <c r="N343">
        <v>200</v>
      </c>
      <c r="O343" t="b">
        <v>0</v>
      </c>
      <c r="P343" t="b">
        <v>0</v>
      </c>
      <c r="Q343">
        <v>0.7</v>
      </c>
      <c r="R343">
        <v>10399972.018372655</v>
      </c>
      <c r="S343">
        <v>10511099.659342289</v>
      </c>
      <c r="T343">
        <v>9387921.153006196</v>
      </c>
      <c r="U343">
        <v>9514166.0596837401</v>
      </c>
      <c r="V343">
        <v>20911071.677714944</v>
      </c>
      <c r="W343">
        <v>18902087.212689936</v>
      </c>
      <c r="X343">
        <v>174319.45823729027</v>
      </c>
      <c r="Y343">
        <v>157572.10597588</v>
      </c>
      <c r="Z343">
        <v>8625.0398461914065</v>
      </c>
      <c r="AA343">
        <v>4725.5218031724844</v>
      </c>
      <c r="AB343">
        <v>93879.211530061963</v>
      </c>
      <c r="AC343">
        <v>95141.660596837406</v>
      </c>
      <c r="AD343">
        <v>189020.87212689937</v>
      </c>
      <c r="AE343">
        <v>1.1062837369450012</v>
      </c>
      <c r="AF343" s="1" t="s">
        <v>4041</v>
      </c>
      <c r="AG343" s="1" t="s">
        <v>4042</v>
      </c>
      <c r="AH343" s="1" t="s">
        <v>4043</v>
      </c>
      <c r="AI343" s="1" t="str">
        <f>_xlfn.TEXTAFTER(_xlfn.TEXTBEFORE(batch_summary[[#This Row],[video]],"_",1),"-",3)</f>
        <v>16</v>
      </c>
      <c r="AJ343" s="1" t="str">
        <f>_xlfn.TEXTBEFORE(_xlfn.TEXTAFTER(batch_summary[[#This Row],[video]],"_",1),"_",1)</f>
        <v>20260402</v>
      </c>
      <c r="AK343" s="1" t="str">
        <f>_xlfn.TEXTBEFORE(_xlfn.TEXTAFTER(batch_summary[[#This Row],[video]],"_",2),".",1)</f>
        <v>110000</v>
      </c>
    </row>
    <row r="344" spans="1:37" x14ac:dyDescent="0.2">
      <c r="A344" s="1" t="s">
        <v>4044</v>
      </c>
      <c r="B344" s="1" t="s">
        <v>4045</v>
      </c>
      <c r="C344">
        <v>119.95833333333333</v>
      </c>
      <c r="D344">
        <v>2879</v>
      </c>
      <c r="E344">
        <v>0.39715599361807108</v>
      </c>
      <c r="F344">
        <v>38.387472364120185</v>
      </c>
      <c r="G344">
        <v>1.3794928573048666E-4</v>
      </c>
      <c r="H344">
        <v>1.3333613186564845E-2</v>
      </c>
      <c r="I344">
        <v>5</v>
      </c>
      <c r="J344" t="b">
        <v>1</v>
      </c>
      <c r="K344">
        <v>0.65</v>
      </c>
      <c r="L344">
        <v>1.3</v>
      </c>
      <c r="M344" t="b">
        <v>1</v>
      </c>
      <c r="N344">
        <v>200</v>
      </c>
      <c r="O344" t="b">
        <v>0</v>
      </c>
      <c r="P344" t="b">
        <v>0</v>
      </c>
      <c r="Q344">
        <v>0.7</v>
      </c>
      <c r="R344">
        <v>8756718.8737350702</v>
      </c>
      <c r="S344">
        <v>9045124.5252392888</v>
      </c>
      <c r="T344">
        <v>7602744.0749370456</v>
      </c>
      <c r="U344">
        <v>7994359.0694103241</v>
      </c>
      <c r="V344">
        <v>17801843.398974359</v>
      </c>
      <c r="W344">
        <v>15597103.14434737</v>
      </c>
      <c r="X344">
        <v>148400.22284660806</v>
      </c>
      <c r="Y344">
        <v>130021.00571876933</v>
      </c>
      <c r="Z344">
        <v>5833.1878866040706</v>
      </c>
      <c r="AA344">
        <v>3899.2757860868428</v>
      </c>
      <c r="AB344">
        <v>76027.440749370449</v>
      </c>
      <c r="AC344">
        <v>79943.590694103244</v>
      </c>
      <c r="AD344">
        <v>155971.03144347371</v>
      </c>
      <c r="AE344">
        <v>1.1413557526819345</v>
      </c>
      <c r="AF344" s="1" t="s">
        <v>4046</v>
      </c>
      <c r="AG344" s="1" t="s">
        <v>4047</v>
      </c>
      <c r="AH344" s="1" t="s">
        <v>4048</v>
      </c>
      <c r="AI344" s="1" t="str">
        <f>_xlfn.TEXTAFTER(_xlfn.TEXTBEFORE(batch_summary[[#This Row],[video]],"_",1),"-",3)</f>
        <v>16</v>
      </c>
      <c r="AJ344" s="1" t="str">
        <f>_xlfn.TEXTBEFORE(_xlfn.TEXTAFTER(batch_summary[[#This Row],[video]],"_",1),"_",1)</f>
        <v>20260402</v>
      </c>
      <c r="AK344" s="1" t="str">
        <f>_xlfn.TEXTBEFORE(_xlfn.TEXTAFTER(batch_summary[[#This Row],[video]],"_",2),".",1)</f>
        <v>120000</v>
      </c>
    </row>
    <row r="345" spans="1:37" x14ac:dyDescent="0.2">
      <c r="A345" s="1" t="s">
        <v>4049</v>
      </c>
      <c r="B345" s="1" t="s">
        <v>4050</v>
      </c>
      <c r="C345">
        <v>119.95833333333333</v>
      </c>
      <c r="D345">
        <v>2879</v>
      </c>
      <c r="E345">
        <v>0.39462580531835556</v>
      </c>
      <c r="F345">
        <v>38.319526410661638</v>
      </c>
      <c r="G345">
        <v>1.3707044297268342E-4</v>
      </c>
      <c r="H345">
        <v>1.331001264698216E-2</v>
      </c>
      <c r="I345">
        <v>5</v>
      </c>
      <c r="J345" t="b">
        <v>1</v>
      </c>
      <c r="K345">
        <v>0.65</v>
      </c>
      <c r="L345">
        <v>1.3</v>
      </c>
      <c r="M345" t="b">
        <v>1</v>
      </c>
      <c r="N345">
        <v>200</v>
      </c>
      <c r="O345" t="b">
        <v>0</v>
      </c>
      <c r="P345" t="b">
        <v>0</v>
      </c>
      <c r="Q345">
        <v>0.7</v>
      </c>
      <c r="R345">
        <v>9841607.8955153227</v>
      </c>
      <c r="S345">
        <v>9723492.1443208456</v>
      </c>
      <c r="T345">
        <v>8939082.9708433747</v>
      </c>
      <c r="U345">
        <v>8868443.762047112</v>
      </c>
      <c r="V345">
        <v>19565100.039836168</v>
      </c>
      <c r="W345">
        <v>17807526.732890487</v>
      </c>
      <c r="X345">
        <v>163099.13197501496</v>
      </c>
      <c r="Y345">
        <v>148447.60041311974</v>
      </c>
      <c r="Z345">
        <v>7265.3245848083498</v>
      </c>
      <c r="AA345">
        <v>4451.8816832226221</v>
      </c>
      <c r="AB345">
        <v>89390.829708433754</v>
      </c>
      <c r="AC345">
        <v>88684.437620471115</v>
      </c>
      <c r="AD345">
        <v>178075.26732890488</v>
      </c>
      <c r="AE345">
        <v>1.0986983388153193</v>
      </c>
      <c r="AF345" s="1" t="s">
        <v>4051</v>
      </c>
      <c r="AG345" s="1" t="s">
        <v>4052</v>
      </c>
      <c r="AH345" s="1" t="s">
        <v>4053</v>
      </c>
      <c r="AI345" s="1" t="str">
        <f>_xlfn.TEXTAFTER(_xlfn.TEXTBEFORE(batch_summary[[#This Row],[video]],"_",1),"-",3)</f>
        <v>16</v>
      </c>
      <c r="AJ345" s="1" t="str">
        <f>_xlfn.TEXTBEFORE(_xlfn.TEXTAFTER(batch_summary[[#This Row],[video]],"_",1),"_",1)</f>
        <v>20260402</v>
      </c>
      <c r="AK345" s="1" t="str">
        <f>_xlfn.TEXTBEFORE(_xlfn.TEXTAFTER(batch_summary[[#This Row],[video]],"_",2),".",1)</f>
        <v>130000</v>
      </c>
    </row>
    <row r="346" spans="1:37" x14ac:dyDescent="0.2">
      <c r="A346" s="1" t="s">
        <v>4054</v>
      </c>
      <c r="B346" s="1" t="s">
        <v>4055</v>
      </c>
      <c r="C346">
        <v>119.95833333333333</v>
      </c>
      <c r="D346">
        <v>2879</v>
      </c>
      <c r="E346">
        <v>0.40015484672039747</v>
      </c>
      <c r="F346">
        <v>38.656265888363123</v>
      </c>
      <c r="G346">
        <v>1.3899091584591784E-4</v>
      </c>
      <c r="H346">
        <v>1.3426976689254298E-2</v>
      </c>
      <c r="I346">
        <v>5</v>
      </c>
      <c r="J346" t="b">
        <v>1</v>
      </c>
      <c r="K346">
        <v>0.65</v>
      </c>
      <c r="L346">
        <v>1.3</v>
      </c>
      <c r="M346" t="b">
        <v>1</v>
      </c>
      <c r="N346">
        <v>200</v>
      </c>
      <c r="O346" t="b">
        <v>0</v>
      </c>
      <c r="P346" t="b">
        <v>0</v>
      </c>
      <c r="Q346">
        <v>0.7</v>
      </c>
      <c r="R346">
        <v>9237442.5060433745</v>
      </c>
      <c r="S346">
        <v>7674467.5123579502</v>
      </c>
      <c r="T346">
        <v>8392246.7664164305</v>
      </c>
      <c r="U346">
        <v>6901460.1921184659</v>
      </c>
      <c r="V346">
        <v>16911910.018401325</v>
      </c>
      <c r="W346">
        <v>15293706.958534896</v>
      </c>
      <c r="X346">
        <v>140981.53540869462</v>
      </c>
      <c r="Y346">
        <v>127491.82598292376</v>
      </c>
      <c r="Z346">
        <v>7345.5326340866086</v>
      </c>
      <c r="AA346">
        <v>3823.4267396337245</v>
      </c>
      <c r="AB346">
        <v>83922.467664164302</v>
      </c>
      <c r="AC346">
        <v>69014.601921184658</v>
      </c>
      <c r="AD346">
        <v>152937.06958534895</v>
      </c>
      <c r="AE346">
        <v>1.1058084259266761</v>
      </c>
      <c r="AF346" s="1" t="s">
        <v>4056</v>
      </c>
      <c r="AG346" s="1" t="s">
        <v>4057</v>
      </c>
      <c r="AH346" s="1" t="s">
        <v>4058</v>
      </c>
      <c r="AI346" s="1" t="str">
        <f>_xlfn.TEXTAFTER(_xlfn.TEXTBEFORE(batch_summary[[#This Row],[video]],"_",1),"-",3)</f>
        <v>16</v>
      </c>
      <c r="AJ346" s="1" t="str">
        <f>_xlfn.TEXTBEFORE(_xlfn.TEXTAFTER(batch_summary[[#This Row],[video]],"_",1),"_",1)</f>
        <v>20260402</v>
      </c>
      <c r="AK346" s="1" t="str">
        <f>_xlfn.TEXTBEFORE(_xlfn.TEXTAFTER(batch_summary[[#This Row],[video]],"_",2),".",1)</f>
        <v>140000</v>
      </c>
    </row>
    <row r="347" spans="1:37" x14ac:dyDescent="0.2">
      <c r="A347" s="1" t="s">
        <v>4059</v>
      </c>
      <c r="B347" s="1" t="s">
        <v>4060</v>
      </c>
      <c r="C347">
        <v>119.95833333333333</v>
      </c>
      <c r="D347">
        <v>2879</v>
      </c>
      <c r="E347">
        <v>0.41661120392382145</v>
      </c>
      <c r="F347">
        <v>38.892015414312482</v>
      </c>
      <c r="G347">
        <v>1.4470691348517591E-4</v>
      </c>
      <c r="H347">
        <v>1.350886259614883E-2</v>
      </c>
      <c r="I347">
        <v>5</v>
      </c>
      <c r="J347" t="b">
        <v>1</v>
      </c>
      <c r="K347">
        <v>0.65</v>
      </c>
      <c r="L347">
        <v>1.3</v>
      </c>
      <c r="M347" t="b">
        <v>1</v>
      </c>
      <c r="N347">
        <v>200</v>
      </c>
      <c r="O347" t="b">
        <v>0</v>
      </c>
      <c r="P347" t="b">
        <v>0</v>
      </c>
      <c r="Q347">
        <v>0.7</v>
      </c>
      <c r="R347">
        <v>2860727.4991926551</v>
      </c>
      <c r="S347">
        <v>2259501.2313503623</v>
      </c>
      <c r="T347">
        <v>2058124.8338025808</v>
      </c>
      <c r="U347">
        <v>1598340.0393732786</v>
      </c>
      <c r="V347">
        <v>5120228.7305430174</v>
      </c>
      <c r="W347">
        <v>3656464.8731758595</v>
      </c>
      <c r="X347">
        <v>42683.39337722557</v>
      </c>
      <c r="Y347">
        <v>30481.12433352575</v>
      </c>
      <c r="Z347">
        <v>2133.5522619247436</v>
      </c>
      <c r="AA347">
        <v>914.11621829396483</v>
      </c>
      <c r="AB347">
        <v>20581.248338025809</v>
      </c>
      <c r="AC347">
        <v>15983.400393732787</v>
      </c>
      <c r="AD347">
        <v>36564.6487317586</v>
      </c>
      <c r="AE347">
        <v>1.4003221439662816</v>
      </c>
      <c r="AF347" s="1" t="s">
        <v>4061</v>
      </c>
      <c r="AG347" s="1" t="s">
        <v>4062</v>
      </c>
      <c r="AH347" s="1" t="s">
        <v>4063</v>
      </c>
      <c r="AI347" s="1" t="str">
        <f>_xlfn.TEXTAFTER(_xlfn.TEXTBEFORE(batch_summary[[#This Row],[video]],"_",1),"-",3)</f>
        <v>16</v>
      </c>
      <c r="AJ347" s="1" t="str">
        <f>_xlfn.TEXTBEFORE(_xlfn.TEXTAFTER(batch_summary[[#This Row],[video]],"_",1),"_",1)</f>
        <v>20260402</v>
      </c>
      <c r="AK347" s="1" t="str">
        <f>_xlfn.TEXTBEFORE(_xlfn.TEXTAFTER(batch_summary[[#This Row],[video]],"_",2),".",1)</f>
        <v>150000</v>
      </c>
    </row>
    <row r="348" spans="1:37" x14ac:dyDescent="0.2">
      <c r="A348" s="1" t="s">
        <v>4064</v>
      </c>
      <c r="B348" s="1" t="s">
        <v>4065</v>
      </c>
      <c r="C348">
        <v>119.95833333333333</v>
      </c>
      <c r="D348">
        <v>2879</v>
      </c>
      <c r="E348">
        <v>0.3970949174836278</v>
      </c>
      <c r="F348">
        <v>38.583749539218843</v>
      </c>
      <c r="G348">
        <v>1.3792807137326426E-4</v>
      </c>
      <c r="H348">
        <v>1.3401788655511929E-2</v>
      </c>
      <c r="I348">
        <v>5</v>
      </c>
      <c r="J348" t="b">
        <v>1</v>
      </c>
      <c r="K348">
        <v>0.65</v>
      </c>
      <c r="L348">
        <v>1.3</v>
      </c>
      <c r="M348" t="b">
        <v>1</v>
      </c>
      <c r="N348">
        <v>200</v>
      </c>
      <c r="O348" t="b">
        <v>0</v>
      </c>
      <c r="P348" t="b">
        <v>0</v>
      </c>
      <c r="Q348">
        <v>0.7</v>
      </c>
      <c r="R348">
        <v>6116691.8037785292</v>
      </c>
      <c r="S348">
        <v>6215214.3757298589</v>
      </c>
      <c r="T348">
        <v>5156165.2718489766</v>
      </c>
      <c r="U348">
        <v>5250070.6245880723</v>
      </c>
      <c r="V348">
        <v>12331906.179508388</v>
      </c>
      <c r="W348">
        <v>10406235.896437049</v>
      </c>
      <c r="X348">
        <v>102801.5798222304</v>
      </c>
      <c r="Y348">
        <v>86748.753565296691</v>
      </c>
      <c r="Z348">
        <v>4595.1848380398751</v>
      </c>
      <c r="AA348">
        <v>2601.5589741092617</v>
      </c>
      <c r="AB348">
        <v>51561.652718489764</v>
      </c>
      <c r="AC348">
        <v>52500.70624588072</v>
      </c>
      <c r="AD348">
        <v>104062.35896437048</v>
      </c>
      <c r="AE348">
        <v>1.1850496473687149</v>
      </c>
      <c r="AF348" s="1" t="s">
        <v>4066</v>
      </c>
      <c r="AG348" s="1" t="s">
        <v>4067</v>
      </c>
      <c r="AH348" s="1" t="s">
        <v>4068</v>
      </c>
      <c r="AI348" s="1" t="str">
        <f>_xlfn.TEXTAFTER(_xlfn.TEXTBEFORE(batch_summary[[#This Row],[video]],"_",1),"-",3)</f>
        <v>16</v>
      </c>
      <c r="AJ348" s="1" t="str">
        <f>_xlfn.TEXTBEFORE(_xlfn.TEXTAFTER(batch_summary[[#This Row],[video]],"_",1),"_",1)</f>
        <v>20260402</v>
      </c>
      <c r="AK348" s="1" t="str">
        <f>_xlfn.TEXTBEFORE(_xlfn.TEXTAFTER(batch_summary[[#This Row],[video]],"_",2),".",1)</f>
        <v>160000</v>
      </c>
    </row>
    <row r="349" spans="1:37" x14ac:dyDescent="0.2">
      <c r="A349" s="1" t="s">
        <v>4069</v>
      </c>
      <c r="B349" s="1" t="s">
        <v>4070</v>
      </c>
      <c r="C349">
        <v>119.95833333333333</v>
      </c>
      <c r="D349">
        <v>2879</v>
      </c>
      <c r="E349">
        <v>0.37454469781368971</v>
      </c>
      <c r="F349">
        <v>37.366467704065144</v>
      </c>
      <c r="G349">
        <v>1.3009541431527951E-4</v>
      </c>
      <c r="H349">
        <v>1.2978974541182752E-2</v>
      </c>
      <c r="I349">
        <v>5</v>
      </c>
      <c r="J349" t="b">
        <v>1</v>
      </c>
      <c r="K349">
        <v>0.65</v>
      </c>
      <c r="L349">
        <v>1.3</v>
      </c>
      <c r="M349" t="b">
        <v>1</v>
      </c>
      <c r="N349">
        <v>200</v>
      </c>
      <c r="O349" t="b">
        <v>0</v>
      </c>
      <c r="P349" t="b">
        <v>0</v>
      </c>
      <c r="Q349">
        <v>0.7</v>
      </c>
      <c r="R349">
        <v>10894542.221038818</v>
      </c>
      <c r="S349">
        <v>11144387.494625092</v>
      </c>
      <c r="T349">
        <v>9614738.2943179011</v>
      </c>
      <c r="U349">
        <v>9955435.7798572183</v>
      </c>
      <c r="V349">
        <v>22038929.71566391</v>
      </c>
      <c r="W349">
        <v>19570174.074175119</v>
      </c>
      <c r="X349">
        <v>183721.53983186311</v>
      </c>
      <c r="Y349">
        <v>163141.43028141817</v>
      </c>
      <c r="Z349">
        <v>7571.1377337646481</v>
      </c>
      <c r="AA349">
        <v>4892.54351854378</v>
      </c>
      <c r="AB349">
        <v>96147.382943179007</v>
      </c>
      <c r="AC349">
        <v>99554.357798572179</v>
      </c>
      <c r="AD349">
        <v>195701.74074175119</v>
      </c>
      <c r="AE349">
        <v>1.1261488851418329</v>
      </c>
      <c r="AF349" s="1" t="s">
        <v>4071</v>
      </c>
      <c r="AG349" s="1" t="s">
        <v>4072</v>
      </c>
      <c r="AH349" s="1" t="s">
        <v>4073</v>
      </c>
      <c r="AI349" s="1" t="str">
        <f>_xlfn.TEXTAFTER(_xlfn.TEXTBEFORE(batch_summary[[#This Row],[video]],"_",1),"-",3)</f>
        <v>16</v>
      </c>
      <c r="AJ349" s="1" t="str">
        <f>_xlfn.TEXTBEFORE(_xlfn.TEXTAFTER(batch_summary[[#This Row],[video]],"_",1),"_",1)</f>
        <v>20260402</v>
      </c>
      <c r="AK349" s="1" t="str">
        <f>_xlfn.TEXTBEFORE(_xlfn.TEXTAFTER(batch_summary[[#This Row],[video]],"_",2),".",1)</f>
        <v>170000</v>
      </c>
    </row>
    <row r="350" spans="1:37" x14ac:dyDescent="0.2">
      <c r="A350" s="1" t="s">
        <v>4074</v>
      </c>
      <c r="B350" s="1" t="s">
        <v>4075</v>
      </c>
      <c r="C350">
        <v>119.95833333333333</v>
      </c>
      <c r="D350">
        <v>2879</v>
      </c>
      <c r="E350">
        <v>0.39640155341476202</v>
      </c>
      <c r="F350">
        <v>38.586424944922328</v>
      </c>
      <c r="G350">
        <v>1.3768723633718723E-4</v>
      </c>
      <c r="H350">
        <v>1.340271793849334E-2</v>
      </c>
      <c r="I350">
        <v>5</v>
      </c>
      <c r="J350" t="b">
        <v>1</v>
      </c>
      <c r="K350">
        <v>0.65</v>
      </c>
      <c r="L350">
        <v>1.3</v>
      </c>
      <c r="M350" t="b">
        <v>1</v>
      </c>
      <c r="N350">
        <v>200</v>
      </c>
      <c r="O350" t="b">
        <v>0</v>
      </c>
      <c r="P350" t="b">
        <v>0</v>
      </c>
      <c r="Q350">
        <v>0.7</v>
      </c>
      <c r="R350">
        <v>8592452.7494165301</v>
      </c>
      <c r="S350">
        <v>8438630.6637065411</v>
      </c>
      <c r="T350">
        <v>7633939.6407690048</v>
      </c>
      <c r="U350">
        <v>7522236.9396628737</v>
      </c>
      <c r="V350">
        <v>17031083.413123071</v>
      </c>
      <c r="W350">
        <v>15156176.580431879</v>
      </c>
      <c r="X350">
        <v>141974.99198157477</v>
      </c>
      <c r="Y350">
        <v>126345.34141381212</v>
      </c>
      <c r="Z350">
        <v>5536.1462750244136</v>
      </c>
      <c r="AA350">
        <v>3789.0441451079691</v>
      </c>
      <c r="AB350">
        <v>76339.396407690045</v>
      </c>
      <c r="AC350">
        <v>75222.369396628739</v>
      </c>
      <c r="AD350">
        <v>151561.76580431877</v>
      </c>
      <c r="AE350">
        <v>1.1237057923376192</v>
      </c>
      <c r="AF350" s="1" t="s">
        <v>4076</v>
      </c>
      <c r="AG350" s="1" t="s">
        <v>4077</v>
      </c>
      <c r="AH350" s="1" t="s">
        <v>4078</v>
      </c>
      <c r="AI350" s="1" t="str">
        <f>_xlfn.TEXTAFTER(_xlfn.TEXTBEFORE(batch_summary[[#This Row],[video]],"_",1),"-",3)</f>
        <v>16</v>
      </c>
      <c r="AJ350" s="1" t="str">
        <f>_xlfn.TEXTBEFORE(_xlfn.TEXTAFTER(batch_summary[[#This Row],[video]],"_",1),"_",1)</f>
        <v>20260402</v>
      </c>
      <c r="AK350" s="1" t="str">
        <f>_xlfn.TEXTBEFORE(_xlfn.TEXTAFTER(batch_summary[[#This Row],[video]],"_",2),".",1)</f>
        <v>180000</v>
      </c>
    </row>
    <row r="351" spans="1:37" x14ac:dyDescent="0.2">
      <c r="A351" s="1" t="s">
        <v>4079</v>
      </c>
      <c r="B351" s="1" t="s">
        <v>4080</v>
      </c>
      <c r="C351">
        <v>119.95833333333333</v>
      </c>
      <c r="D351">
        <v>2879</v>
      </c>
      <c r="E351">
        <v>0.37437629420310259</v>
      </c>
      <c r="F351">
        <v>36.954608098603785</v>
      </c>
      <c r="G351">
        <v>1.3003692052903875E-4</v>
      </c>
      <c r="H351">
        <v>1.2835918061342058E-2</v>
      </c>
      <c r="I351">
        <v>5</v>
      </c>
      <c r="J351" t="b">
        <v>1</v>
      </c>
      <c r="K351">
        <v>0.65</v>
      </c>
      <c r="L351">
        <v>1.3</v>
      </c>
      <c r="M351" t="b">
        <v>1</v>
      </c>
      <c r="N351">
        <v>200</v>
      </c>
      <c r="O351" t="b">
        <v>0</v>
      </c>
      <c r="P351" t="b">
        <v>0</v>
      </c>
      <c r="Q351">
        <v>0.7</v>
      </c>
      <c r="R351">
        <v>127595.91938215494</v>
      </c>
      <c r="S351">
        <v>139518.20050477982</v>
      </c>
      <c r="T351">
        <v>5408.4329223632812</v>
      </c>
      <c r="U351">
        <v>4542.8310852050781</v>
      </c>
      <c r="V351">
        <v>267114.11988693476</v>
      </c>
      <c r="W351">
        <v>9951.2640075683594</v>
      </c>
      <c r="X351">
        <v>2226.7241671713909</v>
      </c>
      <c r="Y351">
        <v>82.956004231205497</v>
      </c>
      <c r="Z351">
        <v>13.730191345214843</v>
      </c>
      <c r="AA351">
        <v>2.4878160018920896</v>
      </c>
      <c r="AB351">
        <v>54.084329223632814</v>
      </c>
      <c r="AC351">
        <v>45.428310852050778</v>
      </c>
      <c r="AD351">
        <v>99.512640075683592</v>
      </c>
      <c r="AE351">
        <v>26.842230261782131</v>
      </c>
      <c r="AF351" s="1" t="s">
        <v>4081</v>
      </c>
      <c r="AG351" s="1" t="s">
        <v>4082</v>
      </c>
      <c r="AH351" s="1" t="s">
        <v>4083</v>
      </c>
      <c r="AI351" s="1" t="str">
        <f>_xlfn.TEXTAFTER(_xlfn.TEXTBEFORE(batch_summary[[#This Row],[video]],"_",1),"-",3)</f>
        <v>16</v>
      </c>
      <c r="AJ351" s="1" t="str">
        <f>_xlfn.TEXTBEFORE(_xlfn.TEXTAFTER(batch_summary[[#This Row],[video]],"_",1),"_",1)</f>
        <v>20260402</v>
      </c>
      <c r="AK351" s="1" t="str">
        <f>_xlfn.TEXTBEFORE(_xlfn.TEXTAFTER(batch_summary[[#This Row],[video]],"_",2),".",1)</f>
        <v>190000</v>
      </c>
    </row>
    <row r="352" spans="1:37" x14ac:dyDescent="0.2">
      <c r="A352" s="1" t="s">
        <v>4084</v>
      </c>
      <c r="B352" s="1" t="s">
        <v>4085</v>
      </c>
      <c r="C352">
        <v>119.95833333333333</v>
      </c>
      <c r="D352">
        <v>2879</v>
      </c>
      <c r="E352">
        <v>0.38004613760858774</v>
      </c>
      <c r="F352">
        <v>37.299913710914552</v>
      </c>
      <c r="G352">
        <v>1.3200629996824861E-4</v>
      </c>
      <c r="H352">
        <v>1.2955857489029022E-2</v>
      </c>
      <c r="I352">
        <v>5</v>
      </c>
      <c r="J352" t="b">
        <v>1</v>
      </c>
      <c r="K352">
        <v>0.65</v>
      </c>
      <c r="L352">
        <v>1.3</v>
      </c>
      <c r="M352" t="b">
        <v>1</v>
      </c>
      <c r="N352">
        <v>200</v>
      </c>
      <c r="O352" t="b">
        <v>0</v>
      </c>
      <c r="P352" t="b">
        <v>0</v>
      </c>
      <c r="Q352">
        <v>0.7</v>
      </c>
      <c r="R352">
        <v>42949.521431326866</v>
      </c>
      <c r="S352">
        <v>52076.26544123888</v>
      </c>
      <c r="T352">
        <v>0</v>
      </c>
      <c r="U352">
        <v>494.51324462890625</v>
      </c>
      <c r="V352">
        <v>95025.786872565746</v>
      </c>
      <c r="W352">
        <v>494.51324462890625</v>
      </c>
      <c r="X352">
        <v>792.1566116504265</v>
      </c>
      <c r="Y352">
        <v>4.1223750854788994</v>
      </c>
      <c r="Z352">
        <v>3.5269073486328124</v>
      </c>
      <c r="AA352">
        <v>0.12362831115722657</v>
      </c>
      <c r="AB352">
        <v>0</v>
      </c>
      <c r="AC352">
        <v>4.9451324462890627</v>
      </c>
      <c r="AD352">
        <v>4.9451324462890627</v>
      </c>
      <c r="AE352">
        <v>192.16024627181667</v>
      </c>
      <c r="AF352" s="1" t="s">
        <v>4086</v>
      </c>
      <c r="AG352" s="1" t="s">
        <v>4087</v>
      </c>
      <c r="AH352" s="1" t="s">
        <v>4088</v>
      </c>
      <c r="AI352" s="1" t="str">
        <f>_xlfn.TEXTAFTER(_xlfn.TEXTBEFORE(batch_summary[[#This Row],[video]],"_",1),"-",3)</f>
        <v>16</v>
      </c>
      <c r="AJ352" s="1" t="str">
        <f>_xlfn.TEXTBEFORE(_xlfn.TEXTAFTER(batch_summary[[#This Row],[video]],"_",1),"_",1)</f>
        <v>20260403</v>
      </c>
      <c r="AK352" s="1" t="str">
        <f>_xlfn.TEXTBEFORE(_xlfn.TEXTAFTER(batch_summary[[#This Row],[video]],"_",2),".",1)</f>
        <v>060000</v>
      </c>
    </row>
    <row r="353" spans="1:37" x14ac:dyDescent="0.2">
      <c r="A353" s="1" t="s">
        <v>4089</v>
      </c>
      <c r="B353" s="1" t="s">
        <v>4090</v>
      </c>
      <c r="C353">
        <v>119.95833333333333</v>
      </c>
      <c r="D353">
        <v>2879</v>
      </c>
      <c r="E353">
        <v>0.37884579785168171</v>
      </c>
      <c r="F353">
        <v>36.913518720306456</v>
      </c>
      <c r="G353">
        <v>1.3158937056327951E-4</v>
      </c>
      <c r="H353">
        <v>1.2821645960509363E-2</v>
      </c>
      <c r="I353">
        <v>5</v>
      </c>
      <c r="J353" t="b">
        <v>1</v>
      </c>
      <c r="K353">
        <v>0.65</v>
      </c>
      <c r="L353">
        <v>1.3</v>
      </c>
      <c r="M353" t="b">
        <v>1</v>
      </c>
      <c r="N353">
        <v>200</v>
      </c>
      <c r="O353" t="b">
        <v>0</v>
      </c>
      <c r="P353" t="b">
        <v>0</v>
      </c>
      <c r="Q353">
        <v>0.7</v>
      </c>
      <c r="R353">
        <v>10560.326632142067</v>
      </c>
      <c r="S353">
        <v>10741.535842299461</v>
      </c>
      <c r="T353">
        <v>0</v>
      </c>
      <c r="U353">
        <v>0</v>
      </c>
      <c r="V353">
        <v>21301.862474441528</v>
      </c>
      <c r="W353">
        <v>0</v>
      </c>
      <c r="X353">
        <v>177.57717936318051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21301862474.441528</v>
      </c>
      <c r="AF353" s="1" t="s">
        <v>4091</v>
      </c>
      <c r="AG353" s="1" t="s">
        <v>4092</v>
      </c>
      <c r="AH353" s="1" t="s">
        <v>4093</v>
      </c>
      <c r="AI353" s="1" t="str">
        <f>_xlfn.TEXTAFTER(_xlfn.TEXTBEFORE(batch_summary[[#This Row],[video]],"_",1),"-",3)</f>
        <v>16</v>
      </c>
      <c r="AJ353" s="1" t="str">
        <f>_xlfn.TEXTBEFORE(_xlfn.TEXTAFTER(batch_summary[[#This Row],[video]],"_",1),"_",1)</f>
        <v>20260403</v>
      </c>
      <c r="AK353" s="1" t="str">
        <f>_xlfn.TEXTBEFORE(_xlfn.TEXTAFTER(batch_summary[[#This Row],[video]],"_",2),".",1)</f>
        <v>070000</v>
      </c>
    </row>
    <row r="354" spans="1:37" x14ac:dyDescent="0.2">
      <c r="A354" s="1" t="s">
        <v>4094</v>
      </c>
      <c r="B354" s="1" t="s">
        <v>4095</v>
      </c>
      <c r="C354">
        <v>119.95833333333333</v>
      </c>
      <c r="D354">
        <v>2879</v>
      </c>
      <c r="E354">
        <v>0.37843478564172983</v>
      </c>
      <c r="F354">
        <v>36.911083424463868</v>
      </c>
      <c r="G354">
        <v>1.3144660842019098E-4</v>
      </c>
      <c r="H354">
        <v>1.2820800077965915E-2</v>
      </c>
      <c r="I354">
        <v>5</v>
      </c>
      <c r="J354" t="b">
        <v>1</v>
      </c>
      <c r="K354">
        <v>0.65</v>
      </c>
      <c r="L354">
        <v>1.3</v>
      </c>
      <c r="M354" t="b">
        <v>1</v>
      </c>
      <c r="N354">
        <v>200</v>
      </c>
      <c r="O354" t="b">
        <v>0</v>
      </c>
      <c r="P354" t="b">
        <v>0</v>
      </c>
      <c r="Q354">
        <v>0.7</v>
      </c>
      <c r="R354">
        <v>350600.42382669449</v>
      </c>
      <c r="S354">
        <v>302276.76389473677</v>
      </c>
      <c r="T354">
        <v>297158.46117573977</v>
      </c>
      <c r="U354">
        <v>258082.51127499342</v>
      </c>
      <c r="V354">
        <v>652877.18772143126</v>
      </c>
      <c r="W354">
        <v>555240.97245073318</v>
      </c>
      <c r="X354">
        <v>5442.5329994145022</v>
      </c>
      <c r="Y354">
        <v>4628.6152618331353</v>
      </c>
      <c r="Z354">
        <v>1871.8956097084283</v>
      </c>
      <c r="AA354">
        <v>138.81024311268328</v>
      </c>
      <c r="AB354">
        <v>2971.5846117573979</v>
      </c>
      <c r="AC354">
        <v>2580.8251127499343</v>
      </c>
      <c r="AD354">
        <v>5552.4097245073317</v>
      </c>
      <c r="AE354">
        <v>1.1758447595100006</v>
      </c>
      <c r="AF354" s="1" t="s">
        <v>4096</v>
      </c>
      <c r="AG354" s="1" t="s">
        <v>4097</v>
      </c>
      <c r="AH354" s="1" t="s">
        <v>4098</v>
      </c>
      <c r="AI354" s="1" t="str">
        <f>_xlfn.TEXTAFTER(_xlfn.TEXTBEFORE(batch_summary[[#This Row],[video]],"_",1),"-",3)</f>
        <v>16</v>
      </c>
      <c r="AJ354" s="1" t="str">
        <f>_xlfn.TEXTBEFORE(_xlfn.TEXTAFTER(batch_summary[[#This Row],[video]],"_",1),"_",1)</f>
        <v>20260403</v>
      </c>
      <c r="AK354" s="1" t="str">
        <f>_xlfn.TEXTBEFORE(_xlfn.TEXTAFTER(batch_summary[[#This Row],[video]],"_",2),".",1)</f>
        <v>080000</v>
      </c>
    </row>
    <row r="355" spans="1:37" x14ac:dyDescent="0.2">
      <c r="A355" s="1" t="s">
        <v>4099</v>
      </c>
      <c r="B355" s="1" t="s">
        <v>4100</v>
      </c>
      <c r="C355">
        <v>119.95833333333333</v>
      </c>
      <c r="D355">
        <v>2879</v>
      </c>
      <c r="E355">
        <v>0.40372789558023214</v>
      </c>
      <c r="F355">
        <v>38.652188676409423</v>
      </c>
      <c r="G355">
        <v>1.4023198873922617E-4</v>
      </c>
      <c r="H355">
        <v>1.3425560498926511E-2</v>
      </c>
      <c r="I355">
        <v>5</v>
      </c>
      <c r="J355" t="b">
        <v>1</v>
      </c>
      <c r="K355">
        <v>0.65</v>
      </c>
      <c r="L355">
        <v>1.3</v>
      </c>
      <c r="M355" t="b">
        <v>1</v>
      </c>
      <c r="N355">
        <v>200</v>
      </c>
      <c r="O355" t="b">
        <v>0</v>
      </c>
      <c r="P355" t="b">
        <v>0</v>
      </c>
      <c r="Q355">
        <v>0.7</v>
      </c>
      <c r="R355">
        <v>5793586.3418169022</v>
      </c>
      <c r="S355">
        <v>5814295.0594457984</v>
      </c>
      <c r="T355">
        <v>4782662.823790431</v>
      </c>
      <c r="U355">
        <v>4776089.3160500526</v>
      </c>
      <c r="V355">
        <v>11607881.401262701</v>
      </c>
      <c r="W355">
        <v>9558752.1398404837</v>
      </c>
      <c r="X355">
        <v>96765.944296736649</v>
      </c>
      <c r="Y355">
        <v>79683.935865290594</v>
      </c>
      <c r="Z355">
        <v>4171.2996122741697</v>
      </c>
      <c r="AA355">
        <v>2389.6880349601211</v>
      </c>
      <c r="AB355">
        <v>47826.628237904311</v>
      </c>
      <c r="AC355">
        <v>47760.893160500527</v>
      </c>
      <c r="AD355">
        <v>95587.521398404846</v>
      </c>
      <c r="AE355">
        <v>1.2143720468366923</v>
      </c>
      <c r="AF355" s="1" t="s">
        <v>4101</v>
      </c>
      <c r="AG355" s="1" t="s">
        <v>4102</v>
      </c>
      <c r="AH355" s="1" t="s">
        <v>4103</v>
      </c>
      <c r="AI355" s="1" t="str">
        <f>_xlfn.TEXTAFTER(_xlfn.TEXTBEFORE(batch_summary[[#This Row],[video]],"_",1),"-",3)</f>
        <v>16</v>
      </c>
      <c r="AJ355" s="1" t="str">
        <f>_xlfn.TEXTBEFORE(_xlfn.TEXTAFTER(batch_summary[[#This Row],[video]],"_",1),"_",1)</f>
        <v>20260403</v>
      </c>
      <c r="AK355" s="1" t="str">
        <f>_xlfn.TEXTBEFORE(_xlfn.TEXTAFTER(batch_summary[[#This Row],[video]],"_",2),".",1)</f>
        <v>090000</v>
      </c>
    </row>
    <row r="356" spans="1:37" x14ac:dyDescent="0.2">
      <c r="A356" s="1" t="s">
        <v>4104</v>
      </c>
      <c r="B356" s="1" t="s">
        <v>4105</v>
      </c>
      <c r="C356">
        <v>119.95833333333333</v>
      </c>
      <c r="D356">
        <v>2879</v>
      </c>
      <c r="E356">
        <v>0.39141120575368404</v>
      </c>
      <c r="F356">
        <v>38.331545816734433</v>
      </c>
      <c r="G356">
        <v>1.3595387487102607E-4</v>
      </c>
      <c r="H356">
        <v>1.3314187501470801E-2</v>
      </c>
      <c r="I356">
        <v>5</v>
      </c>
      <c r="J356" t="b">
        <v>1</v>
      </c>
      <c r="K356">
        <v>0.65</v>
      </c>
      <c r="L356">
        <v>1.3</v>
      </c>
      <c r="M356" t="b">
        <v>1</v>
      </c>
      <c r="N356">
        <v>200</v>
      </c>
      <c r="O356" t="b">
        <v>0</v>
      </c>
      <c r="P356" t="b">
        <v>0</v>
      </c>
      <c r="Q356">
        <v>0.7</v>
      </c>
      <c r="R356">
        <v>8779746.8351023197</v>
      </c>
      <c r="S356">
        <v>8889233.2164387703</v>
      </c>
      <c r="T356">
        <v>7529719.0398870111</v>
      </c>
      <c r="U356">
        <v>7653497.7681720853</v>
      </c>
      <c r="V356">
        <v>17668980.05154109</v>
      </c>
      <c r="W356">
        <v>15183216.808059096</v>
      </c>
      <c r="X356">
        <v>147292.64370857456</v>
      </c>
      <c r="Y356">
        <v>126570.75491261491</v>
      </c>
      <c r="Z356">
        <v>7675.4329985046388</v>
      </c>
      <c r="AA356">
        <v>3795.8042020147741</v>
      </c>
      <c r="AB356">
        <v>75297.190398870109</v>
      </c>
      <c r="AC356">
        <v>76534.977681720848</v>
      </c>
      <c r="AD356">
        <v>151832.16808059096</v>
      </c>
      <c r="AE356">
        <v>1.1637178257352274</v>
      </c>
      <c r="AF356" s="1" t="s">
        <v>4106</v>
      </c>
      <c r="AG356" s="1" t="s">
        <v>4107</v>
      </c>
      <c r="AH356" s="1" t="s">
        <v>4108</v>
      </c>
      <c r="AI356" s="1" t="str">
        <f>_xlfn.TEXTAFTER(_xlfn.TEXTBEFORE(batch_summary[[#This Row],[video]],"_",1),"-",3)</f>
        <v>16</v>
      </c>
      <c r="AJ356" s="1" t="str">
        <f>_xlfn.TEXTBEFORE(_xlfn.TEXTAFTER(batch_summary[[#This Row],[video]],"_",1),"_",1)</f>
        <v>20260403</v>
      </c>
      <c r="AK356" s="1" t="str">
        <f>_xlfn.TEXTBEFORE(_xlfn.TEXTAFTER(batch_summary[[#This Row],[video]],"_",2),".",1)</f>
        <v>100000</v>
      </c>
    </row>
    <row r="357" spans="1:37" x14ac:dyDescent="0.2">
      <c r="A357" s="1" t="s">
        <v>4109</v>
      </c>
      <c r="B357" s="1" t="s">
        <v>4110</v>
      </c>
      <c r="C357">
        <v>119.95833333333333</v>
      </c>
      <c r="D357">
        <v>2879</v>
      </c>
      <c r="E357">
        <v>0.40062659978866577</v>
      </c>
      <c r="F357">
        <v>38.649818821810186</v>
      </c>
      <c r="G357">
        <v>1.3915477589047091E-4</v>
      </c>
      <c r="H357">
        <v>1.3424737346929554E-2</v>
      </c>
      <c r="I357">
        <v>5</v>
      </c>
      <c r="J357" t="b">
        <v>1</v>
      </c>
      <c r="K357">
        <v>0.65</v>
      </c>
      <c r="L357">
        <v>1.3</v>
      </c>
      <c r="M357" t="b">
        <v>1</v>
      </c>
      <c r="N357">
        <v>200</v>
      </c>
      <c r="O357" t="b">
        <v>0</v>
      </c>
      <c r="P357" t="b">
        <v>0</v>
      </c>
      <c r="Q357">
        <v>0.7</v>
      </c>
      <c r="R357">
        <v>8857530.2237762809</v>
      </c>
      <c r="S357">
        <v>8629895.545486629</v>
      </c>
      <c r="T357">
        <v>7774145.2621285915</v>
      </c>
      <c r="U357">
        <v>7600879.8837887645</v>
      </c>
      <c r="V357">
        <v>17487425.76926291</v>
      </c>
      <c r="W357">
        <v>15375025.145917356</v>
      </c>
      <c r="X357">
        <v>145779.16584310867</v>
      </c>
      <c r="Y357">
        <v>128169.71292185361</v>
      </c>
      <c r="Z357">
        <v>6473.2854289817806</v>
      </c>
      <c r="AA357">
        <v>3843.756286479339</v>
      </c>
      <c r="AB357">
        <v>77741.45262128592</v>
      </c>
      <c r="AC357">
        <v>76008.798837887647</v>
      </c>
      <c r="AD357">
        <v>153750.25145917357</v>
      </c>
      <c r="AE357">
        <v>1.1373916857564603</v>
      </c>
      <c r="AF357" s="1" t="s">
        <v>4111</v>
      </c>
      <c r="AG357" s="1" t="s">
        <v>4112</v>
      </c>
      <c r="AH357" s="1" t="s">
        <v>4113</v>
      </c>
      <c r="AI357" s="1" t="str">
        <f>_xlfn.TEXTAFTER(_xlfn.TEXTBEFORE(batch_summary[[#This Row],[video]],"_",1),"-",3)</f>
        <v>16</v>
      </c>
      <c r="AJ357" s="1" t="str">
        <f>_xlfn.TEXTBEFORE(_xlfn.TEXTAFTER(batch_summary[[#This Row],[video]],"_",1),"_",1)</f>
        <v>20260403</v>
      </c>
      <c r="AK357" s="1" t="str">
        <f>_xlfn.TEXTBEFORE(_xlfn.TEXTAFTER(batch_summary[[#This Row],[video]],"_",2),".",1)</f>
        <v>110000</v>
      </c>
    </row>
    <row r="358" spans="1:37" x14ac:dyDescent="0.2">
      <c r="A358" s="1" t="s">
        <v>4114</v>
      </c>
      <c r="B358" s="1" t="s">
        <v>4115</v>
      </c>
      <c r="C358">
        <v>119.95833333333333</v>
      </c>
      <c r="D358">
        <v>2879</v>
      </c>
      <c r="E358">
        <v>0.40009034518152475</v>
      </c>
      <c r="F358">
        <v>38.532956750132143</v>
      </c>
      <c r="G358">
        <v>1.3896851169903604E-4</v>
      </c>
      <c r="H358">
        <v>1.3384146144540515E-2</v>
      </c>
      <c r="I358">
        <v>5</v>
      </c>
      <c r="J358" t="b">
        <v>1</v>
      </c>
      <c r="K358">
        <v>0.65</v>
      </c>
      <c r="L358">
        <v>1.3</v>
      </c>
      <c r="M358" t="b">
        <v>1</v>
      </c>
      <c r="N358">
        <v>200</v>
      </c>
      <c r="O358" t="b">
        <v>0</v>
      </c>
      <c r="P358" t="b">
        <v>0</v>
      </c>
      <c r="Q358">
        <v>0.7</v>
      </c>
      <c r="R358">
        <v>9569784.152079165</v>
      </c>
      <c r="S358">
        <v>9584637.3800653815</v>
      </c>
      <c r="T358">
        <v>8547194.2463639379</v>
      </c>
      <c r="U358">
        <v>8636821.6288051009</v>
      </c>
      <c r="V358">
        <v>19154421.532144547</v>
      </c>
      <c r="W358">
        <v>17184015.875169039</v>
      </c>
      <c r="X358">
        <v>159675.6223589681</v>
      </c>
      <c r="Y358">
        <v>143249.87183190585</v>
      </c>
      <c r="Z358">
        <v>6932.6942824459074</v>
      </c>
      <c r="AA358">
        <v>4296.0039687922599</v>
      </c>
      <c r="AB358">
        <v>85471.942463639381</v>
      </c>
      <c r="AC358">
        <v>86368.216288051015</v>
      </c>
      <c r="AD358">
        <v>171840.15875169041</v>
      </c>
      <c r="AE358">
        <v>1.1146650277379428</v>
      </c>
      <c r="AF358" s="1" t="s">
        <v>4116</v>
      </c>
      <c r="AG358" s="1" t="s">
        <v>4117</v>
      </c>
      <c r="AH358" s="1" t="s">
        <v>4118</v>
      </c>
      <c r="AI358" s="1" t="str">
        <f>_xlfn.TEXTAFTER(_xlfn.TEXTBEFORE(batch_summary[[#This Row],[video]],"_",1),"-",3)</f>
        <v>16</v>
      </c>
      <c r="AJ358" s="1" t="str">
        <f>_xlfn.TEXTBEFORE(_xlfn.TEXTAFTER(batch_summary[[#This Row],[video]],"_",1),"_",1)</f>
        <v>20260403</v>
      </c>
      <c r="AK358" s="1" t="str">
        <f>_xlfn.TEXTBEFORE(_xlfn.TEXTAFTER(batch_summary[[#This Row],[video]],"_",2),".",1)</f>
        <v>120000</v>
      </c>
    </row>
    <row r="359" spans="1:37" x14ac:dyDescent="0.2">
      <c r="A359" s="1" t="s">
        <v>4119</v>
      </c>
      <c r="B359" s="1" t="s">
        <v>4120</v>
      </c>
      <c r="C359">
        <v>119.95833333333333</v>
      </c>
      <c r="D359">
        <v>2879</v>
      </c>
      <c r="E359">
        <v>0.34108877833932638</v>
      </c>
      <c r="F359">
        <v>38.151444403454661</v>
      </c>
      <c r="G359">
        <v>1.1847474065277054E-4</v>
      </c>
      <c r="H359">
        <v>1.325163056736876E-2</v>
      </c>
      <c r="I359">
        <v>5</v>
      </c>
      <c r="J359" t="b">
        <v>1</v>
      </c>
      <c r="K359">
        <v>0.65</v>
      </c>
      <c r="L359">
        <v>1.3</v>
      </c>
      <c r="M359" t="b">
        <v>1</v>
      </c>
      <c r="N359">
        <v>200</v>
      </c>
      <c r="O359" t="b">
        <v>0</v>
      </c>
      <c r="P359" t="b">
        <v>0</v>
      </c>
      <c r="Q359">
        <v>0.7</v>
      </c>
      <c r="R359">
        <v>12392511.533174753</v>
      </c>
      <c r="S359">
        <v>12608764.63477087</v>
      </c>
      <c r="T359">
        <v>11324835.095533371</v>
      </c>
      <c r="U359">
        <v>11545965.065774918</v>
      </c>
      <c r="V359">
        <v>25001276.167945623</v>
      </c>
      <c r="W359">
        <v>22870800.161308289</v>
      </c>
      <c r="X359">
        <v>208416.33484914727</v>
      </c>
      <c r="Y359">
        <v>190656.20141417123</v>
      </c>
      <c r="Z359">
        <v>8993.097395095825</v>
      </c>
      <c r="AA359">
        <v>5717.7000403270722</v>
      </c>
      <c r="AB359">
        <v>113248.35095533371</v>
      </c>
      <c r="AC359">
        <v>115459.65065774918</v>
      </c>
      <c r="AD359">
        <v>228708.00161308289</v>
      </c>
      <c r="AE359">
        <v>1.0931526659150985</v>
      </c>
      <c r="AF359" s="1" t="s">
        <v>4121</v>
      </c>
      <c r="AG359" s="1" t="s">
        <v>4122</v>
      </c>
      <c r="AH359" s="1" t="s">
        <v>4123</v>
      </c>
      <c r="AI359" s="1" t="str">
        <f>_xlfn.TEXTAFTER(_xlfn.TEXTBEFORE(batch_summary[[#This Row],[video]],"_",1),"-",3)</f>
        <v>16</v>
      </c>
      <c r="AJ359" s="1" t="str">
        <f>_xlfn.TEXTBEFORE(_xlfn.TEXTAFTER(batch_summary[[#This Row],[video]],"_",1),"_",1)</f>
        <v>20260403</v>
      </c>
      <c r="AK359" s="1" t="str">
        <f>_xlfn.TEXTBEFORE(_xlfn.TEXTAFTER(batch_summary[[#This Row],[video]],"_",2),".",1)</f>
        <v>130000</v>
      </c>
    </row>
    <row r="360" spans="1:37" x14ac:dyDescent="0.2">
      <c r="A360" s="1" t="s">
        <v>4124</v>
      </c>
      <c r="B360" s="1" t="s">
        <v>4125</v>
      </c>
      <c r="C360">
        <v>119.95833333333333</v>
      </c>
      <c r="D360">
        <v>2879</v>
      </c>
      <c r="E360">
        <v>0.33123267441987991</v>
      </c>
      <c r="F360">
        <v>38.499962709844112</v>
      </c>
      <c r="G360">
        <v>1.150512936505314E-4</v>
      </c>
      <c r="H360">
        <v>1.3372685901300491E-2</v>
      </c>
      <c r="I360">
        <v>5</v>
      </c>
      <c r="J360" t="b">
        <v>1</v>
      </c>
      <c r="K360">
        <v>0.65</v>
      </c>
      <c r="L360">
        <v>1.3</v>
      </c>
      <c r="M360" t="b">
        <v>1</v>
      </c>
      <c r="N360">
        <v>200</v>
      </c>
      <c r="O360" t="b">
        <v>0</v>
      </c>
      <c r="P360" t="b">
        <v>0</v>
      </c>
      <c r="Q360">
        <v>0.7</v>
      </c>
      <c r="R360">
        <v>11839145.116575122</v>
      </c>
      <c r="S360">
        <v>11980014.226550758</v>
      </c>
      <c r="T360">
        <v>10850223.157825172</v>
      </c>
      <c r="U360">
        <v>11000287.949728012</v>
      </c>
      <c r="V360">
        <v>23819159.34312588</v>
      </c>
      <c r="W360">
        <v>21850511.107553184</v>
      </c>
      <c r="X360">
        <v>198561.93964398094</v>
      </c>
      <c r="Y360">
        <v>182150.83938217312</v>
      </c>
      <c r="Z360">
        <v>8000.3425046539305</v>
      </c>
      <c r="AA360">
        <v>5462.6277768882956</v>
      </c>
      <c r="AB360">
        <v>108502.23157825173</v>
      </c>
      <c r="AC360">
        <v>110002.87949728013</v>
      </c>
      <c r="AD360">
        <v>218505.11107553187</v>
      </c>
      <c r="AE360">
        <v>1.0900962099185032</v>
      </c>
      <c r="AF360" s="1" t="s">
        <v>4126</v>
      </c>
      <c r="AG360" s="1" t="s">
        <v>4127</v>
      </c>
      <c r="AH360" s="1" t="s">
        <v>4128</v>
      </c>
      <c r="AI360" s="1" t="str">
        <f>_xlfn.TEXTAFTER(_xlfn.TEXTBEFORE(batch_summary[[#This Row],[video]],"_",1),"-",3)</f>
        <v>16</v>
      </c>
      <c r="AJ360" s="1" t="str">
        <f>_xlfn.TEXTBEFORE(_xlfn.TEXTAFTER(batch_summary[[#This Row],[video]],"_",1),"_",1)</f>
        <v>20260403</v>
      </c>
      <c r="AK360" s="1" t="str">
        <f>_xlfn.TEXTBEFORE(_xlfn.TEXTAFTER(batch_summary[[#This Row],[video]],"_",2),".",1)</f>
        <v>140000</v>
      </c>
    </row>
    <row r="361" spans="1:37" x14ac:dyDescent="0.2">
      <c r="A361" s="1" t="s">
        <v>4129</v>
      </c>
      <c r="B361" s="1" t="s">
        <v>4130</v>
      </c>
      <c r="C361">
        <v>119.95833333333333</v>
      </c>
      <c r="D361">
        <v>2879</v>
      </c>
      <c r="E361">
        <v>0.41856228653341532</v>
      </c>
      <c r="F361">
        <v>39.290264502167702</v>
      </c>
      <c r="G361">
        <v>1.4538460803522588E-4</v>
      </c>
      <c r="H361">
        <v>1.3647191560322231E-2</v>
      </c>
      <c r="I361">
        <v>5</v>
      </c>
      <c r="J361" t="b">
        <v>1</v>
      </c>
      <c r="K361">
        <v>0.65</v>
      </c>
      <c r="L361">
        <v>1.3</v>
      </c>
      <c r="M361" t="b">
        <v>1</v>
      </c>
      <c r="N361">
        <v>200</v>
      </c>
      <c r="O361" t="b">
        <v>0</v>
      </c>
      <c r="P361" t="b">
        <v>0</v>
      </c>
      <c r="Q361">
        <v>0.7</v>
      </c>
      <c r="R361">
        <v>4796318.8240328431</v>
      </c>
      <c r="S361">
        <v>5800383.4607582092</v>
      </c>
      <c r="T361">
        <v>4092853.2235809565</v>
      </c>
      <c r="U361">
        <v>5029153.5434316397</v>
      </c>
      <c r="V361">
        <v>10596702.284791052</v>
      </c>
      <c r="W361">
        <v>9122006.7670125961</v>
      </c>
      <c r="X361">
        <v>88336.524777695478</v>
      </c>
      <c r="Y361">
        <v>76043.126921952877</v>
      </c>
      <c r="Z361">
        <v>3695.6135413646698</v>
      </c>
      <c r="AA361">
        <v>2280.5016917531489</v>
      </c>
      <c r="AB361">
        <v>40928.532235809565</v>
      </c>
      <c r="AC361">
        <v>50291.5354343164</v>
      </c>
      <c r="AD361">
        <v>91220.067670125965</v>
      </c>
      <c r="AE361">
        <v>1.1616634974566469</v>
      </c>
      <c r="AF361" s="1" t="s">
        <v>4131</v>
      </c>
      <c r="AG361" s="1" t="s">
        <v>4132</v>
      </c>
      <c r="AH361" s="1" t="s">
        <v>4133</v>
      </c>
      <c r="AI361" s="1" t="str">
        <f>_xlfn.TEXTAFTER(_xlfn.TEXTBEFORE(batch_summary[[#This Row],[video]],"_",1),"-",3)</f>
        <v>16</v>
      </c>
      <c r="AJ361" s="1" t="str">
        <f>_xlfn.TEXTBEFORE(_xlfn.TEXTAFTER(batch_summary[[#This Row],[video]],"_",1),"_",1)</f>
        <v>20260403</v>
      </c>
      <c r="AK361" s="1" t="str">
        <f>_xlfn.TEXTBEFORE(_xlfn.TEXTAFTER(batch_summary[[#This Row],[video]],"_",2),".",1)</f>
        <v>150000</v>
      </c>
    </row>
    <row r="362" spans="1:37" x14ac:dyDescent="0.2">
      <c r="A362" s="1" t="s">
        <v>4134</v>
      </c>
      <c r="B362" s="1" t="s">
        <v>4135</v>
      </c>
      <c r="C362">
        <v>119.95833333333333</v>
      </c>
      <c r="D362">
        <v>2879</v>
      </c>
      <c r="E362">
        <v>0.39657437242567539</v>
      </c>
      <c r="F362">
        <v>38.644413688220084</v>
      </c>
      <c r="G362">
        <v>1.3774726378106128E-4</v>
      </c>
      <c r="H362">
        <v>1.3422859912546051E-2</v>
      </c>
      <c r="I362">
        <v>5</v>
      </c>
      <c r="J362" t="b">
        <v>1</v>
      </c>
      <c r="K362">
        <v>0.65</v>
      </c>
      <c r="L362">
        <v>1.3</v>
      </c>
      <c r="M362" t="b">
        <v>1</v>
      </c>
      <c r="N362">
        <v>200</v>
      </c>
      <c r="O362" t="b">
        <v>0</v>
      </c>
      <c r="P362" t="b">
        <v>0</v>
      </c>
      <c r="Q362">
        <v>0.7</v>
      </c>
      <c r="R362">
        <v>7613307.6434897184</v>
      </c>
      <c r="S362">
        <v>8190193.9458079338</v>
      </c>
      <c r="T362">
        <v>6867290.8518875241</v>
      </c>
      <c r="U362">
        <v>7394809.8375302553</v>
      </c>
      <c r="V362">
        <v>15803501.589297652</v>
      </c>
      <c r="W362">
        <v>14262100.689417779</v>
      </c>
      <c r="X362">
        <v>131741.59018518362</v>
      </c>
      <c r="Y362">
        <v>118892.12106496238</v>
      </c>
      <c r="Z362">
        <v>6033.3941920852667</v>
      </c>
      <c r="AA362">
        <v>3565.5251723544447</v>
      </c>
      <c r="AB362">
        <v>68672.908518875236</v>
      </c>
      <c r="AC362">
        <v>73948.09837530255</v>
      </c>
      <c r="AD362">
        <v>142621.00689417779</v>
      </c>
      <c r="AE362">
        <v>1.1080767085751655</v>
      </c>
      <c r="AF362" s="1" t="s">
        <v>4136</v>
      </c>
      <c r="AG362" s="1" t="s">
        <v>4137</v>
      </c>
      <c r="AH362" s="1" t="s">
        <v>4138</v>
      </c>
      <c r="AI362" s="1" t="str">
        <f>_xlfn.TEXTAFTER(_xlfn.TEXTBEFORE(batch_summary[[#This Row],[video]],"_",1),"-",3)</f>
        <v>16</v>
      </c>
      <c r="AJ362" s="1" t="str">
        <f>_xlfn.TEXTBEFORE(_xlfn.TEXTAFTER(batch_summary[[#This Row],[video]],"_",1),"_",1)</f>
        <v>20260403</v>
      </c>
      <c r="AK362" s="1" t="str">
        <f>_xlfn.TEXTBEFORE(_xlfn.TEXTAFTER(batch_summary[[#This Row],[video]],"_",2),".",1)</f>
        <v>160000</v>
      </c>
    </row>
    <row r="363" spans="1:37" x14ac:dyDescent="0.2">
      <c r="A363" s="1" t="s">
        <v>4139</v>
      </c>
      <c r="B363" s="1" t="s">
        <v>4140</v>
      </c>
      <c r="C363">
        <v>119.95833333333333</v>
      </c>
      <c r="D363">
        <v>2879</v>
      </c>
      <c r="E363">
        <v>0.39601302891969681</v>
      </c>
      <c r="F363">
        <v>38.548347073607147</v>
      </c>
      <c r="G363">
        <v>1.3755228514056853E-4</v>
      </c>
      <c r="H363">
        <v>1.3389491863010472E-2</v>
      </c>
      <c r="I363">
        <v>5</v>
      </c>
      <c r="J363" t="b">
        <v>1</v>
      </c>
      <c r="K363">
        <v>0.65</v>
      </c>
      <c r="L363">
        <v>1.3</v>
      </c>
      <c r="M363" t="b">
        <v>1</v>
      </c>
      <c r="N363">
        <v>200</v>
      </c>
      <c r="O363" t="b">
        <v>0</v>
      </c>
      <c r="P363" t="b">
        <v>0</v>
      </c>
      <c r="Q363">
        <v>0.7</v>
      </c>
      <c r="R363">
        <v>8369440.013990283</v>
      </c>
      <c r="S363">
        <v>7575403.3015030026</v>
      </c>
      <c r="T363">
        <v>7583389.0489683151</v>
      </c>
      <c r="U363">
        <v>6829061.5586601496</v>
      </c>
      <c r="V363">
        <v>15944843.315493286</v>
      </c>
      <c r="W363">
        <v>14412450.607628465</v>
      </c>
      <c r="X363">
        <v>132919.84702043727</v>
      </c>
      <c r="Y363">
        <v>120145.47224143216</v>
      </c>
      <c r="Z363">
        <v>7004.9303242874139</v>
      </c>
      <c r="AA363">
        <v>3603.1126519071158</v>
      </c>
      <c r="AB363">
        <v>75833.890489683152</v>
      </c>
      <c r="AC363">
        <v>68290.615586601489</v>
      </c>
      <c r="AD363">
        <v>144124.50607628463</v>
      </c>
      <c r="AE363">
        <v>1.1063242296250251</v>
      </c>
      <c r="AF363" s="1" t="s">
        <v>4141</v>
      </c>
      <c r="AG363" s="1" t="s">
        <v>4142</v>
      </c>
      <c r="AH363" s="1" t="s">
        <v>4143</v>
      </c>
      <c r="AI363" s="1" t="str">
        <f>_xlfn.TEXTAFTER(_xlfn.TEXTBEFORE(batch_summary[[#This Row],[video]],"_",1),"-",3)</f>
        <v>16</v>
      </c>
      <c r="AJ363" s="1" t="str">
        <f>_xlfn.TEXTBEFORE(_xlfn.TEXTAFTER(batch_summary[[#This Row],[video]],"_",1),"_",1)</f>
        <v>20260403</v>
      </c>
      <c r="AK363" s="1" t="str">
        <f>_xlfn.TEXTBEFORE(_xlfn.TEXTAFTER(batch_summary[[#This Row],[video]],"_",2),".",1)</f>
        <v>170000</v>
      </c>
    </row>
    <row r="364" spans="1:37" x14ac:dyDescent="0.2">
      <c r="A364" s="1" t="s">
        <v>4144</v>
      </c>
      <c r="B364" s="1" t="s">
        <v>4145</v>
      </c>
      <c r="C364">
        <v>119.95833333333333</v>
      </c>
      <c r="D364">
        <v>2879</v>
      </c>
      <c r="E364">
        <v>0.40889578778296709</v>
      </c>
      <c r="F364">
        <v>38.980856939218938</v>
      </c>
      <c r="G364">
        <v>1.4202701902847069E-4</v>
      </c>
      <c r="H364">
        <v>1.3539721062597756E-2</v>
      </c>
      <c r="I364">
        <v>5</v>
      </c>
      <c r="J364" t="b">
        <v>1</v>
      </c>
      <c r="K364">
        <v>0.65</v>
      </c>
      <c r="L364">
        <v>1.3</v>
      </c>
      <c r="M364" t="b">
        <v>1</v>
      </c>
      <c r="N364">
        <v>200</v>
      </c>
      <c r="O364" t="b">
        <v>0</v>
      </c>
      <c r="P364" t="b">
        <v>0</v>
      </c>
      <c r="Q364">
        <v>0.7</v>
      </c>
      <c r="R364">
        <v>7034102.7303598523</v>
      </c>
      <c r="S364">
        <v>6296108.2670567632</v>
      </c>
      <c r="T364">
        <v>6296852.8975294828</v>
      </c>
      <c r="U364">
        <v>5539977.750967145</v>
      </c>
      <c r="V364">
        <v>13330210.997416615</v>
      </c>
      <c r="W364">
        <v>11836830.648496628</v>
      </c>
      <c r="X364">
        <v>111123.67625494921</v>
      </c>
      <c r="Y364">
        <v>98674.517389343207</v>
      </c>
      <c r="Z364">
        <v>5136.0294057941437</v>
      </c>
      <c r="AA364">
        <v>2959.2076621241567</v>
      </c>
      <c r="AB364">
        <v>62968.52897529483</v>
      </c>
      <c r="AC364">
        <v>55399.777509671447</v>
      </c>
      <c r="AD364">
        <v>118368.30648496628</v>
      </c>
      <c r="AE364">
        <v>1.1261638687979083</v>
      </c>
      <c r="AF364" s="1" t="s">
        <v>4146</v>
      </c>
      <c r="AG364" s="1" t="s">
        <v>4147</v>
      </c>
      <c r="AH364" s="1" t="s">
        <v>4148</v>
      </c>
      <c r="AI364" s="1" t="str">
        <f>_xlfn.TEXTAFTER(_xlfn.TEXTBEFORE(batch_summary[[#This Row],[video]],"_",1),"-",3)</f>
        <v>16</v>
      </c>
      <c r="AJ364" s="1" t="str">
        <f>_xlfn.TEXTBEFORE(_xlfn.TEXTAFTER(batch_summary[[#This Row],[video]],"_",1),"_",1)</f>
        <v>20260403</v>
      </c>
      <c r="AK364" s="1" t="str">
        <f>_xlfn.TEXTBEFORE(_xlfn.TEXTAFTER(batch_summary[[#This Row],[video]],"_",2),".",1)</f>
        <v>180000</v>
      </c>
    </row>
    <row r="365" spans="1:37" x14ac:dyDescent="0.2">
      <c r="A365" s="1" t="s">
        <v>4149</v>
      </c>
      <c r="B365" s="1" t="s">
        <v>4150</v>
      </c>
      <c r="C365">
        <v>119.95833333333333</v>
      </c>
      <c r="D365">
        <v>2879</v>
      </c>
      <c r="E365">
        <v>0.37287452537566423</v>
      </c>
      <c r="F365">
        <v>36.983632732182741</v>
      </c>
      <c r="G365">
        <v>1.2951529189845926E-4</v>
      </c>
      <c r="H365">
        <v>1.2845999559632769E-2</v>
      </c>
      <c r="I365">
        <v>5</v>
      </c>
      <c r="J365" t="b">
        <v>1</v>
      </c>
      <c r="K365">
        <v>0.65</v>
      </c>
      <c r="L365">
        <v>1.3</v>
      </c>
      <c r="M365" t="b">
        <v>1</v>
      </c>
      <c r="N365">
        <v>200</v>
      </c>
      <c r="O365" t="b">
        <v>0</v>
      </c>
      <c r="P365" t="b">
        <v>0</v>
      </c>
      <c r="Q365">
        <v>0.7</v>
      </c>
      <c r="R365">
        <v>12960.381212711334</v>
      </c>
      <c r="S365">
        <v>15312.823607444763</v>
      </c>
      <c r="T365">
        <v>519.86087036132812</v>
      </c>
      <c r="U365">
        <v>653.18521118164062</v>
      </c>
      <c r="V365">
        <v>28273.204820156097</v>
      </c>
      <c r="W365">
        <v>1173.0460815429688</v>
      </c>
      <c r="X365">
        <v>235.69187762547634</v>
      </c>
      <c r="Y365">
        <v>9.7787794223797331</v>
      </c>
      <c r="Z365">
        <v>8.6436038208007808</v>
      </c>
      <c r="AA365">
        <v>0.29326152038574216</v>
      </c>
      <c r="AB365">
        <v>5.1986087036132815</v>
      </c>
      <c r="AC365">
        <v>6.5318521118164066</v>
      </c>
      <c r="AD365">
        <v>11.730460815429687</v>
      </c>
      <c r="AE365">
        <v>24.102382050470577</v>
      </c>
      <c r="AF365" s="1" t="s">
        <v>4151</v>
      </c>
      <c r="AG365" s="1" t="s">
        <v>4152</v>
      </c>
      <c r="AH365" s="1" t="s">
        <v>4153</v>
      </c>
      <c r="AI365" s="1" t="str">
        <f>_xlfn.TEXTAFTER(_xlfn.TEXTBEFORE(batch_summary[[#This Row],[video]],"_",1),"-",3)</f>
        <v>16</v>
      </c>
      <c r="AJ365" s="1" t="str">
        <f>_xlfn.TEXTBEFORE(_xlfn.TEXTAFTER(batch_summary[[#This Row],[video]],"_",1),"_",1)</f>
        <v>20260403</v>
      </c>
      <c r="AK365" s="1" t="str">
        <f>_xlfn.TEXTBEFORE(_xlfn.TEXTAFTER(batch_summary[[#This Row],[video]],"_",2),".",1)</f>
        <v>190000</v>
      </c>
    </row>
    <row r="366" spans="1:37" x14ac:dyDescent="0.2">
      <c r="A366" s="1" t="s">
        <v>4154</v>
      </c>
      <c r="B366" s="1" t="s">
        <v>4155</v>
      </c>
      <c r="C366">
        <v>119.95833333333333</v>
      </c>
      <c r="D366">
        <v>2879</v>
      </c>
      <c r="E366">
        <v>0.37653145380318165</v>
      </c>
      <c r="F366">
        <v>36.713420921936631</v>
      </c>
      <c r="G366">
        <v>1.3078549975796514E-4</v>
      </c>
      <c r="H366">
        <v>1.2752143425472953E-2</v>
      </c>
      <c r="I366">
        <v>5</v>
      </c>
      <c r="J366" t="b">
        <v>1</v>
      </c>
      <c r="K366">
        <v>0.65</v>
      </c>
      <c r="L366">
        <v>1.3</v>
      </c>
      <c r="M366" t="b">
        <v>1</v>
      </c>
      <c r="N366">
        <v>200</v>
      </c>
      <c r="O366" t="b">
        <v>0</v>
      </c>
      <c r="P366" t="b">
        <v>0</v>
      </c>
      <c r="Q366">
        <v>0.7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s="1" t="s">
        <v>4156</v>
      </c>
      <c r="AG366" s="1" t="s">
        <v>4157</v>
      </c>
      <c r="AH366" s="1" t="s">
        <v>4158</v>
      </c>
      <c r="AI366" s="1" t="str">
        <f>_xlfn.TEXTAFTER(_xlfn.TEXTBEFORE(batch_summary[[#This Row],[video]],"_",1),"-",3)</f>
        <v>16</v>
      </c>
      <c r="AJ366" s="1" t="str">
        <f>_xlfn.TEXTBEFORE(_xlfn.TEXTAFTER(batch_summary[[#This Row],[video]],"_",1),"_",1)</f>
        <v>20260404</v>
      </c>
      <c r="AK366" s="1" t="str">
        <f>_xlfn.TEXTBEFORE(_xlfn.TEXTAFTER(batch_summary[[#This Row],[video]],"_",2),".",1)</f>
        <v>060000</v>
      </c>
    </row>
    <row r="367" spans="1:37" x14ac:dyDescent="0.2">
      <c r="A367" s="1" t="s">
        <v>4159</v>
      </c>
      <c r="B367" s="1" t="s">
        <v>4160</v>
      </c>
      <c r="C367">
        <v>119.95833333333333</v>
      </c>
      <c r="D367">
        <v>2879</v>
      </c>
      <c r="E367">
        <v>0.38389821350574493</v>
      </c>
      <c r="F367">
        <v>37.110874567180872</v>
      </c>
      <c r="G367">
        <v>1.3334429090161337E-4</v>
      </c>
      <c r="H367">
        <v>1.2890196098360845E-2</v>
      </c>
      <c r="I367">
        <v>5</v>
      </c>
      <c r="J367" t="b">
        <v>1</v>
      </c>
      <c r="K367">
        <v>0.65</v>
      </c>
      <c r="L367">
        <v>1.3</v>
      </c>
      <c r="M367" t="b">
        <v>1</v>
      </c>
      <c r="N367">
        <v>200</v>
      </c>
      <c r="O367" t="b">
        <v>0</v>
      </c>
      <c r="P367" t="b">
        <v>0</v>
      </c>
      <c r="Q367">
        <v>0.7</v>
      </c>
      <c r="R367">
        <v>144431.1818048358</v>
      </c>
      <c r="S367">
        <v>136286.85093909502</v>
      </c>
      <c r="T367">
        <v>7208.7705535888672</v>
      </c>
      <c r="U367">
        <v>7105.2421188354492</v>
      </c>
      <c r="V367">
        <v>280718.03274393082</v>
      </c>
      <c r="W367">
        <v>14314.012672424316</v>
      </c>
      <c r="X367">
        <v>2340.1294844926501</v>
      </c>
      <c r="Y367">
        <v>119.32487118380813</v>
      </c>
      <c r="Z367">
        <v>21.101652526855467</v>
      </c>
      <c r="AA367">
        <v>3.5785031681060793</v>
      </c>
      <c r="AB367">
        <v>72.087705535888674</v>
      </c>
      <c r="AC367">
        <v>71.052421188354487</v>
      </c>
      <c r="AD367">
        <v>143.14012672424315</v>
      </c>
      <c r="AE367">
        <v>19.611414295079463</v>
      </c>
      <c r="AF367" s="1" t="s">
        <v>4161</v>
      </c>
      <c r="AG367" s="1" t="s">
        <v>4162</v>
      </c>
      <c r="AH367" s="1" t="s">
        <v>4163</v>
      </c>
      <c r="AI367" s="1" t="str">
        <f>_xlfn.TEXTAFTER(_xlfn.TEXTBEFORE(batch_summary[[#This Row],[video]],"_",1),"-",3)</f>
        <v>16</v>
      </c>
      <c r="AJ367" s="1" t="str">
        <f>_xlfn.TEXTBEFORE(_xlfn.TEXTAFTER(batch_summary[[#This Row],[video]],"_",1),"_",1)</f>
        <v>20260404</v>
      </c>
      <c r="AK367" s="1" t="str">
        <f>_xlfn.TEXTBEFORE(_xlfn.TEXTAFTER(batch_summary[[#This Row],[video]],"_",2),".",1)</f>
        <v>070000</v>
      </c>
    </row>
    <row r="368" spans="1:37" x14ac:dyDescent="0.2">
      <c r="A368" s="1" t="s">
        <v>4164</v>
      </c>
      <c r="B368" s="1" t="s">
        <v>4165</v>
      </c>
      <c r="C368">
        <v>119.95833333333333</v>
      </c>
      <c r="D368">
        <v>2879</v>
      </c>
      <c r="E368">
        <v>0.38726356625556946</v>
      </c>
      <c r="F368">
        <v>37.438845937140286</v>
      </c>
      <c r="G368">
        <v>1.3451322204083692E-4</v>
      </c>
      <c r="H368">
        <v>1.3004114601299162E-2</v>
      </c>
      <c r="I368">
        <v>5</v>
      </c>
      <c r="J368" t="b">
        <v>1</v>
      </c>
      <c r="K368">
        <v>0.65</v>
      </c>
      <c r="L368">
        <v>1.3</v>
      </c>
      <c r="M368" t="b">
        <v>1</v>
      </c>
      <c r="N368">
        <v>200</v>
      </c>
      <c r="O368" t="b">
        <v>0</v>
      </c>
      <c r="P368" t="b">
        <v>0</v>
      </c>
      <c r="Q368">
        <v>0.7</v>
      </c>
      <c r="R368">
        <v>105117.32412207127</v>
      </c>
      <c r="S368">
        <v>97745.925420939922</v>
      </c>
      <c r="T368">
        <v>66556.191230773926</v>
      </c>
      <c r="U368">
        <v>53946.976257324219</v>
      </c>
      <c r="V368">
        <v>202863.24954301119</v>
      </c>
      <c r="W368">
        <v>120503.16748809814</v>
      </c>
      <c r="X368">
        <v>1691.1142719806421</v>
      </c>
      <c r="Y368">
        <v>1004.5418616583381</v>
      </c>
      <c r="Z368">
        <v>543.51777473449704</v>
      </c>
      <c r="AA368">
        <v>30.125791872024536</v>
      </c>
      <c r="AB368">
        <v>665.56191230773925</v>
      </c>
      <c r="AC368">
        <v>539.46976257324218</v>
      </c>
      <c r="AD368">
        <v>1205.0316748809814</v>
      </c>
      <c r="AE368">
        <v>1.6834681923447994</v>
      </c>
      <c r="AF368" s="1" t="s">
        <v>4166</v>
      </c>
      <c r="AG368" s="1" t="s">
        <v>4167</v>
      </c>
      <c r="AH368" s="1" t="s">
        <v>4168</v>
      </c>
      <c r="AI368" s="1" t="str">
        <f>_xlfn.TEXTAFTER(_xlfn.TEXTBEFORE(batch_summary[[#This Row],[video]],"_",1),"-",3)</f>
        <v>16</v>
      </c>
      <c r="AJ368" s="1" t="str">
        <f>_xlfn.TEXTBEFORE(_xlfn.TEXTAFTER(batch_summary[[#This Row],[video]],"_",1),"_",1)</f>
        <v>20260404</v>
      </c>
      <c r="AK368" s="1" t="str">
        <f>_xlfn.TEXTBEFORE(_xlfn.TEXTAFTER(batch_summary[[#This Row],[video]],"_",2),".",1)</f>
        <v>080000</v>
      </c>
    </row>
    <row r="369" spans="1:37" x14ac:dyDescent="0.2">
      <c r="A369" s="1" t="s">
        <v>4169</v>
      </c>
      <c r="B369" s="1" t="s">
        <v>4170</v>
      </c>
      <c r="C369">
        <v>119.95833333333333</v>
      </c>
      <c r="D369">
        <v>2879</v>
      </c>
      <c r="E369">
        <v>0.38286519609391689</v>
      </c>
      <c r="F369">
        <v>37.291001470759511</v>
      </c>
      <c r="G369">
        <v>1.3298547971306597E-4</v>
      </c>
      <c r="H369">
        <v>1.2952761886335363E-2</v>
      </c>
      <c r="I369">
        <v>5</v>
      </c>
      <c r="J369" t="b">
        <v>1</v>
      </c>
      <c r="K369">
        <v>0.65</v>
      </c>
      <c r="L369">
        <v>1.3</v>
      </c>
      <c r="M369" t="b">
        <v>1</v>
      </c>
      <c r="N369">
        <v>200</v>
      </c>
      <c r="O369" t="b">
        <v>0</v>
      </c>
      <c r="P369" t="b">
        <v>0</v>
      </c>
      <c r="Q369">
        <v>0.7</v>
      </c>
      <c r="R369">
        <v>216245.25468438864</v>
      </c>
      <c r="S369">
        <v>157679.24567079544</v>
      </c>
      <c r="T369">
        <v>96153.318542480469</v>
      </c>
      <c r="U369">
        <v>60748.611747264862</v>
      </c>
      <c r="V369">
        <v>373924.50035518408</v>
      </c>
      <c r="W369">
        <v>156901.93028974533</v>
      </c>
      <c r="X369">
        <v>3117.1198362363384</v>
      </c>
      <c r="Y369">
        <v>1307.970242081934</v>
      </c>
      <c r="Z369">
        <v>640.35636779785159</v>
      </c>
      <c r="AA369">
        <v>39.225482572436327</v>
      </c>
      <c r="AB369">
        <v>961.53318542480474</v>
      </c>
      <c r="AC369">
        <v>607.48611747264863</v>
      </c>
      <c r="AD369">
        <v>1569.0193028974534</v>
      </c>
      <c r="AE369">
        <v>2.3831733597201179</v>
      </c>
      <c r="AF369" s="1" t="s">
        <v>4171</v>
      </c>
      <c r="AG369" s="1" t="s">
        <v>4172</v>
      </c>
      <c r="AH369" s="1" t="s">
        <v>4173</v>
      </c>
      <c r="AI369" s="1" t="str">
        <f>_xlfn.TEXTAFTER(_xlfn.TEXTBEFORE(batch_summary[[#This Row],[video]],"_",1),"-",3)</f>
        <v>16</v>
      </c>
      <c r="AJ369" s="1" t="str">
        <f>_xlfn.TEXTBEFORE(_xlfn.TEXTAFTER(batch_summary[[#This Row],[video]],"_",1),"_",1)</f>
        <v>20260404</v>
      </c>
      <c r="AK369" s="1" t="str">
        <f>_xlfn.TEXTBEFORE(_xlfn.TEXTAFTER(batch_summary[[#This Row],[video]],"_",2),".",1)</f>
        <v>090000</v>
      </c>
    </row>
    <row r="370" spans="1:37" x14ac:dyDescent="0.2">
      <c r="A370" s="1" t="s">
        <v>4174</v>
      </c>
      <c r="B370" s="1" t="s">
        <v>4175</v>
      </c>
      <c r="C370">
        <v>119.95833333333333</v>
      </c>
      <c r="D370">
        <v>2879</v>
      </c>
      <c r="E370">
        <v>0.3896694527938962</v>
      </c>
      <c r="F370">
        <v>37.72527701407671</v>
      </c>
      <c r="G370">
        <v>1.3534888947339222E-4</v>
      </c>
      <c r="H370">
        <v>1.3103604381409069E-2</v>
      </c>
      <c r="I370">
        <v>5</v>
      </c>
      <c r="J370" t="b">
        <v>1</v>
      </c>
      <c r="K370">
        <v>0.65</v>
      </c>
      <c r="L370">
        <v>1.3</v>
      </c>
      <c r="M370" t="b">
        <v>1</v>
      </c>
      <c r="N370">
        <v>200</v>
      </c>
      <c r="O370" t="b">
        <v>0</v>
      </c>
      <c r="P370" t="b">
        <v>0</v>
      </c>
      <c r="Q370">
        <v>0.7</v>
      </c>
      <c r="R370">
        <v>419569.21125984192</v>
      </c>
      <c r="S370">
        <v>439774.47875583172</v>
      </c>
      <c r="T370">
        <v>334914.37364196777</v>
      </c>
      <c r="U370">
        <v>346088.95246618986</v>
      </c>
      <c r="V370">
        <v>859343.69001567364</v>
      </c>
      <c r="W370">
        <v>681003.32610815763</v>
      </c>
      <c r="X370">
        <v>7163.6848073553901</v>
      </c>
      <c r="Y370">
        <v>5676.9988977408075</v>
      </c>
      <c r="Z370">
        <v>1756.211518945694</v>
      </c>
      <c r="AA370">
        <v>170.25083152703942</v>
      </c>
      <c r="AB370">
        <v>3349.1437364196777</v>
      </c>
      <c r="AC370">
        <v>3460.8895246618986</v>
      </c>
      <c r="AD370">
        <v>6810.0332610815767</v>
      </c>
      <c r="AE370">
        <v>1.2618788441558828</v>
      </c>
      <c r="AF370" s="1" t="s">
        <v>4176</v>
      </c>
      <c r="AG370" s="1" t="s">
        <v>4177</v>
      </c>
      <c r="AH370" s="1" t="s">
        <v>4178</v>
      </c>
      <c r="AI370" s="1" t="str">
        <f>_xlfn.TEXTAFTER(_xlfn.TEXTBEFORE(batch_summary[[#This Row],[video]],"_",1),"-",3)</f>
        <v>16</v>
      </c>
      <c r="AJ370" s="1" t="str">
        <f>_xlfn.TEXTBEFORE(_xlfn.TEXTAFTER(batch_summary[[#This Row],[video]],"_",1),"_",1)</f>
        <v>20260404</v>
      </c>
      <c r="AK370" s="1" t="str">
        <f>_xlfn.TEXTBEFORE(_xlfn.TEXTAFTER(batch_summary[[#This Row],[video]],"_",2),".",1)</f>
        <v>100000</v>
      </c>
    </row>
    <row r="371" spans="1:37" x14ac:dyDescent="0.2">
      <c r="A371" s="1" t="s">
        <v>4179</v>
      </c>
      <c r="B371" s="1" t="s">
        <v>4180</v>
      </c>
      <c r="C371">
        <v>119.95833333333333</v>
      </c>
      <c r="D371">
        <v>2879</v>
      </c>
      <c r="E371">
        <v>0.41270046401768923</v>
      </c>
      <c r="F371">
        <v>39.059135412797332</v>
      </c>
      <c r="G371">
        <v>1.4334854602906884E-4</v>
      </c>
      <c r="H371">
        <v>1.3566910528932731E-2</v>
      </c>
      <c r="I371">
        <v>5</v>
      </c>
      <c r="J371" t="b">
        <v>1</v>
      </c>
      <c r="K371">
        <v>0.65</v>
      </c>
      <c r="L371">
        <v>1.3</v>
      </c>
      <c r="M371" t="b">
        <v>1</v>
      </c>
      <c r="N371">
        <v>200</v>
      </c>
      <c r="O371" t="b">
        <v>0</v>
      </c>
      <c r="P371" t="b">
        <v>0</v>
      </c>
      <c r="Q371">
        <v>0.7</v>
      </c>
      <c r="R371">
        <v>3449980.8470380902</v>
      </c>
      <c r="S371">
        <v>3546800.3175596595</v>
      </c>
      <c r="T371">
        <v>2866889.7000493407</v>
      </c>
      <c r="U371">
        <v>2958595.3036198616</v>
      </c>
      <c r="V371">
        <v>6996781.1645977497</v>
      </c>
      <c r="W371">
        <v>5825485.0036692023</v>
      </c>
      <c r="X371">
        <v>58326.762052916289</v>
      </c>
      <c r="Y371">
        <v>48562.570367509848</v>
      </c>
      <c r="Z371">
        <v>4123.4675247192381</v>
      </c>
      <c r="AA371">
        <v>1456.3712509173006</v>
      </c>
      <c r="AB371">
        <v>28668.897000493409</v>
      </c>
      <c r="AC371">
        <v>29585.953036198614</v>
      </c>
      <c r="AD371">
        <v>58254.85003669202</v>
      </c>
      <c r="AE371">
        <v>1.2010641449065276</v>
      </c>
      <c r="AF371" s="1" t="s">
        <v>4181</v>
      </c>
      <c r="AG371" s="1" t="s">
        <v>4182</v>
      </c>
      <c r="AH371" s="1" t="s">
        <v>4183</v>
      </c>
      <c r="AI371" s="1" t="str">
        <f>_xlfn.TEXTAFTER(_xlfn.TEXTBEFORE(batch_summary[[#This Row],[video]],"_",1),"-",3)</f>
        <v>16</v>
      </c>
      <c r="AJ371" s="1" t="str">
        <f>_xlfn.TEXTBEFORE(_xlfn.TEXTAFTER(batch_summary[[#This Row],[video]],"_",1),"_",1)</f>
        <v>20260404</v>
      </c>
      <c r="AK371" s="1" t="str">
        <f>_xlfn.TEXTBEFORE(_xlfn.TEXTAFTER(batch_summary[[#This Row],[video]],"_",2),".",1)</f>
        <v>110000</v>
      </c>
    </row>
    <row r="372" spans="1:37" x14ac:dyDescent="0.2">
      <c r="A372" s="1" t="s">
        <v>4184</v>
      </c>
      <c r="B372" s="1" t="s">
        <v>4185</v>
      </c>
      <c r="C372">
        <v>119.95833333333333</v>
      </c>
      <c r="D372">
        <v>2879</v>
      </c>
      <c r="E372">
        <v>0.41516922134906054</v>
      </c>
      <c r="F372">
        <v>39.400491638109088</v>
      </c>
      <c r="G372">
        <v>1.4420605118063928E-4</v>
      </c>
      <c r="H372">
        <v>1.3685478165373077E-2</v>
      </c>
      <c r="I372">
        <v>5</v>
      </c>
      <c r="J372" t="b">
        <v>1</v>
      </c>
      <c r="K372">
        <v>0.65</v>
      </c>
      <c r="L372">
        <v>1.3</v>
      </c>
      <c r="M372" t="b">
        <v>1</v>
      </c>
      <c r="N372">
        <v>200</v>
      </c>
      <c r="O372" t="b">
        <v>0</v>
      </c>
      <c r="P372" t="b">
        <v>0</v>
      </c>
      <c r="Q372">
        <v>0.7</v>
      </c>
      <c r="R372">
        <v>5878387.7739418149</v>
      </c>
      <c r="S372">
        <v>5643160.8237338066</v>
      </c>
      <c r="T372">
        <v>5041386.6606246829</v>
      </c>
      <c r="U372">
        <v>4857344.8710497022</v>
      </c>
      <c r="V372">
        <v>11521548.597675622</v>
      </c>
      <c r="W372">
        <v>9898731.5316743851</v>
      </c>
      <c r="X372">
        <v>96046.254374510216</v>
      </c>
      <c r="Y372">
        <v>82518.081542266504</v>
      </c>
      <c r="Z372">
        <v>5065.5522854614264</v>
      </c>
      <c r="AA372">
        <v>2474.6828829185961</v>
      </c>
      <c r="AB372">
        <v>50413.866606246826</v>
      </c>
      <c r="AC372">
        <v>48573.448710497025</v>
      </c>
      <c r="AD372">
        <v>98987.315316743858</v>
      </c>
      <c r="AE372">
        <v>1.1639419213268363</v>
      </c>
      <c r="AF372" s="1" t="s">
        <v>4186</v>
      </c>
      <c r="AG372" s="1" t="s">
        <v>4187</v>
      </c>
      <c r="AH372" s="1" t="s">
        <v>4188</v>
      </c>
      <c r="AI372" s="1" t="str">
        <f>_xlfn.TEXTAFTER(_xlfn.TEXTBEFORE(batch_summary[[#This Row],[video]],"_",1),"-",3)</f>
        <v>16</v>
      </c>
      <c r="AJ372" s="1" t="str">
        <f>_xlfn.TEXTBEFORE(_xlfn.TEXTAFTER(batch_summary[[#This Row],[video]],"_",1),"_",1)</f>
        <v>20260404</v>
      </c>
      <c r="AK372" s="1" t="str">
        <f>_xlfn.TEXTBEFORE(_xlfn.TEXTAFTER(batch_summary[[#This Row],[video]],"_",2),".",1)</f>
        <v>120000</v>
      </c>
    </row>
    <row r="373" spans="1:37" x14ac:dyDescent="0.2">
      <c r="A373" s="1" t="s">
        <v>4189</v>
      </c>
      <c r="B373" s="1" t="s">
        <v>4190</v>
      </c>
      <c r="C373">
        <v>119.95833333333333</v>
      </c>
      <c r="D373">
        <v>2879</v>
      </c>
      <c r="E373">
        <v>0.40127301961183548</v>
      </c>
      <c r="F373">
        <v>38.556854303926229</v>
      </c>
      <c r="G373">
        <v>1.393793051795191E-4</v>
      </c>
      <c r="H373">
        <v>1.3392446788442595E-2</v>
      </c>
      <c r="I373">
        <v>5</v>
      </c>
      <c r="J373" t="b">
        <v>1</v>
      </c>
      <c r="K373">
        <v>0.65</v>
      </c>
      <c r="L373">
        <v>1.3</v>
      </c>
      <c r="M373" t="b">
        <v>1</v>
      </c>
      <c r="N373">
        <v>200</v>
      </c>
      <c r="O373" t="b">
        <v>0</v>
      </c>
      <c r="P373" t="b">
        <v>0</v>
      </c>
      <c r="Q373">
        <v>0.7</v>
      </c>
      <c r="R373">
        <v>6115112.4934872389</v>
      </c>
      <c r="S373">
        <v>6407053.8194662929</v>
      </c>
      <c r="T373">
        <v>5229406.881972611</v>
      </c>
      <c r="U373">
        <v>5520033.9182984233</v>
      </c>
      <c r="V373">
        <v>12522166.312953532</v>
      </c>
      <c r="W373">
        <v>10749440.800271034</v>
      </c>
      <c r="X373">
        <v>104387.63164671233</v>
      </c>
      <c r="Y373">
        <v>89609.787845260449</v>
      </c>
      <c r="Z373">
        <v>5211.2265686374903</v>
      </c>
      <c r="AA373">
        <v>2687.3602000677588</v>
      </c>
      <c r="AB373">
        <v>52294.068819726112</v>
      </c>
      <c r="AC373">
        <v>55200.339182984229</v>
      </c>
      <c r="AD373">
        <v>107494.40800271035</v>
      </c>
      <c r="AE373">
        <v>1.1649132774086073</v>
      </c>
      <c r="AF373" s="1" t="s">
        <v>4191</v>
      </c>
      <c r="AG373" s="1" t="s">
        <v>4192</v>
      </c>
      <c r="AH373" s="1" t="s">
        <v>4193</v>
      </c>
      <c r="AI373" s="1" t="str">
        <f>_xlfn.TEXTAFTER(_xlfn.TEXTBEFORE(batch_summary[[#This Row],[video]],"_",1),"-",3)</f>
        <v>16</v>
      </c>
      <c r="AJ373" s="1" t="str">
        <f>_xlfn.TEXTBEFORE(_xlfn.TEXTAFTER(batch_summary[[#This Row],[video]],"_",1),"_",1)</f>
        <v>20260404</v>
      </c>
      <c r="AK373" s="1" t="str">
        <f>_xlfn.TEXTBEFORE(_xlfn.TEXTAFTER(batch_summary[[#This Row],[video]],"_",2),".",1)</f>
        <v>130000</v>
      </c>
    </row>
    <row r="374" spans="1:37" x14ac:dyDescent="0.2">
      <c r="A374" s="1" t="s">
        <v>4194</v>
      </c>
      <c r="B374" s="1" t="s">
        <v>4195</v>
      </c>
      <c r="C374">
        <v>119.95833333333333</v>
      </c>
      <c r="D374">
        <v>2879</v>
      </c>
      <c r="E374">
        <v>0.40396678447723389</v>
      </c>
      <c r="F374">
        <v>38.684106267988682</v>
      </c>
      <c r="G374">
        <v>1.403149650841382E-4</v>
      </c>
      <c r="H374">
        <v>1.343664684542851E-2</v>
      </c>
      <c r="I374">
        <v>5</v>
      </c>
      <c r="J374" t="b">
        <v>1</v>
      </c>
      <c r="K374">
        <v>0.65</v>
      </c>
      <c r="L374">
        <v>1.3</v>
      </c>
      <c r="M374" t="b">
        <v>1</v>
      </c>
      <c r="N374">
        <v>200</v>
      </c>
      <c r="O374" t="b">
        <v>0</v>
      </c>
      <c r="P374" t="b">
        <v>0</v>
      </c>
      <c r="Q374">
        <v>0.7</v>
      </c>
      <c r="R374">
        <v>5846327.4369884729</v>
      </c>
      <c r="S374">
        <v>6286720.4273407459</v>
      </c>
      <c r="T374">
        <v>4951771.7404376864</v>
      </c>
      <c r="U374">
        <v>5361359.7347865701</v>
      </c>
      <c r="V374">
        <v>12133047.864329219</v>
      </c>
      <c r="W374">
        <v>10313131.475224257</v>
      </c>
      <c r="X374">
        <v>101143.85159565865</v>
      </c>
      <c r="Y374">
        <v>85972.613895582545</v>
      </c>
      <c r="Z374">
        <v>5352.0592727661133</v>
      </c>
      <c r="AA374">
        <v>2578.282868806064</v>
      </c>
      <c r="AB374">
        <v>49517.717404376861</v>
      </c>
      <c r="AC374">
        <v>53613.597347865703</v>
      </c>
      <c r="AD374">
        <v>103131.31475224256</v>
      </c>
      <c r="AE374">
        <v>1.1764659350534836</v>
      </c>
      <c r="AF374" s="1" t="s">
        <v>4196</v>
      </c>
      <c r="AG374" s="1" t="s">
        <v>4197</v>
      </c>
      <c r="AH374" s="1" t="s">
        <v>4198</v>
      </c>
      <c r="AI374" s="1" t="str">
        <f>_xlfn.TEXTAFTER(_xlfn.TEXTBEFORE(batch_summary[[#This Row],[video]],"_",1),"-",3)</f>
        <v>16</v>
      </c>
      <c r="AJ374" s="1" t="str">
        <f>_xlfn.TEXTBEFORE(_xlfn.TEXTAFTER(batch_summary[[#This Row],[video]],"_",1),"_",1)</f>
        <v>20260404</v>
      </c>
      <c r="AK374" s="1" t="str">
        <f>_xlfn.TEXTBEFORE(_xlfn.TEXTAFTER(batch_summary[[#This Row],[video]],"_",2),".",1)</f>
        <v>140000</v>
      </c>
    </row>
    <row r="375" spans="1:37" x14ac:dyDescent="0.2">
      <c r="A375" s="1" t="s">
        <v>4199</v>
      </c>
      <c r="B375" s="1" t="s">
        <v>4200</v>
      </c>
      <c r="C375">
        <v>119.95833333333333</v>
      </c>
      <c r="D375">
        <v>2879</v>
      </c>
      <c r="E375">
        <v>0.39647942874580622</v>
      </c>
      <c r="F375">
        <v>38.529837301932275</v>
      </c>
      <c r="G375">
        <v>1.3771428577485454E-4</v>
      </c>
      <c r="H375">
        <v>1.3383062626582938E-2</v>
      </c>
      <c r="I375">
        <v>5</v>
      </c>
      <c r="J375" t="b">
        <v>1</v>
      </c>
      <c r="K375">
        <v>0.65</v>
      </c>
      <c r="L375">
        <v>1.3</v>
      </c>
      <c r="M375" t="b">
        <v>1</v>
      </c>
      <c r="N375">
        <v>200</v>
      </c>
      <c r="O375" t="b">
        <v>0</v>
      </c>
      <c r="P375" t="b">
        <v>0</v>
      </c>
      <c r="Q375">
        <v>0.7</v>
      </c>
      <c r="R375">
        <v>8305986.3155708313</v>
      </c>
      <c r="S375">
        <v>7737019.4600632787</v>
      </c>
      <c r="T375">
        <v>7539353.7107450962</v>
      </c>
      <c r="U375">
        <v>6978904.3188800216</v>
      </c>
      <c r="V375">
        <v>16043005.77563411</v>
      </c>
      <c r="W375">
        <v>14518258.029625118</v>
      </c>
      <c r="X375">
        <v>133738.15165516452</v>
      </c>
      <c r="Y375">
        <v>121027.50702014688</v>
      </c>
      <c r="Z375">
        <v>6668.8830717086794</v>
      </c>
      <c r="AA375">
        <v>3629.5645074062791</v>
      </c>
      <c r="AB375">
        <v>75393.53710745096</v>
      </c>
      <c r="AC375">
        <v>69789.04318880022</v>
      </c>
      <c r="AD375">
        <v>145182.58029625117</v>
      </c>
      <c r="AE375">
        <v>1.1050227749705013</v>
      </c>
      <c r="AF375" s="1" t="s">
        <v>4201</v>
      </c>
      <c r="AG375" s="1" t="s">
        <v>4202</v>
      </c>
      <c r="AH375" s="1" t="s">
        <v>4203</v>
      </c>
      <c r="AI375" s="1" t="str">
        <f>_xlfn.TEXTAFTER(_xlfn.TEXTBEFORE(batch_summary[[#This Row],[video]],"_",1),"-",3)</f>
        <v>16</v>
      </c>
      <c r="AJ375" s="1" t="str">
        <f>_xlfn.TEXTBEFORE(_xlfn.TEXTAFTER(batch_summary[[#This Row],[video]],"_",1),"_",1)</f>
        <v>20260404</v>
      </c>
      <c r="AK375" s="1" t="str">
        <f>_xlfn.TEXTBEFORE(_xlfn.TEXTAFTER(batch_summary[[#This Row],[video]],"_",2),".",1)</f>
        <v>150000</v>
      </c>
    </row>
    <row r="376" spans="1:37" x14ac:dyDescent="0.2">
      <c r="A376" s="1" t="s">
        <v>4204</v>
      </c>
      <c r="B376" s="1" t="s">
        <v>4205</v>
      </c>
      <c r="C376">
        <v>119.95833333333333</v>
      </c>
      <c r="D376">
        <v>2879</v>
      </c>
      <c r="E376">
        <v>0.40805513225495815</v>
      </c>
      <c r="F376">
        <v>39.059190555475652</v>
      </c>
      <c r="G376">
        <v>1.4173502336052731E-4</v>
      </c>
      <c r="H376">
        <v>1.3566929682346527E-2</v>
      </c>
      <c r="I376">
        <v>5</v>
      </c>
      <c r="J376" t="b">
        <v>1</v>
      </c>
      <c r="K376">
        <v>0.65</v>
      </c>
      <c r="L376">
        <v>1.3</v>
      </c>
      <c r="M376" t="b">
        <v>1</v>
      </c>
      <c r="N376">
        <v>200</v>
      </c>
      <c r="O376" t="b">
        <v>0</v>
      </c>
      <c r="P376" t="b">
        <v>0</v>
      </c>
      <c r="Q376">
        <v>0.7</v>
      </c>
      <c r="R376">
        <v>5438672.1699399948</v>
      </c>
      <c r="S376">
        <v>5298986.6678770781</v>
      </c>
      <c r="T376">
        <v>4780960.8648107052</v>
      </c>
      <c r="U376">
        <v>4621294.2323235273</v>
      </c>
      <c r="V376">
        <v>10737658.837817073</v>
      </c>
      <c r="W376">
        <v>9402255.0971342325</v>
      </c>
      <c r="X376">
        <v>89511.570721642842</v>
      </c>
      <c r="Y376">
        <v>78379.340858361087</v>
      </c>
      <c r="Z376">
        <v>4645.6211304843418</v>
      </c>
      <c r="AA376">
        <v>2350.5637742835584</v>
      </c>
      <c r="AB376">
        <v>47809.608648107052</v>
      </c>
      <c r="AC376">
        <v>46212.942323235271</v>
      </c>
      <c r="AD376">
        <v>94022.550971342323</v>
      </c>
      <c r="AE376">
        <v>1.1420301541371565</v>
      </c>
      <c r="AF376" s="1" t="s">
        <v>4206</v>
      </c>
      <c r="AG376" s="1" t="s">
        <v>4207</v>
      </c>
      <c r="AH376" s="1" t="s">
        <v>4208</v>
      </c>
      <c r="AI376" s="1" t="str">
        <f>_xlfn.TEXTAFTER(_xlfn.TEXTBEFORE(batch_summary[[#This Row],[video]],"_",1),"-",3)</f>
        <v>16</v>
      </c>
      <c r="AJ376" s="1" t="str">
        <f>_xlfn.TEXTBEFORE(_xlfn.TEXTAFTER(batch_summary[[#This Row],[video]],"_",1),"_",1)</f>
        <v>20260404</v>
      </c>
      <c r="AK376" s="1" t="str">
        <f>_xlfn.TEXTBEFORE(_xlfn.TEXTAFTER(batch_summary[[#This Row],[video]],"_",2),".",1)</f>
        <v>160000</v>
      </c>
    </row>
    <row r="377" spans="1:37" x14ac:dyDescent="0.2">
      <c r="A377" s="1" t="s">
        <v>4209</v>
      </c>
      <c r="B377" s="1" t="s">
        <v>4210</v>
      </c>
      <c r="C377">
        <v>119.95833333333333</v>
      </c>
      <c r="D377">
        <v>2879</v>
      </c>
      <c r="E377">
        <v>0.41129812598228455</v>
      </c>
      <c r="F377">
        <v>38.933824881911278</v>
      </c>
      <c r="G377">
        <v>1.4286145397092204E-4</v>
      </c>
      <c r="H377">
        <v>1.3523384814835455E-2</v>
      </c>
      <c r="I377">
        <v>5</v>
      </c>
      <c r="J377" t="b">
        <v>1</v>
      </c>
      <c r="K377">
        <v>0.65</v>
      </c>
      <c r="L377">
        <v>1.3</v>
      </c>
      <c r="M377" t="b">
        <v>1</v>
      </c>
      <c r="N377">
        <v>200</v>
      </c>
      <c r="O377" t="b">
        <v>0</v>
      </c>
      <c r="P377" t="b">
        <v>0</v>
      </c>
      <c r="Q377">
        <v>0.7</v>
      </c>
      <c r="R377">
        <v>4615027.483953774</v>
      </c>
      <c r="S377">
        <v>4479886.0054206848</v>
      </c>
      <c r="T377">
        <v>4052511.7976697683</v>
      </c>
      <c r="U377">
        <v>3960897.1312438846</v>
      </c>
      <c r="V377">
        <v>9094913.4893744588</v>
      </c>
      <c r="W377">
        <v>8013408.9289136529</v>
      </c>
      <c r="X377">
        <v>75817.271186171245</v>
      </c>
      <c r="Y377">
        <v>66801.602741899158</v>
      </c>
      <c r="Z377">
        <v>3794.1458031463626</v>
      </c>
      <c r="AA377">
        <v>2003.352232228413</v>
      </c>
      <c r="AB377">
        <v>40525.117976697686</v>
      </c>
      <c r="AC377">
        <v>39608.971312438844</v>
      </c>
      <c r="AD377">
        <v>80134.089289136522</v>
      </c>
      <c r="AE377">
        <v>1.1349618583120806</v>
      </c>
      <c r="AF377" s="1" t="s">
        <v>4211</v>
      </c>
      <c r="AG377" s="1" t="s">
        <v>4212</v>
      </c>
      <c r="AH377" s="1" t="s">
        <v>4213</v>
      </c>
      <c r="AI377" s="1" t="str">
        <f>_xlfn.TEXTAFTER(_xlfn.TEXTBEFORE(batch_summary[[#This Row],[video]],"_",1),"-",3)</f>
        <v>16</v>
      </c>
      <c r="AJ377" s="1" t="str">
        <f>_xlfn.TEXTBEFORE(_xlfn.TEXTAFTER(batch_summary[[#This Row],[video]],"_",1),"_",1)</f>
        <v>20260404</v>
      </c>
      <c r="AK377" s="1" t="str">
        <f>_xlfn.TEXTBEFORE(_xlfn.TEXTAFTER(batch_summary[[#This Row],[video]],"_",2),".",1)</f>
        <v>170000</v>
      </c>
    </row>
    <row r="378" spans="1:37" x14ac:dyDescent="0.2">
      <c r="A378" s="1" t="s">
        <v>4214</v>
      </c>
      <c r="B378" s="1" t="s">
        <v>4215</v>
      </c>
      <c r="C378">
        <v>119.95833333333333</v>
      </c>
      <c r="D378">
        <v>2879</v>
      </c>
      <c r="E378">
        <v>0.41305056773126125</v>
      </c>
      <c r="F378">
        <v>39.331038444302976</v>
      </c>
      <c r="G378">
        <v>1.4347015204281392E-4</v>
      </c>
      <c r="H378">
        <v>1.3661354096666543E-2</v>
      </c>
      <c r="I378">
        <v>5</v>
      </c>
      <c r="J378" t="b">
        <v>1</v>
      </c>
      <c r="K378">
        <v>0.65</v>
      </c>
      <c r="L378">
        <v>1.3</v>
      </c>
      <c r="M378" t="b">
        <v>1</v>
      </c>
      <c r="N378">
        <v>200</v>
      </c>
      <c r="O378" t="b">
        <v>0</v>
      </c>
      <c r="P378" t="b">
        <v>0</v>
      </c>
      <c r="Q378">
        <v>0.7</v>
      </c>
      <c r="R378">
        <v>3293631.413848877</v>
      </c>
      <c r="S378">
        <v>3164780.3953161836</v>
      </c>
      <c r="T378">
        <v>2898604.0681177974</v>
      </c>
      <c r="U378">
        <v>2721901.9093524814</v>
      </c>
      <c r="V378">
        <v>6458411.8091650605</v>
      </c>
      <c r="W378">
        <v>5620505.9774702787</v>
      </c>
      <c r="X378">
        <v>53838.792434859832</v>
      </c>
      <c r="Y378">
        <v>46853.818499231224</v>
      </c>
      <c r="Z378">
        <v>2994.5939444255828</v>
      </c>
      <c r="AA378">
        <v>1405.1264943675699</v>
      </c>
      <c r="AB378">
        <v>28986.040681177972</v>
      </c>
      <c r="AC378">
        <v>27219.019093524814</v>
      </c>
      <c r="AD378">
        <v>56205.059774702786</v>
      </c>
      <c r="AE378">
        <v>1.1490801424379791</v>
      </c>
      <c r="AF378" s="1" t="s">
        <v>4216</v>
      </c>
      <c r="AG378" s="1" t="s">
        <v>4217</v>
      </c>
      <c r="AH378" s="1" t="s">
        <v>4218</v>
      </c>
      <c r="AI378" s="1" t="str">
        <f>_xlfn.TEXTAFTER(_xlfn.TEXTBEFORE(batch_summary[[#This Row],[video]],"_",1),"-",3)</f>
        <v>16</v>
      </c>
      <c r="AJ378" s="1" t="str">
        <f>_xlfn.TEXTBEFORE(_xlfn.TEXTAFTER(batch_summary[[#This Row],[video]],"_",1),"_",1)</f>
        <v>20260404</v>
      </c>
      <c r="AK378" s="1" t="str">
        <f>_xlfn.TEXTBEFORE(_xlfn.TEXTAFTER(batch_summary[[#This Row],[video]],"_",2),".",1)</f>
        <v>180000</v>
      </c>
    </row>
    <row r="379" spans="1:37" x14ac:dyDescent="0.2">
      <c r="A379" s="1" t="s">
        <v>4219</v>
      </c>
      <c r="B379" s="1" t="s">
        <v>4220</v>
      </c>
      <c r="C379">
        <v>119.95833333333333</v>
      </c>
      <c r="D379">
        <v>2879</v>
      </c>
      <c r="E379">
        <v>0.38320327084511518</v>
      </c>
      <c r="F379">
        <v>37.222494918853045</v>
      </c>
      <c r="G379">
        <v>1.3310290755300978E-4</v>
      </c>
      <c r="H379">
        <v>1.2928966626902759E-2</v>
      </c>
      <c r="I379">
        <v>5</v>
      </c>
      <c r="J379" t="b">
        <v>1</v>
      </c>
      <c r="K379">
        <v>0.65</v>
      </c>
      <c r="L379">
        <v>1.3</v>
      </c>
      <c r="M379" t="b">
        <v>1</v>
      </c>
      <c r="N379">
        <v>200</v>
      </c>
      <c r="O379" t="b">
        <v>0</v>
      </c>
      <c r="P379" t="b">
        <v>0</v>
      </c>
      <c r="Q379">
        <v>0.7</v>
      </c>
      <c r="R379">
        <v>97064.868769168854</v>
      </c>
      <c r="S379">
        <v>112178.33127164841</v>
      </c>
      <c r="T379">
        <v>14441.420196533203</v>
      </c>
      <c r="U379">
        <v>21121.448430359364</v>
      </c>
      <c r="V379">
        <v>209243.20004081726</v>
      </c>
      <c r="W379">
        <v>35562.868626892567</v>
      </c>
      <c r="X379">
        <v>1744.2989930460626</v>
      </c>
      <c r="Y379">
        <v>296.46017611859037</v>
      </c>
      <c r="Z379">
        <v>118.49173263549805</v>
      </c>
      <c r="AA379">
        <v>8.8907171567231416</v>
      </c>
      <c r="AB379">
        <v>144.41420196533204</v>
      </c>
      <c r="AC379">
        <v>211.21448430359362</v>
      </c>
      <c r="AD379">
        <v>355.62868626892566</v>
      </c>
      <c r="AE379">
        <v>5.8837548296817648</v>
      </c>
      <c r="AF379" s="1" t="s">
        <v>4221</v>
      </c>
      <c r="AG379" s="1" t="s">
        <v>4222</v>
      </c>
      <c r="AH379" s="1" t="s">
        <v>4223</v>
      </c>
      <c r="AI379" s="1" t="str">
        <f>_xlfn.TEXTAFTER(_xlfn.TEXTBEFORE(batch_summary[[#This Row],[video]],"_",1),"-",3)</f>
        <v>16</v>
      </c>
      <c r="AJ379" s="1" t="str">
        <f>_xlfn.TEXTBEFORE(_xlfn.TEXTAFTER(batch_summary[[#This Row],[video]],"_",1),"_",1)</f>
        <v>20260404</v>
      </c>
      <c r="AK379" s="1" t="str">
        <f>_xlfn.TEXTBEFORE(_xlfn.TEXTAFTER(batch_summary[[#This Row],[video]],"_",2),".",1)</f>
        <v>190000</v>
      </c>
    </row>
    <row r="380" spans="1:37" x14ac:dyDescent="0.2">
      <c r="A380" s="1" t="s">
        <v>4224</v>
      </c>
      <c r="B380" s="1" t="s">
        <v>4225</v>
      </c>
      <c r="C380">
        <v>119.95833333333333</v>
      </c>
      <c r="D380">
        <v>2879</v>
      </c>
      <c r="E380">
        <v>0.37075856234878302</v>
      </c>
      <c r="F380">
        <v>37.587109373882413</v>
      </c>
      <c r="G380">
        <v>1.2878032731809065E-4</v>
      </c>
      <c r="H380">
        <v>1.3055612842612856E-2</v>
      </c>
      <c r="I380">
        <v>5</v>
      </c>
      <c r="J380" t="b">
        <v>1</v>
      </c>
      <c r="K380">
        <v>0.65</v>
      </c>
      <c r="L380">
        <v>1.3</v>
      </c>
      <c r="M380" t="b">
        <v>1</v>
      </c>
      <c r="N380">
        <v>200</v>
      </c>
      <c r="O380" t="b">
        <v>0</v>
      </c>
      <c r="P380" t="b">
        <v>0</v>
      </c>
      <c r="Q380">
        <v>0.7</v>
      </c>
      <c r="R380">
        <v>13913.223445355892</v>
      </c>
      <c r="S380">
        <v>14024.526024341583</v>
      </c>
      <c r="T380">
        <v>0</v>
      </c>
      <c r="U380">
        <v>0</v>
      </c>
      <c r="V380">
        <v>27937.749469697475</v>
      </c>
      <c r="W380">
        <v>0</v>
      </c>
      <c r="X380">
        <v>232.89544538823878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27937749469.697475</v>
      </c>
      <c r="AF380" s="1" t="s">
        <v>4226</v>
      </c>
      <c r="AG380" s="1" t="s">
        <v>4227</v>
      </c>
      <c r="AH380" s="1" t="s">
        <v>4228</v>
      </c>
      <c r="AI380" s="1" t="str">
        <f>_xlfn.TEXTAFTER(_xlfn.TEXTBEFORE(batch_summary[[#This Row],[video]],"_",1),"-",3)</f>
        <v>16</v>
      </c>
      <c r="AJ380" s="1" t="str">
        <f>_xlfn.TEXTBEFORE(_xlfn.TEXTAFTER(batch_summary[[#This Row],[video]],"_",1),"_",1)</f>
        <v>20260405</v>
      </c>
      <c r="AK380" s="1" t="str">
        <f>_xlfn.TEXTBEFORE(_xlfn.TEXTAFTER(batch_summary[[#This Row],[video]],"_",2),".",1)</f>
        <v>060000</v>
      </c>
    </row>
    <row r="381" spans="1:37" x14ac:dyDescent="0.2">
      <c r="A381" s="1" t="s">
        <v>4229</v>
      </c>
      <c r="B381" s="1" t="s">
        <v>4230</v>
      </c>
      <c r="C381">
        <v>119.95833333333333</v>
      </c>
      <c r="D381">
        <v>2879</v>
      </c>
      <c r="E381">
        <v>0.38007921259850264</v>
      </c>
      <c r="F381">
        <v>37.091072168201208</v>
      </c>
      <c r="G381">
        <v>1.3201778832876089E-4</v>
      </c>
      <c r="H381">
        <v>1.2883317877110527E-2</v>
      </c>
      <c r="I381">
        <v>5</v>
      </c>
      <c r="J381" t="b">
        <v>1</v>
      </c>
      <c r="K381">
        <v>0.65</v>
      </c>
      <c r="L381">
        <v>1.3</v>
      </c>
      <c r="M381" t="b">
        <v>1</v>
      </c>
      <c r="N381">
        <v>200</v>
      </c>
      <c r="O381" t="b">
        <v>0</v>
      </c>
      <c r="P381" t="b">
        <v>0</v>
      </c>
      <c r="Q381">
        <v>0.7</v>
      </c>
      <c r="R381">
        <v>804.57825839519501</v>
      </c>
      <c r="S381">
        <v>534.33529585599899</v>
      </c>
      <c r="T381">
        <v>0</v>
      </c>
      <c r="U381">
        <v>0</v>
      </c>
      <c r="V381">
        <v>1338.913554251194</v>
      </c>
      <c r="W381">
        <v>0</v>
      </c>
      <c r="X381">
        <v>11.161488468922771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1338913554.251194</v>
      </c>
      <c r="AF381" s="1" t="s">
        <v>4231</v>
      </c>
      <c r="AG381" s="1" t="s">
        <v>4232</v>
      </c>
      <c r="AH381" s="1" t="s">
        <v>4233</v>
      </c>
      <c r="AI381" s="1" t="str">
        <f>_xlfn.TEXTAFTER(_xlfn.TEXTBEFORE(batch_summary[[#This Row],[video]],"_",1),"-",3)</f>
        <v>16</v>
      </c>
      <c r="AJ381" s="1" t="str">
        <f>_xlfn.TEXTBEFORE(_xlfn.TEXTAFTER(batch_summary[[#This Row],[video]],"_",1),"_",1)</f>
        <v>20260405</v>
      </c>
      <c r="AK381" s="1" t="str">
        <f>_xlfn.TEXTBEFORE(_xlfn.TEXTAFTER(batch_summary[[#This Row],[video]],"_",2),".",1)</f>
        <v>070000</v>
      </c>
    </row>
    <row r="382" spans="1:37" x14ac:dyDescent="0.2">
      <c r="A382" s="1" t="s">
        <v>4234</v>
      </c>
      <c r="B382" s="1" t="s">
        <v>4235</v>
      </c>
      <c r="C382">
        <v>119.95833333333333</v>
      </c>
      <c r="D382">
        <v>2879</v>
      </c>
      <c r="E382">
        <v>0.3777574086561799</v>
      </c>
      <c r="F382">
        <v>36.935789100825787</v>
      </c>
      <c r="G382">
        <v>1.3121132638283428E-4</v>
      </c>
      <c r="H382">
        <v>1.2829381417445567E-2</v>
      </c>
      <c r="I382">
        <v>5</v>
      </c>
      <c r="J382" t="b">
        <v>1</v>
      </c>
      <c r="K382">
        <v>0.65</v>
      </c>
      <c r="L382">
        <v>1.3</v>
      </c>
      <c r="M382" t="b">
        <v>1</v>
      </c>
      <c r="N382">
        <v>200</v>
      </c>
      <c r="O382" t="b">
        <v>0</v>
      </c>
      <c r="P382" t="b">
        <v>0</v>
      </c>
      <c r="Q382">
        <v>0.7</v>
      </c>
      <c r="R382">
        <v>103371.09652036428</v>
      </c>
      <c r="S382">
        <v>136263.33005219698</v>
      </c>
      <c r="T382">
        <v>49897.216053664684</v>
      </c>
      <c r="U382">
        <v>83566.672569513321</v>
      </c>
      <c r="V382">
        <v>239634.42657256126</v>
      </c>
      <c r="W382">
        <v>133463.88862317801</v>
      </c>
      <c r="X382">
        <v>1997.6471822651861</v>
      </c>
      <c r="Y382">
        <v>1112.5853862300355</v>
      </c>
      <c r="Z382">
        <v>352.84208711326119</v>
      </c>
      <c r="AA382">
        <v>33.365972155794495</v>
      </c>
      <c r="AB382">
        <v>498.97216053664687</v>
      </c>
      <c r="AC382">
        <v>835.66672569513321</v>
      </c>
      <c r="AD382">
        <v>1334.6388862317801</v>
      </c>
      <c r="AE382">
        <v>1.7955001090155944</v>
      </c>
      <c r="AF382" s="1" t="s">
        <v>4236</v>
      </c>
      <c r="AG382" s="1" t="s">
        <v>4237</v>
      </c>
      <c r="AH382" s="1" t="s">
        <v>4238</v>
      </c>
      <c r="AI382" s="1" t="str">
        <f>_xlfn.TEXTAFTER(_xlfn.TEXTBEFORE(batch_summary[[#This Row],[video]],"_",1),"-",3)</f>
        <v>16</v>
      </c>
      <c r="AJ382" s="1" t="str">
        <f>_xlfn.TEXTBEFORE(_xlfn.TEXTAFTER(batch_summary[[#This Row],[video]],"_",1),"_",1)</f>
        <v>20260405</v>
      </c>
      <c r="AK382" s="1" t="str">
        <f>_xlfn.TEXTBEFORE(_xlfn.TEXTAFTER(batch_summary[[#This Row],[video]],"_",2),".",1)</f>
        <v>080000</v>
      </c>
    </row>
    <row r="383" spans="1:37" x14ac:dyDescent="0.2">
      <c r="A383" s="1" t="s">
        <v>4239</v>
      </c>
      <c r="B383" s="1" t="s">
        <v>4240</v>
      </c>
      <c r="C383">
        <v>119.95833333333333</v>
      </c>
      <c r="D383">
        <v>2879</v>
      </c>
      <c r="E383">
        <v>0.41943471599370241</v>
      </c>
      <c r="F383">
        <v>39.194059581495821</v>
      </c>
      <c r="G383">
        <v>1.4568764015064343E-4</v>
      </c>
      <c r="H383">
        <v>1.3613775471169093E-2</v>
      </c>
      <c r="I383">
        <v>5</v>
      </c>
      <c r="J383" t="b">
        <v>1</v>
      </c>
      <c r="K383">
        <v>0.65</v>
      </c>
      <c r="L383">
        <v>1.3</v>
      </c>
      <c r="M383" t="b">
        <v>1</v>
      </c>
      <c r="N383">
        <v>200</v>
      </c>
      <c r="O383" t="b">
        <v>0</v>
      </c>
      <c r="P383" t="b">
        <v>0</v>
      </c>
      <c r="Q383">
        <v>0.7</v>
      </c>
      <c r="R383">
        <v>3496185.216181457</v>
      </c>
      <c r="S383">
        <v>3572216.3257830739</v>
      </c>
      <c r="T383">
        <v>2763742.8122938275</v>
      </c>
      <c r="U383">
        <v>2835474.4953633547</v>
      </c>
      <c r="V383">
        <v>7068401.5419645309</v>
      </c>
      <c r="W383">
        <v>5599217.3076571822</v>
      </c>
      <c r="X383">
        <v>58923.805837842563</v>
      </c>
      <c r="Y383">
        <v>46676.351296899054</v>
      </c>
      <c r="Z383">
        <v>3538.5150510358808</v>
      </c>
      <c r="AA383">
        <v>1399.8043269142956</v>
      </c>
      <c r="AB383">
        <v>27637.428122938276</v>
      </c>
      <c r="AC383">
        <v>28354.744953633548</v>
      </c>
      <c r="AD383">
        <v>55992.173076571824</v>
      </c>
      <c r="AE383">
        <v>1.2623910010240491</v>
      </c>
      <c r="AF383" s="1" t="s">
        <v>4241</v>
      </c>
      <c r="AG383" s="1" t="s">
        <v>4242</v>
      </c>
      <c r="AH383" s="1" t="s">
        <v>4243</v>
      </c>
      <c r="AI383" s="1" t="str">
        <f>_xlfn.TEXTAFTER(_xlfn.TEXTBEFORE(batch_summary[[#This Row],[video]],"_",1),"-",3)</f>
        <v>16</v>
      </c>
      <c r="AJ383" s="1" t="str">
        <f>_xlfn.TEXTBEFORE(_xlfn.TEXTAFTER(batch_summary[[#This Row],[video]],"_",1),"_",1)</f>
        <v>20260405</v>
      </c>
      <c r="AK383" s="1" t="str">
        <f>_xlfn.TEXTBEFORE(_xlfn.TEXTAFTER(batch_summary[[#This Row],[video]],"_",2),".",1)</f>
        <v>090000</v>
      </c>
    </row>
    <row r="384" spans="1:37" x14ac:dyDescent="0.2">
      <c r="A384" s="1" t="s">
        <v>4244</v>
      </c>
      <c r="B384" s="1" t="s">
        <v>4245</v>
      </c>
      <c r="C384">
        <v>119.95833333333333</v>
      </c>
      <c r="D384">
        <v>2879</v>
      </c>
      <c r="E384">
        <v>0.3954484649002552</v>
      </c>
      <c r="F384">
        <v>38.438746164552867</v>
      </c>
      <c r="G384">
        <v>1.3735618787782397E-4</v>
      </c>
      <c r="H384">
        <v>1.3351422773377168E-2</v>
      </c>
      <c r="I384">
        <v>5</v>
      </c>
      <c r="J384" t="b">
        <v>1</v>
      </c>
      <c r="K384">
        <v>0.65</v>
      </c>
      <c r="L384">
        <v>1.3</v>
      </c>
      <c r="M384" t="b">
        <v>1</v>
      </c>
      <c r="N384">
        <v>200</v>
      </c>
      <c r="O384" t="b">
        <v>0</v>
      </c>
      <c r="P384" t="b">
        <v>0</v>
      </c>
      <c r="Q384">
        <v>0.7</v>
      </c>
      <c r="R384">
        <v>7818026.076312542</v>
      </c>
      <c r="S384">
        <v>8016548.659947753</v>
      </c>
      <c r="T384">
        <v>6729754.6977276206</v>
      </c>
      <c r="U384">
        <v>6920891.4102743864</v>
      </c>
      <c r="V384">
        <v>15834574.736260295</v>
      </c>
      <c r="W384">
        <v>13650646.108002007</v>
      </c>
      <c r="X384">
        <v>132000.62301849498</v>
      </c>
      <c r="Y384">
        <v>113794.89635013831</v>
      </c>
      <c r="Z384">
        <v>5837.0305877685551</v>
      </c>
      <c r="AA384">
        <v>3412.6615270005013</v>
      </c>
      <c r="AB384">
        <v>67297.546977276201</v>
      </c>
      <c r="AC384">
        <v>69208.91410274386</v>
      </c>
      <c r="AD384">
        <v>136506.46108002006</v>
      </c>
      <c r="AE384">
        <v>1.1599871984797898</v>
      </c>
      <c r="AF384" s="1" t="s">
        <v>4246</v>
      </c>
      <c r="AG384" s="1" t="s">
        <v>4247</v>
      </c>
      <c r="AH384" s="1" t="s">
        <v>4248</v>
      </c>
      <c r="AI384" s="1" t="str">
        <f>_xlfn.TEXTAFTER(_xlfn.TEXTBEFORE(batch_summary[[#This Row],[video]],"_",1),"-",3)</f>
        <v>16</v>
      </c>
      <c r="AJ384" s="1" t="str">
        <f>_xlfn.TEXTBEFORE(_xlfn.TEXTAFTER(batch_summary[[#This Row],[video]],"_",1),"_",1)</f>
        <v>20260405</v>
      </c>
      <c r="AK384" s="1" t="str">
        <f>_xlfn.TEXTBEFORE(_xlfn.TEXTAFTER(batch_summary[[#This Row],[video]],"_",2),".",1)</f>
        <v>100000</v>
      </c>
    </row>
    <row r="385" spans="1:37" x14ac:dyDescent="0.2">
      <c r="A385" s="1" t="s">
        <v>4249</v>
      </c>
      <c r="B385" s="1" t="s">
        <v>4250</v>
      </c>
      <c r="C385">
        <v>119.95833333333333</v>
      </c>
      <c r="D385">
        <v>2879</v>
      </c>
      <c r="E385">
        <v>0.39515017438679934</v>
      </c>
      <c r="F385">
        <v>38.253713799640536</v>
      </c>
      <c r="G385">
        <v>1.3725257880750237E-4</v>
      </c>
      <c r="H385">
        <v>1.3287153108593448E-2</v>
      </c>
      <c r="I385">
        <v>5</v>
      </c>
      <c r="J385" t="b">
        <v>1</v>
      </c>
      <c r="K385">
        <v>0.65</v>
      </c>
      <c r="L385">
        <v>1.3</v>
      </c>
      <c r="M385" t="b">
        <v>1</v>
      </c>
      <c r="N385">
        <v>200</v>
      </c>
      <c r="O385" t="b">
        <v>0</v>
      </c>
      <c r="P385" t="b">
        <v>0</v>
      </c>
      <c r="Q385">
        <v>0.7</v>
      </c>
      <c r="R385">
        <v>8740321.8883615136</v>
      </c>
      <c r="S385">
        <v>10472298.968200684</v>
      </c>
      <c r="T385">
        <v>7693896.4124459028</v>
      </c>
      <c r="U385">
        <v>9370919.8977068663</v>
      </c>
      <c r="V385">
        <v>19212620.856562197</v>
      </c>
      <c r="W385">
        <v>17064816.310152769</v>
      </c>
      <c r="X385">
        <v>160160.78518843098</v>
      </c>
      <c r="Y385">
        <v>142256.19709748749</v>
      </c>
      <c r="Z385">
        <v>6832.6519439840313</v>
      </c>
      <c r="AA385">
        <v>4266.204077538192</v>
      </c>
      <c r="AB385">
        <v>76938.964124459031</v>
      </c>
      <c r="AC385">
        <v>93709.198977068663</v>
      </c>
      <c r="AD385">
        <v>170648.16310152769</v>
      </c>
      <c r="AE385">
        <v>1.1258615684677242</v>
      </c>
      <c r="AF385" s="1" t="s">
        <v>4251</v>
      </c>
      <c r="AG385" s="1" t="s">
        <v>4252</v>
      </c>
      <c r="AH385" s="1" t="s">
        <v>4253</v>
      </c>
      <c r="AI385" s="1" t="str">
        <f>_xlfn.TEXTAFTER(_xlfn.TEXTBEFORE(batch_summary[[#This Row],[video]],"_",1),"-",3)</f>
        <v>16</v>
      </c>
      <c r="AJ385" s="1" t="str">
        <f>_xlfn.TEXTBEFORE(_xlfn.TEXTAFTER(batch_summary[[#This Row],[video]],"_",1),"_",1)</f>
        <v>20260405</v>
      </c>
      <c r="AK385" s="1" t="str">
        <f>_xlfn.TEXTBEFORE(_xlfn.TEXTAFTER(batch_summary[[#This Row],[video]],"_",2),".",1)</f>
        <v>110000</v>
      </c>
    </row>
    <row r="386" spans="1:37" x14ac:dyDescent="0.2">
      <c r="A386" s="1" t="s">
        <v>4254</v>
      </c>
      <c r="B386" s="1" t="s">
        <v>4255</v>
      </c>
      <c r="C386">
        <v>119.95833333333333</v>
      </c>
      <c r="D386">
        <v>2879</v>
      </c>
      <c r="E386">
        <v>0.40237358398735523</v>
      </c>
      <c r="F386">
        <v>38.925018389709294</v>
      </c>
      <c r="G386">
        <v>1.3976157832141552E-4</v>
      </c>
      <c r="H386">
        <v>1.3520325942934801E-2</v>
      </c>
      <c r="I386">
        <v>5</v>
      </c>
      <c r="J386" t="b">
        <v>1</v>
      </c>
      <c r="K386">
        <v>0.65</v>
      </c>
      <c r="L386">
        <v>1.3</v>
      </c>
      <c r="M386" t="b">
        <v>1</v>
      </c>
      <c r="N386">
        <v>200</v>
      </c>
      <c r="O386" t="b">
        <v>0</v>
      </c>
      <c r="P386" t="b">
        <v>0</v>
      </c>
      <c r="Q386">
        <v>0.7</v>
      </c>
      <c r="R386">
        <v>7688391.5248926878</v>
      </c>
      <c r="S386">
        <v>7281077.8148066998</v>
      </c>
      <c r="T386">
        <v>6495140.7781612873</v>
      </c>
      <c r="U386">
        <v>6131748.3150948286</v>
      </c>
      <c r="V386">
        <v>14969469.339699388</v>
      </c>
      <c r="W386">
        <v>12626889.093256116</v>
      </c>
      <c r="X386">
        <v>124788.90731253398</v>
      </c>
      <c r="Y386">
        <v>105260.6246051222</v>
      </c>
      <c r="Z386">
        <v>6153.1666210174562</v>
      </c>
      <c r="AA386">
        <v>3156.7222733140288</v>
      </c>
      <c r="AB386">
        <v>64951.40778161287</v>
      </c>
      <c r="AC386">
        <v>61317.483150948283</v>
      </c>
      <c r="AD386">
        <v>126268.89093256116</v>
      </c>
      <c r="AE386">
        <v>1.1855231505671828</v>
      </c>
      <c r="AF386" s="1" t="s">
        <v>4256</v>
      </c>
      <c r="AG386" s="1" t="s">
        <v>4257</v>
      </c>
      <c r="AH386" s="1" t="s">
        <v>4258</v>
      </c>
      <c r="AI386" s="1" t="str">
        <f>_xlfn.TEXTAFTER(_xlfn.TEXTBEFORE(batch_summary[[#This Row],[video]],"_",1),"-",3)</f>
        <v>16</v>
      </c>
      <c r="AJ386" s="1" t="str">
        <f>_xlfn.TEXTBEFORE(_xlfn.TEXTAFTER(batch_summary[[#This Row],[video]],"_",1),"_",1)</f>
        <v>20260405</v>
      </c>
      <c r="AK386" s="1" t="str">
        <f>_xlfn.TEXTBEFORE(_xlfn.TEXTAFTER(batch_summary[[#This Row],[video]],"_",2),".",1)</f>
        <v>120000</v>
      </c>
    </row>
    <row r="387" spans="1:37" x14ac:dyDescent="0.2">
      <c r="A387" s="1" t="s">
        <v>4259</v>
      </c>
      <c r="B387" s="1" t="s">
        <v>4260</v>
      </c>
      <c r="C387">
        <v>119.95833333333333</v>
      </c>
      <c r="D387">
        <v>2879</v>
      </c>
      <c r="E387">
        <v>0.40050594974309206</v>
      </c>
      <c r="F387">
        <v>38.581866633147001</v>
      </c>
      <c r="G387">
        <v>1.3911286896251896E-4</v>
      </c>
      <c r="H387">
        <v>1.3401134641593261E-2</v>
      </c>
      <c r="I387">
        <v>5</v>
      </c>
      <c r="J387" t="b">
        <v>1</v>
      </c>
      <c r="K387">
        <v>0.65</v>
      </c>
      <c r="L387">
        <v>1.3</v>
      </c>
      <c r="M387" t="b">
        <v>1</v>
      </c>
      <c r="N387">
        <v>200</v>
      </c>
      <c r="O387" t="b">
        <v>0</v>
      </c>
      <c r="P387" t="b">
        <v>0</v>
      </c>
      <c r="Q387">
        <v>0.7</v>
      </c>
      <c r="R387">
        <v>8648643.8895246983</v>
      </c>
      <c r="S387">
        <v>8321345.2667431235</v>
      </c>
      <c r="T387">
        <v>7669654.3624354005</v>
      </c>
      <c r="U387">
        <v>7401310.9042382836</v>
      </c>
      <c r="V387">
        <v>16969989.156267822</v>
      </c>
      <c r="W387">
        <v>15070965.266673684</v>
      </c>
      <c r="X387">
        <v>141465.69633568174</v>
      </c>
      <c r="Y387">
        <v>125635.00048633847</v>
      </c>
      <c r="Z387">
        <v>8065.1866159057608</v>
      </c>
      <c r="AA387">
        <v>3767.7413166684214</v>
      </c>
      <c r="AB387">
        <v>76696.543624354003</v>
      </c>
      <c r="AC387">
        <v>74013.109042382843</v>
      </c>
      <c r="AD387">
        <v>150709.65266673686</v>
      </c>
      <c r="AE387">
        <v>1.1260054585749351</v>
      </c>
      <c r="AF387" s="1" t="s">
        <v>4261</v>
      </c>
      <c r="AG387" s="1" t="s">
        <v>4262</v>
      </c>
      <c r="AH387" s="1" t="s">
        <v>4263</v>
      </c>
      <c r="AI387" s="1" t="str">
        <f>_xlfn.TEXTAFTER(_xlfn.TEXTBEFORE(batch_summary[[#This Row],[video]],"_",1),"-",3)</f>
        <v>16</v>
      </c>
      <c r="AJ387" s="1" t="str">
        <f>_xlfn.TEXTBEFORE(_xlfn.TEXTAFTER(batch_summary[[#This Row],[video]],"_",1),"_",1)</f>
        <v>20260405</v>
      </c>
      <c r="AK387" s="1" t="str">
        <f>_xlfn.TEXTBEFORE(_xlfn.TEXTAFTER(batch_summary[[#This Row],[video]],"_",2),".",1)</f>
        <v>130000</v>
      </c>
    </row>
    <row r="388" spans="1:37" x14ac:dyDescent="0.2">
      <c r="A388" s="1" t="s">
        <v>4264</v>
      </c>
      <c r="B388" s="1" t="s">
        <v>4265</v>
      </c>
      <c r="C388">
        <v>119.95833333333333</v>
      </c>
      <c r="D388">
        <v>2879</v>
      </c>
      <c r="E388">
        <v>0.39190370868891478</v>
      </c>
      <c r="F388">
        <v>38.369830396957695</v>
      </c>
      <c r="G388">
        <v>1.3612494223303744E-4</v>
      </c>
      <c r="H388">
        <v>1.3327485375810246E-2</v>
      </c>
      <c r="I388">
        <v>5</v>
      </c>
      <c r="J388" t="b">
        <v>1</v>
      </c>
      <c r="K388">
        <v>0.65</v>
      </c>
      <c r="L388">
        <v>1.3</v>
      </c>
      <c r="M388" t="b">
        <v>1</v>
      </c>
      <c r="N388">
        <v>200</v>
      </c>
      <c r="O388" t="b">
        <v>0</v>
      </c>
      <c r="P388" t="b">
        <v>0</v>
      </c>
      <c r="Q388">
        <v>0.7</v>
      </c>
      <c r="R388">
        <v>9329850.0017074347</v>
      </c>
      <c r="S388">
        <v>8570619.996584475</v>
      </c>
      <c r="T388">
        <v>8317179.2262043357</v>
      </c>
      <c r="U388">
        <v>7603605.2770659924</v>
      </c>
      <c r="V388">
        <v>17900469.99829191</v>
      </c>
      <c r="W388">
        <v>15920784.503270328</v>
      </c>
      <c r="X388">
        <v>149222.39665126984</v>
      </c>
      <c r="Y388">
        <v>132719.28727978043</v>
      </c>
      <c r="Z388">
        <v>6232.1992250823978</v>
      </c>
      <c r="AA388">
        <v>3980.1961258175825</v>
      </c>
      <c r="AB388">
        <v>83171.792262043353</v>
      </c>
      <c r="AC388">
        <v>76036.052770659924</v>
      </c>
      <c r="AD388">
        <v>159207.84503270328</v>
      </c>
      <c r="AE388">
        <v>1.1243459764570602</v>
      </c>
      <c r="AF388" s="1" t="s">
        <v>4266</v>
      </c>
      <c r="AG388" s="1" t="s">
        <v>4267</v>
      </c>
      <c r="AH388" s="1" t="s">
        <v>4268</v>
      </c>
      <c r="AI388" s="1" t="str">
        <f>_xlfn.TEXTAFTER(_xlfn.TEXTBEFORE(batch_summary[[#This Row],[video]],"_",1),"-",3)</f>
        <v>16</v>
      </c>
      <c r="AJ388" s="1" t="str">
        <f>_xlfn.TEXTBEFORE(_xlfn.TEXTAFTER(batch_summary[[#This Row],[video]],"_",1),"_",1)</f>
        <v>20260405</v>
      </c>
      <c r="AK388" s="1" t="str">
        <f>_xlfn.TEXTBEFORE(_xlfn.TEXTAFTER(batch_summary[[#This Row],[video]],"_",2),".",1)</f>
        <v>140000</v>
      </c>
    </row>
    <row r="389" spans="1:37" x14ac:dyDescent="0.2">
      <c r="A389" s="1" t="s">
        <v>4269</v>
      </c>
      <c r="B389" s="1" t="s">
        <v>4270</v>
      </c>
      <c r="C389">
        <v>119.95833333333333</v>
      </c>
      <c r="D389">
        <v>2879</v>
      </c>
      <c r="E389">
        <v>0.42166503425687551</v>
      </c>
      <c r="F389">
        <v>39.309056416153908</v>
      </c>
      <c r="G389">
        <v>1.4646232520211028E-4</v>
      </c>
      <c r="H389">
        <v>1.3653718796857905E-2</v>
      </c>
      <c r="I389">
        <v>5</v>
      </c>
      <c r="J389" t="b">
        <v>1</v>
      </c>
      <c r="K389">
        <v>0.65</v>
      </c>
      <c r="L389">
        <v>1.3</v>
      </c>
      <c r="M389" t="b">
        <v>1</v>
      </c>
      <c r="N389">
        <v>200</v>
      </c>
      <c r="O389" t="b">
        <v>0</v>
      </c>
      <c r="P389" t="b">
        <v>0</v>
      </c>
      <c r="Q389">
        <v>0.7</v>
      </c>
      <c r="R389">
        <v>2293985.3996266723</v>
      </c>
      <c r="S389">
        <v>2280199.2038336992</v>
      </c>
      <c r="T389">
        <v>1778567.3487189412</v>
      </c>
      <c r="U389">
        <v>1759011.5940714478</v>
      </c>
      <c r="V389">
        <v>4574184.6034603715</v>
      </c>
      <c r="W389">
        <v>3537578.9427903891</v>
      </c>
      <c r="X389">
        <v>38131.44511394544</v>
      </c>
      <c r="Y389">
        <v>29490.064128853541</v>
      </c>
      <c r="Z389">
        <v>2174.7085678291323</v>
      </c>
      <c r="AA389">
        <v>884.39473569759718</v>
      </c>
      <c r="AB389">
        <v>17785.673487189411</v>
      </c>
      <c r="AC389">
        <v>17590.115940714477</v>
      </c>
      <c r="AD389">
        <v>35375.789427903888</v>
      </c>
      <c r="AE389">
        <v>1.2930268631269959</v>
      </c>
      <c r="AF389" s="1" t="s">
        <v>4271</v>
      </c>
      <c r="AG389" s="1" t="s">
        <v>4272</v>
      </c>
      <c r="AH389" s="1" t="s">
        <v>4273</v>
      </c>
      <c r="AI389" s="1" t="str">
        <f>_xlfn.TEXTAFTER(_xlfn.TEXTBEFORE(batch_summary[[#This Row],[video]],"_",1),"-",3)</f>
        <v>16</v>
      </c>
      <c r="AJ389" s="1" t="str">
        <f>_xlfn.TEXTBEFORE(_xlfn.TEXTAFTER(batch_summary[[#This Row],[video]],"_",1),"_",1)</f>
        <v>20260405</v>
      </c>
      <c r="AK389" s="1" t="str">
        <f>_xlfn.TEXTBEFORE(_xlfn.TEXTAFTER(batch_summary[[#This Row],[video]],"_",2),".",1)</f>
        <v>150000</v>
      </c>
    </row>
    <row r="390" spans="1:37" x14ac:dyDescent="0.2">
      <c r="A390" s="1" t="s">
        <v>4274</v>
      </c>
      <c r="B390" s="1" t="s">
        <v>4275</v>
      </c>
      <c r="C390">
        <v>119.95833333333333</v>
      </c>
      <c r="D390">
        <v>2879</v>
      </c>
      <c r="E390">
        <v>0.41401707008481026</v>
      </c>
      <c r="F390">
        <v>39.226230464875698</v>
      </c>
      <c r="G390">
        <v>1.4380585970295598E-4</v>
      </c>
      <c r="H390">
        <v>1.3624949796761271E-2</v>
      </c>
      <c r="I390">
        <v>5</v>
      </c>
      <c r="J390" t="b">
        <v>1</v>
      </c>
      <c r="K390">
        <v>0.65</v>
      </c>
      <c r="L390">
        <v>1.3</v>
      </c>
      <c r="M390" t="b">
        <v>1</v>
      </c>
      <c r="N390">
        <v>200</v>
      </c>
      <c r="O390" t="b">
        <v>0</v>
      </c>
      <c r="P390" t="b">
        <v>0</v>
      </c>
      <c r="Q390">
        <v>0.7</v>
      </c>
      <c r="R390">
        <v>3570890.0858768821</v>
      </c>
      <c r="S390">
        <v>3151058.9181152582</v>
      </c>
      <c r="T390">
        <v>3099012.3299821019</v>
      </c>
      <c r="U390">
        <v>2713820.0544376373</v>
      </c>
      <c r="V390">
        <v>6721949.0039921403</v>
      </c>
      <c r="W390">
        <v>5812832.3844197392</v>
      </c>
      <c r="X390">
        <v>56035.698539705234</v>
      </c>
      <c r="Y390">
        <v>48457.095250459795</v>
      </c>
      <c r="Z390">
        <v>3492.7597924900056</v>
      </c>
      <c r="AA390">
        <v>1453.2080961049348</v>
      </c>
      <c r="AB390">
        <v>30990.123299821018</v>
      </c>
      <c r="AC390">
        <v>27138.200544376374</v>
      </c>
      <c r="AD390">
        <v>58128.323844197395</v>
      </c>
      <c r="AE390">
        <v>1.1563982168158033</v>
      </c>
      <c r="AF390" s="1" t="s">
        <v>4276</v>
      </c>
      <c r="AG390" s="1" t="s">
        <v>4277</v>
      </c>
      <c r="AH390" s="1" t="s">
        <v>4278</v>
      </c>
      <c r="AI390" s="1" t="str">
        <f>_xlfn.TEXTAFTER(_xlfn.TEXTBEFORE(batch_summary[[#This Row],[video]],"_",1),"-",3)</f>
        <v>16</v>
      </c>
      <c r="AJ390" s="1" t="str">
        <f>_xlfn.TEXTBEFORE(_xlfn.TEXTAFTER(batch_summary[[#This Row],[video]],"_",1),"_",1)</f>
        <v>20260405</v>
      </c>
      <c r="AK390" s="1" t="str">
        <f>_xlfn.TEXTBEFORE(_xlfn.TEXTAFTER(batch_summary[[#This Row],[video]],"_",2),".",1)</f>
        <v>160000</v>
      </c>
    </row>
    <row r="391" spans="1:37" x14ac:dyDescent="0.2">
      <c r="A391" s="1" t="s">
        <v>4279</v>
      </c>
      <c r="B391" s="1" t="s">
        <v>4280</v>
      </c>
      <c r="C391">
        <v>119.95833333333333</v>
      </c>
      <c r="D391">
        <v>2879</v>
      </c>
      <c r="E391">
        <v>0.40866691898554564</v>
      </c>
      <c r="F391">
        <v>38.635169666260481</v>
      </c>
      <c r="G391">
        <v>1.4194752309327739E-4</v>
      </c>
      <c r="H391">
        <v>1.3419649067822328E-2</v>
      </c>
      <c r="I391">
        <v>5</v>
      </c>
      <c r="J391" t="b">
        <v>1</v>
      </c>
      <c r="K391">
        <v>0.65</v>
      </c>
      <c r="L391">
        <v>1.3</v>
      </c>
      <c r="M391" t="b">
        <v>1</v>
      </c>
      <c r="N391">
        <v>200</v>
      </c>
      <c r="O391" t="b">
        <v>0</v>
      </c>
      <c r="P391" t="b">
        <v>0</v>
      </c>
      <c r="Q391">
        <v>0.7</v>
      </c>
      <c r="R391">
        <v>2950354.3290636539</v>
      </c>
      <c r="S391">
        <v>2544930.9457498789</v>
      </c>
      <c r="T391">
        <v>2597601.9657341242</v>
      </c>
      <c r="U391">
        <v>2251802.2791955471</v>
      </c>
      <c r="V391">
        <v>5495285.2748135328</v>
      </c>
      <c r="W391">
        <v>4849404.2449296713</v>
      </c>
      <c r="X391">
        <v>45809.950189484123</v>
      </c>
      <c r="Y391">
        <v>40425.738755926403</v>
      </c>
      <c r="Z391">
        <v>2894.2144534301756</v>
      </c>
      <c r="AA391">
        <v>1212.3510612324178</v>
      </c>
      <c r="AB391">
        <v>25976.019657341243</v>
      </c>
      <c r="AC391">
        <v>22518.022791955471</v>
      </c>
      <c r="AD391">
        <v>48494.042449296714</v>
      </c>
      <c r="AE391">
        <v>1.1331877066258536</v>
      </c>
      <c r="AF391" s="1" t="s">
        <v>4281</v>
      </c>
      <c r="AG391" s="1" t="s">
        <v>4282</v>
      </c>
      <c r="AH391" s="1" t="s">
        <v>4283</v>
      </c>
      <c r="AI391" s="1" t="str">
        <f>_xlfn.TEXTAFTER(_xlfn.TEXTBEFORE(batch_summary[[#This Row],[video]],"_",1),"-",3)</f>
        <v>16</v>
      </c>
      <c r="AJ391" s="1" t="str">
        <f>_xlfn.TEXTBEFORE(_xlfn.TEXTAFTER(batch_summary[[#This Row],[video]],"_",1),"_",1)</f>
        <v>20260405</v>
      </c>
      <c r="AK391" s="1" t="str">
        <f>_xlfn.TEXTBEFORE(_xlfn.TEXTAFTER(batch_summary[[#This Row],[video]],"_",2),".",1)</f>
        <v>170000</v>
      </c>
    </row>
    <row r="392" spans="1:37" x14ac:dyDescent="0.2">
      <c r="A392" s="1" t="s">
        <v>4284</v>
      </c>
      <c r="B392" s="1" t="s">
        <v>4285</v>
      </c>
      <c r="C392">
        <v>119.95833333333333</v>
      </c>
      <c r="D392">
        <v>2879</v>
      </c>
      <c r="E392">
        <v>0.39956704061478376</v>
      </c>
      <c r="F392">
        <v>38.199273542501032</v>
      </c>
      <c r="G392">
        <v>1.3878674561124826E-4</v>
      </c>
      <c r="H392">
        <v>1.3268243675755829E-2</v>
      </c>
      <c r="I392">
        <v>5</v>
      </c>
      <c r="J392" t="b">
        <v>1</v>
      </c>
      <c r="K392">
        <v>0.65</v>
      </c>
      <c r="L392">
        <v>1.3</v>
      </c>
      <c r="M392" t="b">
        <v>1</v>
      </c>
      <c r="N392">
        <v>200</v>
      </c>
      <c r="O392" t="b">
        <v>0</v>
      </c>
      <c r="P392" t="b">
        <v>0</v>
      </c>
      <c r="Q392">
        <v>0.7</v>
      </c>
      <c r="R392">
        <v>1460002.9742749929</v>
      </c>
      <c r="S392">
        <v>1157976.3627253771</v>
      </c>
      <c r="T392">
        <v>1247998.2904241681</v>
      </c>
      <c r="U392">
        <v>972678.32296270132</v>
      </c>
      <c r="V392">
        <v>2617979.33700037</v>
      </c>
      <c r="W392">
        <v>2220676.6133868694</v>
      </c>
      <c r="X392">
        <v>21824.072277877349</v>
      </c>
      <c r="Y392">
        <v>18512.066245670325</v>
      </c>
      <c r="Z392">
        <v>2187.4135714578629</v>
      </c>
      <c r="AA392">
        <v>555.16915334671728</v>
      </c>
      <c r="AB392">
        <v>12479.98290424168</v>
      </c>
      <c r="AC392">
        <v>9726.7832296270135</v>
      </c>
      <c r="AD392">
        <v>22206.766133868696</v>
      </c>
      <c r="AE392">
        <v>1.1789106622812375</v>
      </c>
      <c r="AF392" s="1" t="s">
        <v>4286</v>
      </c>
      <c r="AG392" s="1" t="s">
        <v>4287</v>
      </c>
      <c r="AH392" s="1" t="s">
        <v>4288</v>
      </c>
      <c r="AI392" s="1" t="str">
        <f>_xlfn.TEXTAFTER(_xlfn.TEXTBEFORE(batch_summary[[#This Row],[video]],"_",1),"-",3)</f>
        <v>16</v>
      </c>
      <c r="AJ392" s="1" t="str">
        <f>_xlfn.TEXTBEFORE(_xlfn.TEXTAFTER(batch_summary[[#This Row],[video]],"_",1),"_",1)</f>
        <v>20260405</v>
      </c>
      <c r="AK392" s="1" t="str">
        <f>_xlfn.TEXTBEFORE(_xlfn.TEXTAFTER(batch_summary[[#This Row],[video]],"_",2),".",1)</f>
        <v>180000</v>
      </c>
    </row>
    <row r="393" spans="1:37" x14ac:dyDescent="0.2">
      <c r="A393" s="1" t="s">
        <v>4289</v>
      </c>
      <c r="B393" s="1" t="s">
        <v>4290</v>
      </c>
      <c r="C393">
        <v>119.95833333333333</v>
      </c>
      <c r="D393">
        <v>2879</v>
      </c>
      <c r="E393">
        <v>0.38677643425762653</v>
      </c>
      <c r="F393">
        <v>37.498972717672586</v>
      </c>
      <c r="G393">
        <v>1.3434402023536872E-4</v>
      </c>
      <c r="H393">
        <v>1.3024999207249944E-2</v>
      </c>
      <c r="I393">
        <v>5</v>
      </c>
      <c r="J393" t="b">
        <v>1</v>
      </c>
      <c r="K393">
        <v>0.65</v>
      </c>
      <c r="L393">
        <v>1.3</v>
      </c>
      <c r="M393" t="b">
        <v>1</v>
      </c>
      <c r="N393">
        <v>200</v>
      </c>
      <c r="O393" t="b">
        <v>0</v>
      </c>
      <c r="P393" t="b">
        <v>0</v>
      </c>
      <c r="Q393">
        <v>0.7</v>
      </c>
      <c r="R393">
        <v>255832.38539063931</v>
      </c>
      <c r="S393">
        <v>325580.38894629478</v>
      </c>
      <c r="T393">
        <v>129019.131259799</v>
      </c>
      <c r="U393">
        <v>200038.23442584276</v>
      </c>
      <c r="V393">
        <v>581412.77433693409</v>
      </c>
      <c r="W393">
        <v>329057.36568564177</v>
      </c>
      <c r="X393">
        <v>4846.7893657820141</v>
      </c>
      <c r="Y393">
        <v>2743.0971783450514</v>
      </c>
      <c r="Z393">
        <v>391.4610931938887</v>
      </c>
      <c r="AA393">
        <v>82.264341421410435</v>
      </c>
      <c r="AB393">
        <v>1290.19131259799</v>
      </c>
      <c r="AC393">
        <v>2000.3823442584276</v>
      </c>
      <c r="AD393">
        <v>3290.5736568564175</v>
      </c>
      <c r="AE393">
        <v>1.7669039959809771</v>
      </c>
      <c r="AF393" s="1" t="s">
        <v>4291</v>
      </c>
      <c r="AG393" s="1" t="s">
        <v>4292</v>
      </c>
      <c r="AH393" s="1" t="s">
        <v>4293</v>
      </c>
      <c r="AI393" s="1" t="str">
        <f>_xlfn.TEXTAFTER(_xlfn.TEXTBEFORE(batch_summary[[#This Row],[video]],"_",1),"-",3)</f>
        <v>16</v>
      </c>
      <c r="AJ393" s="1" t="str">
        <f>_xlfn.TEXTBEFORE(_xlfn.TEXTAFTER(batch_summary[[#This Row],[video]],"_",1),"_",1)</f>
        <v>20260405</v>
      </c>
      <c r="AK393" s="1" t="str">
        <f>_xlfn.TEXTBEFORE(_xlfn.TEXTAFTER(batch_summary[[#This Row],[video]],"_",2),".",1)</f>
        <v>190000</v>
      </c>
    </row>
    <row r="394" spans="1:37" x14ac:dyDescent="0.2">
      <c r="A394" s="1" t="s">
        <v>4294</v>
      </c>
      <c r="B394" s="1" t="s">
        <v>4295</v>
      </c>
      <c r="C394">
        <v>119.95833333333333</v>
      </c>
      <c r="D394">
        <v>2879</v>
      </c>
      <c r="E394">
        <v>0.38200038392096758</v>
      </c>
      <c r="F394">
        <v>37.358819390647113</v>
      </c>
      <c r="G394">
        <v>1.3268509340776921E-4</v>
      </c>
      <c r="H394">
        <v>1.2976317954375517E-2</v>
      </c>
      <c r="I394">
        <v>5</v>
      </c>
      <c r="J394" t="b">
        <v>1</v>
      </c>
      <c r="K394">
        <v>0.65</v>
      </c>
      <c r="L394">
        <v>1.3</v>
      </c>
      <c r="M394" t="b">
        <v>1</v>
      </c>
      <c r="N394">
        <v>200</v>
      </c>
      <c r="O394" t="b">
        <v>0</v>
      </c>
      <c r="P394" t="b">
        <v>0</v>
      </c>
      <c r="Q394">
        <v>0.7</v>
      </c>
      <c r="R394">
        <v>69568.669095337391</v>
      </c>
      <c r="S394">
        <v>73939.346203565598</v>
      </c>
      <c r="T394">
        <v>2121.4718627929688</v>
      </c>
      <c r="U394">
        <v>994.02639770507812</v>
      </c>
      <c r="V394">
        <v>143508.01529890299</v>
      </c>
      <c r="W394">
        <v>3115.4982604980469</v>
      </c>
      <c r="X394">
        <v>1196.3155148223939</v>
      </c>
      <c r="Y394">
        <v>25.971503387270971</v>
      </c>
      <c r="Z394">
        <v>9.7520816040039051</v>
      </c>
      <c r="AA394">
        <v>0.7788745651245117</v>
      </c>
      <c r="AB394">
        <v>21.214718627929688</v>
      </c>
      <c r="AC394">
        <v>9.9402639770507815</v>
      </c>
      <c r="AD394">
        <v>31.154982604980468</v>
      </c>
      <c r="AE394">
        <v>46.062620903521754</v>
      </c>
      <c r="AF394" s="1" t="s">
        <v>4296</v>
      </c>
      <c r="AG394" s="1" t="s">
        <v>4297</v>
      </c>
      <c r="AH394" s="1" t="s">
        <v>4298</v>
      </c>
      <c r="AI394" s="1" t="str">
        <f>_xlfn.TEXTAFTER(_xlfn.TEXTBEFORE(batch_summary[[#This Row],[video]],"_",1),"-",3)</f>
        <v>16</v>
      </c>
      <c r="AJ394" s="1" t="str">
        <f>_xlfn.TEXTBEFORE(_xlfn.TEXTAFTER(batch_summary[[#This Row],[video]],"_",1),"_",1)</f>
        <v>20260406</v>
      </c>
      <c r="AK394" s="1" t="str">
        <f>_xlfn.TEXTBEFORE(_xlfn.TEXTAFTER(batch_summary[[#This Row],[video]],"_",2),".",1)</f>
        <v>060000</v>
      </c>
    </row>
    <row r="395" spans="1:37" x14ac:dyDescent="0.2">
      <c r="A395" s="1" t="s">
        <v>4299</v>
      </c>
      <c r="B395" s="1" t="s">
        <v>4300</v>
      </c>
      <c r="C395">
        <v>119.95833333333333</v>
      </c>
      <c r="D395">
        <v>2879</v>
      </c>
      <c r="E395">
        <v>0.37803234625607729</v>
      </c>
      <c r="F395">
        <v>37.14639709610492</v>
      </c>
      <c r="G395">
        <v>1.3130682398613313E-4</v>
      </c>
      <c r="H395">
        <v>1.2902534593992678E-2</v>
      </c>
      <c r="I395">
        <v>5</v>
      </c>
      <c r="J395" t="b">
        <v>1</v>
      </c>
      <c r="K395">
        <v>0.65</v>
      </c>
      <c r="L395">
        <v>1.3</v>
      </c>
      <c r="M395" t="b">
        <v>1</v>
      </c>
      <c r="N395">
        <v>200</v>
      </c>
      <c r="O395" t="b">
        <v>0</v>
      </c>
      <c r="P395" t="b">
        <v>0</v>
      </c>
      <c r="Q395">
        <v>0.7</v>
      </c>
      <c r="R395">
        <v>16111.158390402794</v>
      </c>
      <c r="S395">
        <v>17647.405552148819</v>
      </c>
      <c r="T395">
        <v>0</v>
      </c>
      <c r="U395">
        <v>0</v>
      </c>
      <c r="V395">
        <v>33758.563942551613</v>
      </c>
      <c r="W395">
        <v>0</v>
      </c>
      <c r="X395">
        <v>281.4190811466616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33758563942.551613</v>
      </c>
      <c r="AF395" s="1" t="s">
        <v>4301</v>
      </c>
      <c r="AG395" s="1" t="s">
        <v>4302</v>
      </c>
      <c r="AH395" s="1" t="s">
        <v>4303</v>
      </c>
      <c r="AI395" s="1" t="str">
        <f>_xlfn.TEXTAFTER(_xlfn.TEXTBEFORE(batch_summary[[#This Row],[video]],"_",1),"-",3)</f>
        <v>16</v>
      </c>
      <c r="AJ395" s="1" t="str">
        <f>_xlfn.TEXTBEFORE(_xlfn.TEXTAFTER(batch_summary[[#This Row],[video]],"_",1),"_",1)</f>
        <v>20260406</v>
      </c>
      <c r="AK395" s="1" t="str">
        <f>_xlfn.TEXTBEFORE(_xlfn.TEXTAFTER(batch_summary[[#This Row],[video]],"_",2),".",1)</f>
        <v>070000</v>
      </c>
    </row>
    <row r="396" spans="1:37" x14ac:dyDescent="0.2">
      <c r="A396" s="1" t="s">
        <v>4304</v>
      </c>
      <c r="B396" s="1" t="s">
        <v>4305</v>
      </c>
      <c r="C396">
        <v>119.95833333333333</v>
      </c>
      <c r="D396">
        <v>2879</v>
      </c>
      <c r="E396">
        <v>0.38060067780315876</v>
      </c>
      <c r="F396">
        <v>37.24615884386003</v>
      </c>
      <c r="G396">
        <v>1.3219891552732155E-4</v>
      </c>
      <c r="H396">
        <v>1.2937186121521373E-2</v>
      </c>
      <c r="I396">
        <v>5</v>
      </c>
      <c r="J396" t="b">
        <v>1</v>
      </c>
      <c r="K396">
        <v>0.65</v>
      </c>
      <c r="L396">
        <v>1.3</v>
      </c>
      <c r="M396" t="b">
        <v>1</v>
      </c>
      <c r="N396">
        <v>200</v>
      </c>
      <c r="O396" t="b">
        <v>0</v>
      </c>
      <c r="P396" t="b">
        <v>0</v>
      </c>
      <c r="Q396">
        <v>0.7</v>
      </c>
      <c r="R396">
        <v>127930.74708974361</v>
      </c>
      <c r="S396">
        <v>176474.90746080875</v>
      </c>
      <c r="T396">
        <v>74048.46200978756</v>
      </c>
      <c r="U396">
        <v>114595.81734359264</v>
      </c>
      <c r="V396">
        <v>304405.65455055237</v>
      </c>
      <c r="W396">
        <v>188644.2793533802</v>
      </c>
      <c r="X396">
        <v>2537.5948972605966</v>
      </c>
      <c r="Y396">
        <v>1572.5816965894842</v>
      </c>
      <c r="Z396">
        <v>749.81930302023886</v>
      </c>
      <c r="AA396">
        <v>47.16106983834505</v>
      </c>
      <c r="AB396">
        <v>740.48462009787556</v>
      </c>
      <c r="AC396">
        <v>1145.9581734359265</v>
      </c>
      <c r="AD396">
        <v>1886.4427935338022</v>
      </c>
      <c r="AE396">
        <v>1.6136490096279079</v>
      </c>
      <c r="AF396" s="1" t="s">
        <v>4306</v>
      </c>
      <c r="AG396" s="1" t="s">
        <v>4307</v>
      </c>
      <c r="AH396" s="1" t="s">
        <v>4308</v>
      </c>
      <c r="AI396" s="1" t="str">
        <f>_xlfn.TEXTAFTER(_xlfn.TEXTBEFORE(batch_summary[[#This Row],[video]],"_",1),"-",3)</f>
        <v>16</v>
      </c>
      <c r="AJ396" s="1" t="str">
        <f>_xlfn.TEXTBEFORE(_xlfn.TEXTAFTER(batch_summary[[#This Row],[video]],"_",1),"_",1)</f>
        <v>20260406</v>
      </c>
      <c r="AK396" s="1" t="str">
        <f>_xlfn.TEXTBEFORE(_xlfn.TEXTAFTER(batch_summary[[#This Row],[video]],"_",2),".",1)</f>
        <v>080000</v>
      </c>
    </row>
    <row r="397" spans="1:37" x14ac:dyDescent="0.2">
      <c r="A397" s="1" t="s">
        <v>4309</v>
      </c>
      <c r="B397" s="1" t="s">
        <v>4310</v>
      </c>
      <c r="C397">
        <v>119.95833333333333</v>
      </c>
      <c r="D397">
        <v>2879</v>
      </c>
      <c r="E397">
        <v>0.38040021061897278</v>
      </c>
      <c r="F397">
        <v>37.388429366983473</v>
      </c>
      <c r="G397">
        <v>1.3212928468877137E-4</v>
      </c>
      <c r="H397">
        <v>1.2986602767274565E-2</v>
      </c>
      <c r="I397">
        <v>5</v>
      </c>
      <c r="J397" t="b">
        <v>1</v>
      </c>
      <c r="K397">
        <v>0.65</v>
      </c>
      <c r="L397">
        <v>1.3</v>
      </c>
      <c r="M397" t="b">
        <v>1</v>
      </c>
      <c r="N397">
        <v>200</v>
      </c>
      <c r="O397" t="b">
        <v>0</v>
      </c>
      <c r="P397" t="b">
        <v>0</v>
      </c>
      <c r="Q397">
        <v>0.7</v>
      </c>
      <c r="R397">
        <v>73164.566482186317</v>
      </c>
      <c r="S397">
        <v>61953.772110402584</v>
      </c>
      <c r="T397">
        <v>36940.059265136719</v>
      </c>
      <c r="U397">
        <v>22788.143310546875</v>
      </c>
      <c r="V397">
        <v>135118.3385925889</v>
      </c>
      <c r="W397">
        <v>59728.202575683594</v>
      </c>
      <c r="X397">
        <v>1126.3772581528774</v>
      </c>
      <c r="Y397">
        <v>497.90790615366666</v>
      </c>
      <c r="Z397">
        <v>385.41010314941406</v>
      </c>
      <c r="AA397">
        <v>14.932050643920899</v>
      </c>
      <c r="AB397">
        <v>369.40059265136716</v>
      </c>
      <c r="AC397">
        <v>227.88143310546874</v>
      </c>
      <c r="AD397">
        <v>597.28202575683588</v>
      </c>
      <c r="AE397">
        <v>2.2622200696794108</v>
      </c>
      <c r="AF397" s="1" t="s">
        <v>4311</v>
      </c>
      <c r="AG397" s="1" t="s">
        <v>4312</v>
      </c>
      <c r="AH397" s="1" t="s">
        <v>4313</v>
      </c>
      <c r="AI397" s="1" t="str">
        <f>_xlfn.TEXTAFTER(_xlfn.TEXTBEFORE(batch_summary[[#This Row],[video]],"_",1),"-",3)</f>
        <v>16</v>
      </c>
      <c r="AJ397" s="1" t="str">
        <f>_xlfn.TEXTBEFORE(_xlfn.TEXTAFTER(batch_summary[[#This Row],[video]],"_",1),"_",1)</f>
        <v>20260406</v>
      </c>
      <c r="AK397" s="1" t="str">
        <f>_xlfn.TEXTBEFORE(_xlfn.TEXTAFTER(batch_summary[[#This Row],[video]],"_",2),".",1)</f>
        <v>090000</v>
      </c>
    </row>
    <row r="398" spans="1:37" x14ac:dyDescent="0.2">
      <c r="A398" s="1" t="s">
        <v>4314</v>
      </c>
      <c r="B398" s="1" t="s">
        <v>4315</v>
      </c>
      <c r="C398">
        <v>119.95833333333333</v>
      </c>
      <c r="D398">
        <v>2879</v>
      </c>
      <c r="E398">
        <v>0.37586961407214403</v>
      </c>
      <c r="F398">
        <v>36.974651368334889</v>
      </c>
      <c r="G398">
        <v>1.3055561447452034E-4</v>
      </c>
      <c r="H398">
        <v>1.2842879947320212E-2</v>
      </c>
      <c r="I398">
        <v>5</v>
      </c>
      <c r="J398" t="b">
        <v>1</v>
      </c>
      <c r="K398">
        <v>0.65</v>
      </c>
      <c r="L398">
        <v>1.3</v>
      </c>
      <c r="M398" t="b">
        <v>1</v>
      </c>
      <c r="N398">
        <v>200</v>
      </c>
      <c r="O398" t="b">
        <v>0</v>
      </c>
      <c r="P398" t="b">
        <v>0</v>
      </c>
      <c r="Q398">
        <v>0.7</v>
      </c>
      <c r="R398">
        <v>143535.97175574303</v>
      </c>
      <c r="S398">
        <v>135729.74101811647</v>
      </c>
      <c r="T398">
        <v>93505.096820294857</v>
      </c>
      <c r="U398">
        <v>103282.8730635643</v>
      </c>
      <c r="V398">
        <v>279265.7127738595</v>
      </c>
      <c r="W398">
        <v>196787.96988385916</v>
      </c>
      <c r="X398">
        <v>2328.0226143010173</v>
      </c>
      <c r="Y398">
        <v>1640.4693564475929</v>
      </c>
      <c r="Z398">
        <v>712.81578143239017</v>
      </c>
      <c r="AA398">
        <v>49.196992470964787</v>
      </c>
      <c r="AB398">
        <v>935.05096820294852</v>
      </c>
      <c r="AC398">
        <v>1032.8287306356431</v>
      </c>
      <c r="AD398">
        <v>1967.8796988385916</v>
      </c>
      <c r="AE398">
        <v>1.4191198422275368</v>
      </c>
      <c r="AF398" s="1" t="s">
        <v>4316</v>
      </c>
      <c r="AG398" s="1" t="s">
        <v>4317</v>
      </c>
      <c r="AH398" s="1" t="s">
        <v>4318</v>
      </c>
      <c r="AI398" s="1" t="str">
        <f>_xlfn.TEXTAFTER(_xlfn.TEXTBEFORE(batch_summary[[#This Row],[video]],"_",1),"-",3)</f>
        <v>16</v>
      </c>
      <c r="AJ398" s="1" t="str">
        <f>_xlfn.TEXTBEFORE(_xlfn.TEXTAFTER(batch_summary[[#This Row],[video]],"_",1),"_",1)</f>
        <v>20260406</v>
      </c>
      <c r="AK398" s="1" t="str">
        <f>_xlfn.TEXTBEFORE(_xlfn.TEXTAFTER(batch_summary[[#This Row],[video]],"_",2),".",1)</f>
        <v>100000</v>
      </c>
    </row>
    <row r="399" spans="1:37" x14ac:dyDescent="0.2">
      <c r="A399" s="1" t="s">
        <v>4319</v>
      </c>
      <c r="B399" s="1" t="s">
        <v>4320</v>
      </c>
      <c r="C399">
        <v>119.95833333333333</v>
      </c>
      <c r="D399">
        <v>2879</v>
      </c>
      <c r="E399">
        <v>0.37936333473771811</v>
      </c>
      <c r="F399">
        <v>37.212378289550543</v>
      </c>
      <c r="G399">
        <v>1.3176913328854397E-4</v>
      </c>
      <c r="H399">
        <v>1.2925452688277368E-2</v>
      </c>
      <c r="I399">
        <v>5</v>
      </c>
      <c r="J399" t="b">
        <v>1</v>
      </c>
      <c r="K399">
        <v>0.65</v>
      </c>
      <c r="L399">
        <v>1.3</v>
      </c>
      <c r="M399" t="b">
        <v>1</v>
      </c>
      <c r="N399">
        <v>200</v>
      </c>
      <c r="O399" t="b">
        <v>0</v>
      </c>
      <c r="P399" t="b">
        <v>0</v>
      </c>
      <c r="Q399">
        <v>0.7</v>
      </c>
      <c r="R399">
        <v>24627.369293630123</v>
      </c>
      <c r="S399">
        <v>21158.934381246567</v>
      </c>
      <c r="T399">
        <v>0</v>
      </c>
      <c r="U399">
        <v>351.147705078125</v>
      </c>
      <c r="V399">
        <v>45786.30367487669</v>
      </c>
      <c r="W399">
        <v>351.147705078125</v>
      </c>
      <c r="X399">
        <v>381.68506015874976</v>
      </c>
      <c r="Y399">
        <v>2.9272472809569297</v>
      </c>
      <c r="Z399">
        <v>3.5114770507812501</v>
      </c>
      <c r="AA399">
        <v>8.7786926269531246E-2</v>
      </c>
      <c r="AB399">
        <v>0</v>
      </c>
      <c r="AC399">
        <v>3.5114770507812501</v>
      </c>
      <c r="AD399">
        <v>3.5114770507812501</v>
      </c>
      <c r="AE399">
        <v>130.39043972874589</v>
      </c>
      <c r="AF399" s="1" t="s">
        <v>4321</v>
      </c>
      <c r="AG399" s="1" t="s">
        <v>4322</v>
      </c>
      <c r="AH399" s="1" t="s">
        <v>4323</v>
      </c>
      <c r="AI399" s="1" t="str">
        <f>_xlfn.TEXTAFTER(_xlfn.TEXTBEFORE(batch_summary[[#This Row],[video]],"_",1),"-",3)</f>
        <v>16</v>
      </c>
      <c r="AJ399" s="1" t="str">
        <f>_xlfn.TEXTBEFORE(_xlfn.TEXTAFTER(batch_summary[[#This Row],[video]],"_",1),"_",1)</f>
        <v>20260406</v>
      </c>
      <c r="AK399" s="1" t="str">
        <f>_xlfn.TEXTBEFORE(_xlfn.TEXTAFTER(batch_summary[[#This Row],[video]],"_",2),".",1)</f>
        <v>110000</v>
      </c>
    </row>
    <row r="400" spans="1:37" x14ac:dyDescent="0.2">
      <c r="A400" s="1" t="s">
        <v>4324</v>
      </c>
      <c r="B400" s="1" t="s">
        <v>4325</v>
      </c>
      <c r="C400">
        <v>119.95833333333333</v>
      </c>
      <c r="D400">
        <v>2879</v>
      </c>
      <c r="E400">
        <v>0.39645612332969904</v>
      </c>
      <c r="F400">
        <v>38.027518032118678</v>
      </c>
      <c r="G400">
        <v>1.3770619080573083E-4</v>
      </c>
      <c r="H400">
        <v>1.3208585631163139E-2</v>
      </c>
      <c r="I400">
        <v>5</v>
      </c>
      <c r="J400" t="b">
        <v>1</v>
      </c>
      <c r="K400">
        <v>0.65</v>
      </c>
      <c r="L400">
        <v>1.3</v>
      </c>
      <c r="M400" t="b">
        <v>1</v>
      </c>
      <c r="N400">
        <v>200</v>
      </c>
      <c r="O400" t="b">
        <v>0</v>
      </c>
      <c r="P400" t="b">
        <v>0</v>
      </c>
      <c r="Q400">
        <v>0.7</v>
      </c>
      <c r="R400">
        <v>1231195.9033769369</v>
      </c>
      <c r="S400">
        <v>1250698.6105744839</v>
      </c>
      <c r="T400">
        <v>926025.66668665409</v>
      </c>
      <c r="U400">
        <v>972564.92666935921</v>
      </c>
      <c r="V400">
        <v>2481894.5139514208</v>
      </c>
      <c r="W400">
        <v>1898590.5933560133</v>
      </c>
      <c r="X400">
        <v>20689.638185076103</v>
      </c>
      <c r="Y400">
        <v>15827.08379317274</v>
      </c>
      <c r="Z400">
        <v>1964.9279230952263</v>
      </c>
      <c r="AA400">
        <v>474.64764833900335</v>
      </c>
      <c r="AB400">
        <v>9260.2566668665404</v>
      </c>
      <c r="AC400">
        <v>9725.6492666935919</v>
      </c>
      <c r="AD400">
        <v>18985.905933560134</v>
      </c>
      <c r="AE400">
        <v>1.3072299644992655</v>
      </c>
      <c r="AF400" s="1" t="s">
        <v>4326</v>
      </c>
      <c r="AG400" s="1" t="s">
        <v>4327</v>
      </c>
      <c r="AH400" s="1" t="s">
        <v>4328</v>
      </c>
      <c r="AI400" s="1" t="str">
        <f>_xlfn.TEXTAFTER(_xlfn.TEXTBEFORE(batch_summary[[#This Row],[video]],"_",1),"-",3)</f>
        <v>16</v>
      </c>
      <c r="AJ400" s="1" t="str">
        <f>_xlfn.TEXTBEFORE(_xlfn.TEXTAFTER(batch_summary[[#This Row],[video]],"_",1),"_",1)</f>
        <v>20260406</v>
      </c>
      <c r="AK400" s="1" t="str">
        <f>_xlfn.TEXTBEFORE(_xlfn.TEXTAFTER(batch_summary[[#This Row],[video]],"_",2),".",1)</f>
        <v>120000</v>
      </c>
    </row>
    <row r="401" spans="1:37" x14ac:dyDescent="0.2">
      <c r="A401" s="1" t="s">
        <v>4329</v>
      </c>
      <c r="B401" s="1" t="s">
        <v>4330</v>
      </c>
      <c r="C401">
        <v>119.95833333333333</v>
      </c>
      <c r="D401">
        <v>2879</v>
      </c>
      <c r="E401">
        <v>0.38817883003503084</v>
      </c>
      <c r="F401">
        <v>37.584046669304371</v>
      </c>
      <c r="G401">
        <v>1.3483113234978494E-4</v>
      </c>
      <c r="H401">
        <v>1.3054549034145319E-2</v>
      </c>
      <c r="I401">
        <v>5</v>
      </c>
      <c r="J401" t="b">
        <v>1</v>
      </c>
      <c r="K401">
        <v>0.65</v>
      </c>
      <c r="L401">
        <v>1.3</v>
      </c>
      <c r="M401" t="b">
        <v>1</v>
      </c>
      <c r="N401">
        <v>200</v>
      </c>
      <c r="O401" t="b">
        <v>0</v>
      </c>
      <c r="P401" t="b">
        <v>0</v>
      </c>
      <c r="Q401">
        <v>0.7</v>
      </c>
      <c r="R401">
        <v>694955.37015324831</v>
      </c>
      <c r="S401">
        <v>548833.52267277241</v>
      </c>
      <c r="T401">
        <v>590655.88662219048</v>
      </c>
      <c r="U401">
        <v>435411.73935770988</v>
      </c>
      <c r="V401">
        <v>1243788.8928260207</v>
      </c>
      <c r="W401">
        <v>1026067.6259799004</v>
      </c>
      <c r="X401">
        <v>10368.50761647256</v>
      </c>
      <c r="Y401">
        <v>8553.5335267515147</v>
      </c>
      <c r="Z401">
        <v>1535.0572497367857</v>
      </c>
      <c r="AA401">
        <v>256.51690649497505</v>
      </c>
      <c r="AB401">
        <v>5906.5588662219052</v>
      </c>
      <c r="AC401">
        <v>4354.1173935770985</v>
      </c>
      <c r="AD401">
        <v>10260.676259799004</v>
      </c>
      <c r="AE401">
        <v>1.2121899778664154</v>
      </c>
      <c r="AF401" s="1" t="s">
        <v>4331</v>
      </c>
      <c r="AG401" s="1" t="s">
        <v>4332</v>
      </c>
      <c r="AH401" s="1" t="s">
        <v>4333</v>
      </c>
      <c r="AI401" s="1" t="str">
        <f>_xlfn.TEXTAFTER(_xlfn.TEXTBEFORE(batch_summary[[#This Row],[video]],"_",1),"-",3)</f>
        <v>16</v>
      </c>
      <c r="AJ401" s="1" t="str">
        <f>_xlfn.TEXTBEFORE(_xlfn.TEXTAFTER(batch_summary[[#This Row],[video]],"_",1),"_",1)</f>
        <v>20260406</v>
      </c>
      <c r="AK401" s="1" t="str">
        <f>_xlfn.TEXTBEFORE(_xlfn.TEXTAFTER(batch_summary[[#This Row],[video]],"_",2),".",1)</f>
        <v>130000</v>
      </c>
    </row>
    <row r="402" spans="1:37" x14ac:dyDescent="0.2">
      <c r="A402" s="1" t="s">
        <v>4334</v>
      </c>
      <c r="B402" s="1" t="s">
        <v>4335</v>
      </c>
      <c r="C402">
        <v>119.95833333333333</v>
      </c>
      <c r="D402">
        <v>2879</v>
      </c>
      <c r="E402">
        <v>0.39423064328730106</v>
      </c>
      <c r="F402">
        <v>37.965665370225906</v>
      </c>
      <c r="G402">
        <v>1.3693318627554742E-4</v>
      </c>
      <c r="H402">
        <v>1.3187101552700906E-2</v>
      </c>
      <c r="I402">
        <v>5</v>
      </c>
      <c r="J402" t="b">
        <v>1</v>
      </c>
      <c r="K402">
        <v>0.65</v>
      </c>
      <c r="L402">
        <v>1.3</v>
      </c>
      <c r="M402" t="b">
        <v>1</v>
      </c>
      <c r="N402">
        <v>200</v>
      </c>
      <c r="O402" t="b">
        <v>0</v>
      </c>
      <c r="P402" t="b">
        <v>0</v>
      </c>
      <c r="Q402">
        <v>0.7</v>
      </c>
      <c r="R402">
        <v>688599.79885220528</v>
      </c>
      <c r="S402">
        <v>707324.38625669479</v>
      </c>
      <c r="T402">
        <v>534136.36231768131</v>
      </c>
      <c r="U402">
        <v>551614.58521676064</v>
      </c>
      <c r="V402">
        <v>1395924.1851089001</v>
      </c>
      <c r="W402">
        <v>1085750.9475344419</v>
      </c>
      <c r="X402">
        <v>11636.742078017924</v>
      </c>
      <c r="Y402">
        <v>9051.0672944864909</v>
      </c>
      <c r="Z402">
        <v>1025.5125895690919</v>
      </c>
      <c r="AA402">
        <v>271.43773688361051</v>
      </c>
      <c r="AB402">
        <v>5341.3636231768132</v>
      </c>
      <c r="AC402">
        <v>5516.1458521676068</v>
      </c>
      <c r="AD402">
        <v>10857.509475344421</v>
      </c>
      <c r="AE402">
        <v>1.285676230150947</v>
      </c>
      <c r="AF402" s="1" t="s">
        <v>4336</v>
      </c>
      <c r="AG402" s="1" t="s">
        <v>4337</v>
      </c>
      <c r="AH402" s="1" t="s">
        <v>4338</v>
      </c>
      <c r="AI402" s="1" t="str">
        <f>_xlfn.TEXTAFTER(_xlfn.TEXTBEFORE(batch_summary[[#This Row],[video]],"_",1),"-",3)</f>
        <v>16</v>
      </c>
      <c r="AJ402" s="1" t="str">
        <f>_xlfn.TEXTBEFORE(_xlfn.TEXTAFTER(batch_summary[[#This Row],[video]],"_",1),"_",1)</f>
        <v>20260406</v>
      </c>
      <c r="AK402" s="1" t="str">
        <f>_xlfn.TEXTBEFORE(_xlfn.TEXTAFTER(batch_summary[[#This Row],[video]],"_",2),".",1)</f>
        <v>140000</v>
      </c>
    </row>
    <row r="403" spans="1:37" x14ac:dyDescent="0.2">
      <c r="A403" s="1" t="s">
        <v>4339</v>
      </c>
      <c r="B403" s="1" t="s">
        <v>4340</v>
      </c>
      <c r="C403">
        <v>119.95833333333333</v>
      </c>
      <c r="D403">
        <v>2879</v>
      </c>
      <c r="E403">
        <v>0.39395685028284788</v>
      </c>
      <c r="F403">
        <v>38.004617547616363</v>
      </c>
      <c r="G403">
        <v>1.3683808623926637E-4</v>
      </c>
      <c r="H403">
        <v>1.3200631312127948E-2</v>
      </c>
      <c r="I403">
        <v>5</v>
      </c>
      <c r="J403" t="b">
        <v>1</v>
      </c>
      <c r="K403">
        <v>0.65</v>
      </c>
      <c r="L403">
        <v>1.3</v>
      </c>
      <c r="M403" t="b">
        <v>1</v>
      </c>
      <c r="N403">
        <v>200</v>
      </c>
      <c r="O403" t="b">
        <v>0</v>
      </c>
      <c r="P403" t="b">
        <v>0</v>
      </c>
      <c r="Q403">
        <v>0.7</v>
      </c>
      <c r="R403">
        <v>1196006.9842312932</v>
      </c>
      <c r="S403">
        <v>1201223.63221246</v>
      </c>
      <c r="T403">
        <v>1006604.1469073892</v>
      </c>
      <c r="U403">
        <v>1007660.0245215893</v>
      </c>
      <c r="V403">
        <v>2397230.6164437532</v>
      </c>
      <c r="W403">
        <v>2014264.1714289784</v>
      </c>
      <c r="X403">
        <v>19983.860644199402</v>
      </c>
      <c r="Y403">
        <v>16791.365097011283</v>
      </c>
      <c r="Z403">
        <v>2086.1406230163575</v>
      </c>
      <c r="AA403">
        <v>503.56604285724461</v>
      </c>
      <c r="AB403">
        <v>10066.041469073891</v>
      </c>
      <c r="AC403">
        <v>10076.600245215894</v>
      </c>
      <c r="AD403">
        <v>20142.641714289784</v>
      </c>
      <c r="AE403">
        <v>1.1901272188856376</v>
      </c>
      <c r="AF403" s="1" t="s">
        <v>4341</v>
      </c>
      <c r="AG403" s="1" t="s">
        <v>4342</v>
      </c>
      <c r="AH403" s="1" t="s">
        <v>4343</v>
      </c>
      <c r="AI403" s="1" t="str">
        <f>_xlfn.TEXTAFTER(_xlfn.TEXTBEFORE(batch_summary[[#This Row],[video]],"_",1),"-",3)</f>
        <v>16</v>
      </c>
      <c r="AJ403" s="1" t="str">
        <f>_xlfn.TEXTBEFORE(_xlfn.TEXTAFTER(batch_summary[[#This Row],[video]],"_",1),"_",1)</f>
        <v>20260406</v>
      </c>
      <c r="AK403" s="1" t="str">
        <f>_xlfn.TEXTBEFORE(_xlfn.TEXTAFTER(batch_summary[[#This Row],[video]],"_",2),".",1)</f>
        <v>150000</v>
      </c>
    </row>
    <row r="404" spans="1:37" x14ac:dyDescent="0.2">
      <c r="A404" s="1" t="s">
        <v>4344</v>
      </c>
      <c r="B404" s="1" t="s">
        <v>4345</v>
      </c>
      <c r="C404">
        <v>119.95833333333333</v>
      </c>
      <c r="D404">
        <v>2879</v>
      </c>
      <c r="E404">
        <v>0.38100775051862001</v>
      </c>
      <c r="F404">
        <v>37.361131379380822</v>
      </c>
      <c r="G404">
        <v>1.3234030931525529E-4</v>
      </c>
      <c r="H404">
        <v>1.2977121007079132E-2</v>
      </c>
      <c r="I404">
        <v>5</v>
      </c>
      <c r="J404" t="b">
        <v>1</v>
      </c>
      <c r="K404">
        <v>0.65</v>
      </c>
      <c r="L404">
        <v>1.3</v>
      </c>
      <c r="M404" t="b">
        <v>1</v>
      </c>
      <c r="N404">
        <v>200</v>
      </c>
      <c r="O404" t="b">
        <v>0</v>
      </c>
      <c r="P404" t="b">
        <v>0</v>
      </c>
      <c r="Q404">
        <v>0.7</v>
      </c>
      <c r="R404">
        <v>161798.44785320759</v>
      </c>
      <c r="S404">
        <v>145580.38197517395</v>
      </c>
      <c r="T404">
        <v>125575.13989567757</v>
      </c>
      <c r="U404">
        <v>106379.26135253906</v>
      </c>
      <c r="V404">
        <v>307378.82982838154</v>
      </c>
      <c r="W404">
        <v>231954.40124821663</v>
      </c>
      <c r="X404">
        <v>2562.379963835067</v>
      </c>
      <c r="Y404">
        <v>1933.624741214727</v>
      </c>
      <c r="Z404">
        <v>910.54483943939204</v>
      </c>
      <c r="AA404">
        <v>57.988600312054153</v>
      </c>
      <c r="AB404">
        <v>1255.7513989567756</v>
      </c>
      <c r="AC404">
        <v>1063.7926135253906</v>
      </c>
      <c r="AD404">
        <v>2319.5440124821662</v>
      </c>
      <c r="AE404">
        <v>1.3251692064228284</v>
      </c>
      <c r="AF404" s="1" t="s">
        <v>4346</v>
      </c>
      <c r="AG404" s="1" t="s">
        <v>4347</v>
      </c>
      <c r="AH404" s="1" t="s">
        <v>4348</v>
      </c>
      <c r="AI404" s="1" t="str">
        <f>_xlfn.TEXTAFTER(_xlfn.TEXTBEFORE(batch_summary[[#This Row],[video]],"_",1),"-",3)</f>
        <v>16</v>
      </c>
      <c r="AJ404" s="1" t="str">
        <f>_xlfn.TEXTBEFORE(_xlfn.TEXTAFTER(batch_summary[[#This Row],[video]],"_",1),"_",1)</f>
        <v>20260406</v>
      </c>
      <c r="AK404" s="1" t="str">
        <f>_xlfn.TEXTBEFORE(_xlfn.TEXTAFTER(batch_summary[[#This Row],[video]],"_",2),".",1)</f>
        <v>160000</v>
      </c>
    </row>
    <row r="405" spans="1:37" x14ac:dyDescent="0.2">
      <c r="A405" s="1" t="s">
        <v>4349</v>
      </c>
      <c r="B405" s="1" t="s">
        <v>4350</v>
      </c>
      <c r="C405">
        <v>119.95833333333333</v>
      </c>
      <c r="D405">
        <v>2879</v>
      </c>
      <c r="E405">
        <v>0.3848924906924367</v>
      </c>
      <c r="F405">
        <v>37.603072660043836</v>
      </c>
      <c r="G405">
        <v>1.33689645950829E-4</v>
      </c>
      <c r="H405">
        <v>1.3061157575562291E-2</v>
      </c>
      <c r="I405">
        <v>5</v>
      </c>
      <c r="J405" t="b">
        <v>1</v>
      </c>
      <c r="K405">
        <v>0.65</v>
      </c>
      <c r="L405">
        <v>1.3</v>
      </c>
      <c r="M405" t="b">
        <v>1</v>
      </c>
      <c r="N405">
        <v>200</v>
      </c>
      <c r="O405" t="b">
        <v>0</v>
      </c>
      <c r="P405" t="b">
        <v>0</v>
      </c>
      <c r="Q405">
        <v>0.7</v>
      </c>
      <c r="R405">
        <v>458837.51444101334</v>
      </c>
      <c r="S405">
        <v>306858.97826838493</v>
      </c>
      <c r="T405">
        <v>337220.75979095697</v>
      </c>
      <c r="U405">
        <v>202064.6838054657</v>
      </c>
      <c r="V405">
        <v>765696.49270939827</v>
      </c>
      <c r="W405">
        <v>539285.44359642267</v>
      </c>
      <c r="X405">
        <v>6383.0204324506976</v>
      </c>
      <c r="Y405">
        <v>4495.6063377263445</v>
      </c>
      <c r="Z405">
        <v>1108.5157450151444</v>
      </c>
      <c r="AA405">
        <v>134.82136089910566</v>
      </c>
      <c r="AB405">
        <v>3372.2075979095698</v>
      </c>
      <c r="AC405">
        <v>2020.6468380546569</v>
      </c>
      <c r="AD405">
        <v>5392.8544359642265</v>
      </c>
      <c r="AE405">
        <v>1.4198352686901217</v>
      </c>
      <c r="AF405" s="1" t="s">
        <v>4351</v>
      </c>
      <c r="AG405" s="1" t="s">
        <v>4352</v>
      </c>
      <c r="AH405" s="1" t="s">
        <v>4353</v>
      </c>
      <c r="AI405" s="1" t="str">
        <f>_xlfn.TEXTAFTER(_xlfn.TEXTBEFORE(batch_summary[[#This Row],[video]],"_",1),"-",3)</f>
        <v>16</v>
      </c>
      <c r="AJ405" s="1" t="str">
        <f>_xlfn.TEXTBEFORE(_xlfn.TEXTAFTER(batch_summary[[#This Row],[video]],"_",1),"_",1)</f>
        <v>20260406</v>
      </c>
      <c r="AK405" s="1" t="str">
        <f>_xlfn.TEXTBEFORE(_xlfn.TEXTAFTER(batch_summary[[#This Row],[video]],"_",2),".",1)</f>
        <v>170000</v>
      </c>
    </row>
    <row r="406" spans="1:37" x14ac:dyDescent="0.2">
      <c r="A406" s="1" t="s">
        <v>4354</v>
      </c>
      <c r="B406" s="1" t="s">
        <v>4355</v>
      </c>
      <c r="C406">
        <v>119.95833333333333</v>
      </c>
      <c r="D406">
        <v>2879</v>
      </c>
      <c r="E406">
        <v>0.3823170829564333</v>
      </c>
      <c r="F406">
        <v>37.319464799948037</v>
      </c>
      <c r="G406">
        <v>1.3279509654617343E-4</v>
      </c>
      <c r="H406">
        <v>1.2962648419572086E-2</v>
      </c>
      <c r="I406">
        <v>5</v>
      </c>
      <c r="J406" t="b">
        <v>1</v>
      </c>
      <c r="K406">
        <v>0.65</v>
      </c>
      <c r="L406">
        <v>1.3</v>
      </c>
      <c r="M406" t="b">
        <v>1</v>
      </c>
      <c r="N406">
        <v>200</v>
      </c>
      <c r="O406" t="b">
        <v>0</v>
      </c>
      <c r="P406" t="b">
        <v>0</v>
      </c>
      <c r="Q406">
        <v>0.7</v>
      </c>
      <c r="R406">
        <v>99897.636910200119</v>
      </c>
      <c r="S406">
        <v>90681.530023634434</v>
      </c>
      <c r="T406">
        <v>78329.641540527344</v>
      </c>
      <c r="U406">
        <v>67191.220947265625</v>
      </c>
      <c r="V406">
        <v>190579.16693383455</v>
      </c>
      <c r="W406">
        <v>145520.86248779297</v>
      </c>
      <c r="X406">
        <v>1588.7113603376274</v>
      </c>
      <c r="Y406">
        <v>1213.0950676300909</v>
      </c>
      <c r="Z406">
        <v>1410.5252301025389</v>
      </c>
      <c r="AA406">
        <v>36.380215621948238</v>
      </c>
      <c r="AB406">
        <v>783.29641540527348</v>
      </c>
      <c r="AC406">
        <v>671.91220947265629</v>
      </c>
      <c r="AD406">
        <v>1455.2086248779297</v>
      </c>
      <c r="AE406">
        <v>1.3096346714535265</v>
      </c>
      <c r="AF406" s="1" t="s">
        <v>4356</v>
      </c>
      <c r="AG406" s="1" t="s">
        <v>4357</v>
      </c>
      <c r="AH406" s="1" t="s">
        <v>4358</v>
      </c>
      <c r="AI406" s="1" t="str">
        <f>_xlfn.TEXTAFTER(_xlfn.TEXTBEFORE(batch_summary[[#This Row],[video]],"_",1),"-",3)</f>
        <v>16</v>
      </c>
      <c r="AJ406" s="1" t="str">
        <f>_xlfn.TEXTBEFORE(_xlfn.TEXTAFTER(batch_summary[[#This Row],[video]],"_",1),"_",1)</f>
        <v>20260406</v>
      </c>
      <c r="AK406" s="1" t="str">
        <f>_xlfn.TEXTBEFORE(_xlfn.TEXTAFTER(batch_summary[[#This Row],[video]],"_",2),".",1)</f>
        <v>180000</v>
      </c>
    </row>
    <row r="407" spans="1:37" x14ac:dyDescent="0.2">
      <c r="A407" s="1" t="s">
        <v>4359</v>
      </c>
      <c r="B407" s="1" t="s">
        <v>4360</v>
      </c>
      <c r="C407">
        <v>119.95833333333333</v>
      </c>
      <c r="D407">
        <v>2879</v>
      </c>
      <c r="E407">
        <v>0.37673808168619871</v>
      </c>
      <c r="F407">
        <v>36.965486194007099</v>
      </c>
      <c r="G407">
        <v>1.3085727047106588E-4</v>
      </c>
      <c r="H407">
        <v>1.2839696489755852E-2</v>
      </c>
      <c r="I407">
        <v>5</v>
      </c>
      <c r="J407" t="b">
        <v>1</v>
      </c>
      <c r="K407">
        <v>0.65</v>
      </c>
      <c r="L407">
        <v>1.3</v>
      </c>
      <c r="M407" t="b">
        <v>1</v>
      </c>
      <c r="N407">
        <v>200</v>
      </c>
      <c r="O407" t="b">
        <v>0</v>
      </c>
      <c r="P407" t="b">
        <v>0</v>
      </c>
      <c r="Q407">
        <v>0.7</v>
      </c>
      <c r="R407">
        <v>83893.732313096523</v>
      </c>
      <c r="S407">
        <v>84025.867709338665</v>
      </c>
      <c r="T407">
        <v>3234.6746063232422</v>
      </c>
      <c r="U407">
        <v>1001.616455078125</v>
      </c>
      <c r="V407">
        <v>167919.60002243519</v>
      </c>
      <c r="W407">
        <v>4236.2910614013672</v>
      </c>
      <c r="X407">
        <v>1399.8160474256495</v>
      </c>
      <c r="Y407">
        <v>35.314687555968327</v>
      </c>
      <c r="Z407">
        <v>8.1198811340332036</v>
      </c>
      <c r="AA407">
        <v>1.0590727653503418</v>
      </c>
      <c r="AB407">
        <v>32.346746063232423</v>
      </c>
      <c r="AC407">
        <v>10.01616455078125</v>
      </c>
      <c r="AD407">
        <v>42.362910614013671</v>
      </c>
      <c r="AE407">
        <v>39.638352886661025</v>
      </c>
      <c r="AF407" s="1" t="s">
        <v>4361</v>
      </c>
      <c r="AG407" s="1" t="s">
        <v>4362</v>
      </c>
      <c r="AH407" s="1" t="s">
        <v>4363</v>
      </c>
      <c r="AI407" s="1" t="str">
        <f>_xlfn.TEXTAFTER(_xlfn.TEXTBEFORE(batch_summary[[#This Row],[video]],"_",1),"-",3)</f>
        <v>16</v>
      </c>
      <c r="AJ407" s="1" t="str">
        <f>_xlfn.TEXTBEFORE(_xlfn.TEXTAFTER(batch_summary[[#This Row],[video]],"_",1),"_",1)</f>
        <v>20260406</v>
      </c>
      <c r="AK407" s="1" t="str">
        <f>_xlfn.TEXTBEFORE(_xlfn.TEXTAFTER(batch_summary[[#This Row],[video]],"_",2),".",1)</f>
        <v>190000</v>
      </c>
    </row>
    <row r="408" spans="1:37" x14ac:dyDescent="0.2">
      <c r="A408" s="1" t="s">
        <v>4364</v>
      </c>
      <c r="B408" s="1" t="s">
        <v>4365</v>
      </c>
      <c r="C408">
        <v>119.95833333333333</v>
      </c>
      <c r="D408">
        <v>2879</v>
      </c>
      <c r="E408">
        <v>0.38060529623180628</v>
      </c>
      <c r="F408">
        <v>37.346812944859266</v>
      </c>
      <c r="G408">
        <v>1.32200519705386E-4</v>
      </c>
      <c r="H408">
        <v>1.2972147601548894E-2</v>
      </c>
      <c r="I408">
        <v>5</v>
      </c>
      <c r="J408" t="b">
        <v>1</v>
      </c>
      <c r="K408">
        <v>0.65</v>
      </c>
      <c r="L408">
        <v>1.3</v>
      </c>
      <c r="M408" t="b">
        <v>1</v>
      </c>
      <c r="N408">
        <v>200</v>
      </c>
      <c r="O408" t="b">
        <v>0</v>
      </c>
      <c r="P408" t="b">
        <v>0</v>
      </c>
      <c r="Q408">
        <v>0.7</v>
      </c>
      <c r="R408">
        <v>129417.59888595343</v>
      </c>
      <c r="S408">
        <v>134656.28292053938</v>
      </c>
      <c r="T408">
        <v>8842.18798828125</v>
      </c>
      <c r="U408">
        <v>9758.0498657226562</v>
      </c>
      <c r="V408">
        <v>264073.88180649281</v>
      </c>
      <c r="W408">
        <v>18600.237854003906</v>
      </c>
      <c r="X408">
        <v>2201.3800497936186</v>
      </c>
      <c r="Y408">
        <v>155.05582094341568</v>
      </c>
      <c r="Z408">
        <v>27.009820861816408</v>
      </c>
      <c r="AA408">
        <v>4.650059463500976</v>
      </c>
      <c r="AB408">
        <v>88.421879882812505</v>
      </c>
      <c r="AC408">
        <v>97.580498657226556</v>
      </c>
      <c r="AD408">
        <v>186.00237854003905</v>
      </c>
      <c r="AE408">
        <v>14.197338973794251</v>
      </c>
      <c r="AF408" s="1" t="s">
        <v>4366</v>
      </c>
      <c r="AG408" s="1" t="s">
        <v>4367</v>
      </c>
      <c r="AH408" s="1" t="s">
        <v>4368</v>
      </c>
      <c r="AI408" s="1" t="str">
        <f>_xlfn.TEXTAFTER(_xlfn.TEXTBEFORE(batch_summary[[#This Row],[video]],"_",1),"-",3)</f>
        <v>16</v>
      </c>
      <c r="AJ408" s="1" t="str">
        <f>_xlfn.TEXTBEFORE(_xlfn.TEXTAFTER(batch_summary[[#This Row],[video]],"_",1),"_",1)</f>
        <v>20260407</v>
      </c>
      <c r="AK408" s="1" t="str">
        <f>_xlfn.TEXTBEFORE(_xlfn.TEXTAFTER(batch_summary[[#This Row],[video]],"_",2),".",1)</f>
        <v>060000</v>
      </c>
    </row>
    <row r="409" spans="1:37" x14ac:dyDescent="0.2">
      <c r="A409" s="1" t="s">
        <v>4369</v>
      </c>
      <c r="B409" s="1" t="s">
        <v>4370</v>
      </c>
      <c r="C409">
        <v>119.95833333333333</v>
      </c>
      <c r="D409">
        <v>2879</v>
      </c>
      <c r="E409">
        <v>0.37806417606770992</v>
      </c>
      <c r="F409">
        <v>37.024512122385204</v>
      </c>
      <c r="G409">
        <v>1.3131787984290029E-4</v>
      </c>
      <c r="H409">
        <v>1.2860198722606879E-2</v>
      </c>
      <c r="I409">
        <v>5</v>
      </c>
      <c r="J409" t="b">
        <v>1</v>
      </c>
      <c r="K409">
        <v>0.65</v>
      </c>
      <c r="L409">
        <v>1.3</v>
      </c>
      <c r="M409" t="b">
        <v>1</v>
      </c>
      <c r="N409">
        <v>200</v>
      </c>
      <c r="O409" t="b">
        <v>0</v>
      </c>
      <c r="P409" t="b">
        <v>0</v>
      </c>
      <c r="Q409">
        <v>0.7</v>
      </c>
      <c r="R409">
        <v>22248.923870444298</v>
      </c>
      <c r="S409">
        <v>23584.50896281004</v>
      </c>
      <c r="T409">
        <v>0</v>
      </c>
      <c r="U409">
        <v>0</v>
      </c>
      <c r="V409">
        <v>45833.432833254337</v>
      </c>
      <c r="W409">
        <v>0</v>
      </c>
      <c r="X409">
        <v>382.0779395616895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45833432833.254341</v>
      </c>
      <c r="AF409" s="1" t="s">
        <v>4371</v>
      </c>
      <c r="AG409" s="1" t="s">
        <v>4372</v>
      </c>
      <c r="AH409" s="1" t="s">
        <v>4373</v>
      </c>
      <c r="AI409" s="1" t="str">
        <f>_xlfn.TEXTAFTER(_xlfn.TEXTBEFORE(batch_summary[[#This Row],[video]],"_",1),"-",3)</f>
        <v>16</v>
      </c>
      <c r="AJ409" s="1" t="str">
        <f>_xlfn.TEXTBEFORE(_xlfn.TEXTAFTER(batch_summary[[#This Row],[video]],"_",1),"_",1)</f>
        <v>20260407</v>
      </c>
      <c r="AK409" s="1" t="str">
        <f>_xlfn.TEXTBEFORE(_xlfn.TEXTAFTER(batch_summary[[#This Row],[video]],"_",2),".",1)</f>
        <v>070000</v>
      </c>
    </row>
    <row r="410" spans="1:37" x14ac:dyDescent="0.2">
      <c r="A410" s="1" t="s">
        <v>4374</v>
      </c>
      <c r="B410" s="1" t="s">
        <v>4375</v>
      </c>
      <c r="C410">
        <v>119.95833333333333</v>
      </c>
      <c r="D410">
        <v>2879</v>
      </c>
      <c r="E410">
        <v>0.3747778283432126</v>
      </c>
      <c r="F410">
        <v>36.756083600223064</v>
      </c>
      <c r="G410">
        <v>1.3017639053255041E-4</v>
      </c>
      <c r="H410">
        <v>1.2766962000772165E-2</v>
      </c>
      <c r="I410">
        <v>5</v>
      </c>
      <c r="J410" t="b">
        <v>1</v>
      </c>
      <c r="K410">
        <v>0.65</v>
      </c>
      <c r="L410">
        <v>1.3</v>
      </c>
      <c r="M410" t="b">
        <v>1</v>
      </c>
      <c r="N410">
        <v>200</v>
      </c>
      <c r="O410" t="b">
        <v>0</v>
      </c>
      <c r="P410" t="b">
        <v>0</v>
      </c>
      <c r="Q410">
        <v>0.7</v>
      </c>
      <c r="R410">
        <v>18138.034169614315</v>
      </c>
      <c r="S410">
        <v>18522.183470666409</v>
      </c>
      <c r="T410">
        <v>0</v>
      </c>
      <c r="U410">
        <v>0</v>
      </c>
      <c r="V410">
        <v>36660.217640280724</v>
      </c>
      <c r="W410">
        <v>0</v>
      </c>
      <c r="X410">
        <v>305.60792753273267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36660217640.280724</v>
      </c>
      <c r="AF410" s="1" t="s">
        <v>4376</v>
      </c>
      <c r="AG410" s="1" t="s">
        <v>4377</v>
      </c>
      <c r="AH410" s="1" t="s">
        <v>4378</v>
      </c>
      <c r="AI410" s="1" t="str">
        <f>_xlfn.TEXTAFTER(_xlfn.TEXTBEFORE(batch_summary[[#This Row],[video]],"_",1),"-",3)</f>
        <v>16</v>
      </c>
      <c r="AJ410" s="1" t="str">
        <f>_xlfn.TEXTBEFORE(_xlfn.TEXTAFTER(batch_summary[[#This Row],[video]],"_",1),"_",1)</f>
        <v>20260407</v>
      </c>
      <c r="AK410" s="1" t="str">
        <f>_xlfn.TEXTBEFORE(_xlfn.TEXTAFTER(batch_summary[[#This Row],[video]],"_",2),".",1)</f>
        <v>080000</v>
      </c>
    </row>
    <row r="411" spans="1:37" x14ac:dyDescent="0.2">
      <c r="A411" s="1" t="s">
        <v>4379</v>
      </c>
      <c r="B411" s="1" t="s">
        <v>4380</v>
      </c>
      <c r="C411">
        <v>119.95833333333333</v>
      </c>
      <c r="D411">
        <v>2879</v>
      </c>
      <c r="E411">
        <v>0.37306616920977831</v>
      </c>
      <c r="F411">
        <v>36.678636448457837</v>
      </c>
      <c r="G411">
        <v>1.2958185800964861E-4</v>
      </c>
      <c r="H411">
        <v>1.274006128810623E-2</v>
      </c>
      <c r="I411">
        <v>5</v>
      </c>
      <c r="J411" t="b">
        <v>1</v>
      </c>
      <c r="K411">
        <v>0.65</v>
      </c>
      <c r="L411">
        <v>1.3</v>
      </c>
      <c r="M411" t="b">
        <v>1</v>
      </c>
      <c r="N411">
        <v>200</v>
      </c>
      <c r="O411" t="b">
        <v>0</v>
      </c>
      <c r="P411" t="b">
        <v>0</v>
      </c>
      <c r="Q411">
        <v>0.7</v>
      </c>
      <c r="R411">
        <v>7490.2261642813683</v>
      </c>
      <c r="S411">
        <v>8377.5008698701859</v>
      </c>
      <c r="T411">
        <v>0</v>
      </c>
      <c r="U411">
        <v>0</v>
      </c>
      <c r="V411">
        <v>15867.727034151554</v>
      </c>
      <c r="W411">
        <v>0</v>
      </c>
      <c r="X411">
        <v>132.27698812769617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15867727034.151554</v>
      </c>
      <c r="AF411" s="1" t="s">
        <v>4381</v>
      </c>
      <c r="AG411" s="1" t="s">
        <v>4382</v>
      </c>
      <c r="AH411" s="1" t="s">
        <v>4383</v>
      </c>
      <c r="AI411" s="1" t="str">
        <f>_xlfn.TEXTAFTER(_xlfn.TEXTBEFORE(batch_summary[[#This Row],[video]],"_",1),"-",3)</f>
        <v>16</v>
      </c>
      <c r="AJ411" s="1" t="str">
        <f>_xlfn.TEXTBEFORE(_xlfn.TEXTAFTER(batch_summary[[#This Row],[video]],"_",1),"_",1)</f>
        <v>20260407</v>
      </c>
      <c r="AK411" s="1" t="str">
        <f>_xlfn.TEXTBEFORE(_xlfn.TEXTAFTER(batch_summary[[#This Row],[video]],"_",2),".",1)</f>
        <v>090000</v>
      </c>
    </row>
    <row r="412" spans="1:37" x14ac:dyDescent="0.2">
      <c r="A412" s="1" t="s">
        <v>4384</v>
      </c>
      <c r="B412" s="1" t="s">
        <v>4385</v>
      </c>
      <c r="C412">
        <v>119.95833333333333</v>
      </c>
      <c r="D412">
        <v>2879</v>
      </c>
      <c r="E412">
        <v>0.39268727693706751</v>
      </c>
      <c r="F412">
        <v>37.59666830021888</v>
      </c>
      <c r="G412">
        <v>1.3639710904378864E-4</v>
      </c>
      <c r="H412">
        <v>1.3058933067113192E-2</v>
      </c>
      <c r="I412">
        <v>5</v>
      </c>
      <c r="J412" t="b">
        <v>1</v>
      </c>
      <c r="K412">
        <v>0.65</v>
      </c>
      <c r="L412">
        <v>1.3</v>
      </c>
      <c r="M412" t="b">
        <v>1</v>
      </c>
      <c r="N412">
        <v>200</v>
      </c>
      <c r="O412" t="b">
        <v>0</v>
      </c>
      <c r="P412" t="b">
        <v>0</v>
      </c>
      <c r="Q412">
        <v>0.7</v>
      </c>
      <c r="R412">
        <v>803536.86104089022</v>
      </c>
      <c r="S412">
        <v>773411.11205482483</v>
      </c>
      <c r="T412">
        <v>462345.75954318047</v>
      </c>
      <c r="U412">
        <v>458618.25287699699</v>
      </c>
      <c r="V412">
        <v>1576947.973095715</v>
      </c>
      <c r="W412">
        <v>920964.01242017746</v>
      </c>
      <c r="X412">
        <v>13145.797622194221</v>
      </c>
      <c r="Y412">
        <v>7677.365855534651</v>
      </c>
      <c r="Z412">
        <v>1873.0939628076553</v>
      </c>
      <c r="AA412">
        <v>230.24100310504437</v>
      </c>
      <c r="AB412">
        <v>4623.4575954318043</v>
      </c>
      <c r="AC412">
        <v>4586.1825287699703</v>
      </c>
      <c r="AD412">
        <v>9209.6401242017746</v>
      </c>
      <c r="AE412">
        <v>1.7122796893569101</v>
      </c>
      <c r="AF412" s="1" t="s">
        <v>4386</v>
      </c>
      <c r="AG412" s="1" t="s">
        <v>4387</v>
      </c>
      <c r="AH412" s="1" t="s">
        <v>4388</v>
      </c>
      <c r="AI412" s="1" t="str">
        <f>_xlfn.TEXTAFTER(_xlfn.TEXTBEFORE(batch_summary[[#This Row],[video]],"_",1),"-",3)</f>
        <v>16</v>
      </c>
      <c r="AJ412" s="1" t="str">
        <f>_xlfn.TEXTBEFORE(_xlfn.TEXTAFTER(batch_summary[[#This Row],[video]],"_",1),"_",1)</f>
        <v>20260407</v>
      </c>
      <c r="AK412" s="1" t="str">
        <f>_xlfn.TEXTBEFORE(_xlfn.TEXTAFTER(batch_summary[[#This Row],[video]],"_",2),".",1)</f>
        <v>100000</v>
      </c>
    </row>
    <row r="413" spans="1:37" x14ac:dyDescent="0.2">
      <c r="A413" s="1" t="s">
        <v>4389</v>
      </c>
      <c r="B413" s="1" t="s">
        <v>4390</v>
      </c>
      <c r="C413">
        <v>119.95833333333333</v>
      </c>
      <c r="D413">
        <v>2879</v>
      </c>
      <c r="E413">
        <v>0.40735071059316397</v>
      </c>
      <c r="F413">
        <v>38.58815842308104</v>
      </c>
      <c r="G413">
        <v>1.4149034754885862E-4</v>
      </c>
      <c r="H413">
        <v>1.3403320049698172E-2</v>
      </c>
      <c r="I413">
        <v>5</v>
      </c>
      <c r="J413" t="b">
        <v>1</v>
      </c>
      <c r="K413">
        <v>0.65</v>
      </c>
      <c r="L413">
        <v>1.3</v>
      </c>
      <c r="M413" t="b">
        <v>1</v>
      </c>
      <c r="N413">
        <v>200</v>
      </c>
      <c r="O413" t="b">
        <v>0</v>
      </c>
      <c r="P413" t="b">
        <v>0</v>
      </c>
      <c r="Q413">
        <v>0.7</v>
      </c>
      <c r="R413">
        <v>2967170.4654816985</v>
      </c>
      <c r="S413">
        <v>2556044.4725070596</v>
      </c>
      <c r="T413">
        <v>2441738.9583256841</v>
      </c>
      <c r="U413">
        <v>2041886.3480344415</v>
      </c>
      <c r="V413">
        <v>5523214.9379887581</v>
      </c>
      <c r="W413">
        <v>4483625.3063601255</v>
      </c>
      <c r="X413">
        <v>46042.778225679125</v>
      </c>
      <c r="Y413">
        <v>37376.522178757557</v>
      </c>
      <c r="Z413">
        <v>4159.9943679809567</v>
      </c>
      <c r="AA413">
        <v>1120.9063265900313</v>
      </c>
      <c r="AB413">
        <v>24417.389583256841</v>
      </c>
      <c r="AC413">
        <v>20418.863480344415</v>
      </c>
      <c r="AD413">
        <v>44836.253063601253</v>
      </c>
      <c r="AE413">
        <v>1.2318636283353006</v>
      </c>
      <c r="AF413" s="1" t="s">
        <v>4391</v>
      </c>
      <c r="AG413" s="1" t="s">
        <v>4392</v>
      </c>
      <c r="AH413" s="1" t="s">
        <v>4393</v>
      </c>
      <c r="AI413" s="1" t="str">
        <f>_xlfn.TEXTAFTER(_xlfn.TEXTBEFORE(batch_summary[[#This Row],[video]],"_",1),"-",3)</f>
        <v>16</v>
      </c>
      <c r="AJ413" s="1" t="str">
        <f>_xlfn.TEXTBEFORE(_xlfn.TEXTAFTER(batch_summary[[#This Row],[video]],"_",1),"_",1)</f>
        <v>20260407</v>
      </c>
      <c r="AK413" s="1" t="str">
        <f>_xlfn.TEXTBEFORE(_xlfn.TEXTAFTER(batch_summary[[#This Row],[video]],"_",2),".",1)</f>
        <v>110000</v>
      </c>
    </row>
    <row r="414" spans="1:37" x14ac:dyDescent="0.2">
      <c r="A414" s="1" t="s">
        <v>4394</v>
      </c>
      <c r="B414" s="1" t="s">
        <v>4395</v>
      </c>
      <c r="C414">
        <v>119.95833333333333</v>
      </c>
      <c r="D414">
        <v>2879</v>
      </c>
      <c r="E414">
        <v>0.41429378278553486</v>
      </c>
      <c r="F414">
        <v>39.048032823950052</v>
      </c>
      <c r="G414">
        <v>1.4390197387479501E-4</v>
      </c>
      <c r="H414">
        <v>1.3563054124331383E-2</v>
      </c>
      <c r="I414">
        <v>5</v>
      </c>
      <c r="J414" t="b">
        <v>1</v>
      </c>
      <c r="K414">
        <v>0.65</v>
      </c>
      <c r="L414">
        <v>1.3</v>
      </c>
      <c r="M414" t="b">
        <v>1</v>
      </c>
      <c r="N414">
        <v>200</v>
      </c>
      <c r="O414" t="b">
        <v>0</v>
      </c>
      <c r="P414" t="b">
        <v>0</v>
      </c>
      <c r="Q414">
        <v>0.7</v>
      </c>
      <c r="R414">
        <v>5704106.5689237714</v>
      </c>
      <c r="S414">
        <v>5309836.3941603303</v>
      </c>
      <c r="T414">
        <v>4842407.6266576052</v>
      </c>
      <c r="U414">
        <v>4453097.8883197308</v>
      </c>
      <c r="V414">
        <v>11013942.963084102</v>
      </c>
      <c r="W414">
        <v>9295505.5149773359</v>
      </c>
      <c r="X414">
        <v>91814.738143111652</v>
      </c>
      <c r="Y414">
        <v>77489.4520178729</v>
      </c>
      <c r="Z414">
        <v>5261.9164714050294</v>
      </c>
      <c r="AA414">
        <v>2323.876378744334</v>
      </c>
      <c r="AB414">
        <v>48424.076266576049</v>
      </c>
      <c r="AC414">
        <v>44530.978883197306</v>
      </c>
      <c r="AD414">
        <v>92955.055149773354</v>
      </c>
      <c r="AE414">
        <v>1.1848675626449732</v>
      </c>
      <c r="AF414" s="1" t="s">
        <v>4396</v>
      </c>
      <c r="AG414" s="1" t="s">
        <v>4397</v>
      </c>
      <c r="AH414" s="1" t="s">
        <v>4398</v>
      </c>
      <c r="AI414" s="1" t="str">
        <f>_xlfn.TEXTAFTER(_xlfn.TEXTBEFORE(batch_summary[[#This Row],[video]],"_",1),"-",3)</f>
        <v>16</v>
      </c>
      <c r="AJ414" s="1" t="str">
        <f>_xlfn.TEXTBEFORE(_xlfn.TEXTAFTER(batch_summary[[#This Row],[video]],"_",1),"_",1)</f>
        <v>20260407</v>
      </c>
      <c r="AK414" s="1" t="str">
        <f>_xlfn.TEXTBEFORE(_xlfn.TEXTAFTER(batch_summary[[#This Row],[video]],"_",2),".",1)</f>
        <v>120000</v>
      </c>
    </row>
    <row r="415" spans="1:37" x14ac:dyDescent="0.2">
      <c r="A415" s="1" t="s">
        <v>4399</v>
      </c>
      <c r="B415" s="1" t="s">
        <v>4400</v>
      </c>
      <c r="C415">
        <v>119.95833333333333</v>
      </c>
      <c r="D415">
        <v>2879</v>
      </c>
      <c r="E415">
        <v>0.40549755841493607</v>
      </c>
      <c r="F415">
        <v>38.560602074488997</v>
      </c>
      <c r="G415">
        <v>1.4084666843172493E-4</v>
      </c>
      <c r="H415">
        <v>1.3393748549666202E-2</v>
      </c>
      <c r="I415">
        <v>5</v>
      </c>
      <c r="J415" t="b">
        <v>1</v>
      </c>
      <c r="K415">
        <v>0.65</v>
      </c>
      <c r="L415">
        <v>1.3</v>
      </c>
      <c r="M415" t="b">
        <v>1</v>
      </c>
      <c r="N415">
        <v>200</v>
      </c>
      <c r="O415" t="b">
        <v>0</v>
      </c>
      <c r="P415" t="b">
        <v>0</v>
      </c>
      <c r="Q415">
        <v>0.7</v>
      </c>
      <c r="R415">
        <v>4940364.6004514694</v>
      </c>
      <c r="S415">
        <v>4231106.411781311</v>
      </c>
      <c r="T415">
        <v>4243280.5017515421</v>
      </c>
      <c r="U415">
        <v>3561683.8466026783</v>
      </c>
      <c r="V415">
        <v>9171471.0122327805</v>
      </c>
      <c r="W415">
        <v>7804964.3483542204</v>
      </c>
      <c r="X415">
        <v>76455.472140877639</v>
      </c>
      <c r="Y415">
        <v>65063.961222820872</v>
      </c>
      <c r="Z415">
        <v>4509.6957548522951</v>
      </c>
      <c r="AA415">
        <v>1951.2410870885549</v>
      </c>
      <c r="AB415">
        <v>42432.80501751542</v>
      </c>
      <c r="AC415">
        <v>35616.838466026784</v>
      </c>
      <c r="AD415">
        <v>78049.643483542197</v>
      </c>
      <c r="AE415">
        <v>1.1750817304074817</v>
      </c>
      <c r="AF415" s="1" t="s">
        <v>4401</v>
      </c>
      <c r="AG415" s="1" t="s">
        <v>4402</v>
      </c>
      <c r="AH415" s="1" t="s">
        <v>4403</v>
      </c>
      <c r="AI415" s="1" t="str">
        <f>_xlfn.TEXTAFTER(_xlfn.TEXTBEFORE(batch_summary[[#This Row],[video]],"_",1),"-",3)</f>
        <v>16</v>
      </c>
      <c r="AJ415" s="1" t="str">
        <f>_xlfn.TEXTBEFORE(_xlfn.TEXTAFTER(batch_summary[[#This Row],[video]],"_",1),"_",1)</f>
        <v>20260407</v>
      </c>
      <c r="AK415" s="1" t="str">
        <f>_xlfn.TEXTBEFORE(_xlfn.TEXTAFTER(batch_summary[[#This Row],[video]],"_",2),".",1)</f>
        <v>130000</v>
      </c>
    </row>
    <row r="416" spans="1:37" x14ac:dyDescent="0.2">
      <c r="A416" s="1" t="s">
        <v>4404</v>
      </c>
      <c r="B416" s="1" t="s">
        <v>4405</v>
      </c>
      <c r="C416">
        <v>119.95833333333333</v>
      </c>
      <c r="D416">
        <v>2879</v>
      </c>
      <c r="E416">
        <v>0.41093729715794325</v>
      </c>
      <c r="F416">
        <v>38.498943691141903</v>
      </c>
      <c r="G416">
        <v>1.4273612266687852E-4</v>
      </c>
      <c r="H416">
        <v>1.3372331952463321E-2</v>
      </c>
      <c r="I416">
        <v>5</v>
      </c>
      <c r="J416" t="b">
        <v>1</v>
      </c>
      <c r="K416">
        <v>0.65</v>
      </c>
      <c r="L416">
        <v>1.3</v>
      </c>
      <c r="M416" t="b">
        <v>1</v>
      </c>
      <c r="N416">
        <v>200</v>
      </c>
      <c r="O416" t="b">
        <v>0</v>
      </c>
      <c r="P416" t="b">
        <v>0</v>
      </c>
      <c r="Q416">
        <v>0.7</v>
      </c>
      <c r="R416">
        <v>4805592.4217842817</v>
      </c>
      <c r="S416">
        <v>3162605.3997090459</v>
      </c>
      <c r="T416">
        <v>4300741.8920584917</v>
      </c>
      <c r="U416">
        <v>2718225.5780778527</v>
      </c>
      <c r="V416">
        <v>7968197.8214933276</v>
      </c>
      <c r="W416">
        <v>7018967.4701363444</v>
      </c>
      <c r="X416">
        <v>66424.712648780784</v>
      </c>
      <c r="Y416">
        <v>58511.712151188702</v>
      </c>
      <c r="Z416">
        <v>4363.3252943396565</v>
      </c>
      <c r="AA416">
        <v>1754.7418675340862</v>
      </c>
      <c r="AB416">
        <v>43007.418920584918</v>
      </c>
      <c r="AC416">
        <v>27182.255780778527</v>
      </c>
      <c r="AD416">
        <v>70189.674701363445</v>
      </c>
      <c r="AE416">
        <v>1.1352378901021669</v>
      </c>
      <c r="AF416" s="1" t="s">
        <v>4406</v>
      </c>
      <c r="AG416" s="1" t="s">
        <v>4407</v>
      </c>
      <c r="AH416" s="1" t="s">
        <v>4408</v>
      </c>
      <c r="AI416" s="1" t="str">
        <f>_xlfn.TEXTAFTER(_xlfn.TEXTBEFORE(batch_summary[[#This Row],[video]],"_",1),"-",3)</f>
        <v>16</v>
      </c>
      <c r="AJ416" s="1" t="str">
        <f>_xlfn.TEXTBEFORE(_xlfn.TEXTAFTER(batch_summary[[#This Row],[video]],"_",1),"_",1)</f>
        <v>20260407</v>
      </c>
      <c r="AK416" s="1" t="str">
        <f>_xlfn.TEXTBEFORE(_xlfn.TEXTAFTER(batch_summary[[#This Row],[video]],"_",2),".",1)</f>
        <v>140000</v>
      </c>
    </row>
    <row r="417" spans="1:37" x14ac:dyDescent="0.2">
      <c r="A417" s="1" t="s">
        <v>4409</v>
      </c>
      <c r="B417" s="1" t="s">
        <v>4410</v>
      </c>
      <c r="C417">
        <v>119.95833333333333</v>
      </c>
      <c r="D417">
        <v>2879</v>
      </c>
      <c r="E417">
        <v>0.39331504050642252</v>
      </c>
      <c r="F417">
        <v>37.634260631166399</v>
      </c>
      <c r="G417">
        <v>1.3661515821688868E-4</v>
      </c>
      <c r="H417">
        <v>1.3071990493631955E-2</v>
      </c>
      <c r="I417">
        <v>5</v>
      </c>
      <c r="J417" t="b">
        <v>1</v>
      </c>
      <c r="K417">
        <v>0.65</v>
      </c>
      <c r="L417">
        <v>1.3</v>
      </c>
      <c r="M417" t="b">
        <v>1</v>
      </c>
      <c r="N417">
        <v>200</v>
      </c>
      <c r="O417" t="b">
        <v>0</v>
      </c>
      <c r="P417" t="b">
        <v>0</v>
      </c>
      <c r="Q417">
        <v>0.7</v>
      </c>
      <c r="R417">
        <v>417661.33201909065</v>
      </c>
      <c r="S417">
        <v>415346.08997178078</v>
      </c>
      <c r="T417">
        <v>276716.37459540367</v>
      </c>
      <c r="U417">
        <v>270289.71001881361</v>
      </c>
      <c r="V417">
        <v>833007.42199087143</v>
      </c>
      <c r="W417">
        <v>547006.08461421728</v>
      </c>
      <c r="X417">
        <v>6944.1396762003869</v>
      </c>
      <c r="Y417">
        <v>4559.9673604519676</v>
      </c>
      <c r="Z417">
        <v>430.03859954833985</v>
      </c>
      <c r="AA417">
        <v>136.75152115355431</v>
      </c>
      <c r="AB417">
        <v>2767.1637459540366</v>
      </c>
      <c r="AC417">
        <v>2702.8971001881359</v>
      </c>
      <c r="AD417">
        <v>5470.0608461421725</v>
      </c>
      <c r="AE417">
        <v>1.5228485485282308</v>
      </c>
      <c r="AF417" s="1" t="s">
        <v>4411</v>
      </c>
      <c r="AG417" s="1" t="s">
        <v>4412</v>
      </c>
      <c r="AH417" s="1" t="s">
        <v>4413</v>
      </c>
      <c r="AI417" s="1" t="str">
        <f>_xlfn.TEXTAFTER(_xlfn.TEXTBEFORE(batch_summary[[#This Row],[video]],"_",1),"-",3)</f>
        <v>16</v>
      </c>
      <c r="AJ417" s="1" t="str">
        <f>_xlfn.TEXTBEFORE(_xlfn.TEXTAFTER(batch_summary[[#This Row],[video]],"_",1),"_",1)</f>
        <v>20260407</v>
      </c>
      <c r="AK417" s="1" t="str">
        <f>_xlfn.TEXTBEFORE(_xlfn.TEXTAFTER(batch_summary[[#This Row],[video]],"_",2),".",1)</f>
        <v>150000</v>
      </c>
    </row>
    <row r="418" spans="1:37" x14ac:dyDescent="0.2">
      <c r="A418" s="1" t="s">
        <v>4414</v>
      </c>
      <c r="B418" s="1" t="s">
        <v>4415</v>
      </c>
      <c r="C418">
        <v>119.95833333333333</v>
      </c>
      <c r="D418">
        <v>2879</v>
      </c>
      <c r="E418">
        <v>0.40789714455604553</v>
      </c>
      <c r="F418">
        <v>38.867795677855611</v>
      </c>
      <c r="G418">
        <v>1.4168014746649722E-4</v>
      </c>
      <c r="H418">
        <v>1.350045004440973E-2</v>
      </c>
      <c r="I418">
        <v>5</v>
      </c>
      <c r="J418" t="b">
        <v>1</v>
      </c>
      <c r="K418">
        <v>0.65</v>
      </c>
      <c r="L418">
        <v>1.3</v>
      </c>
      <c r="M418" t="b">
        <v>1</v>
      </c>
      <c r="N418">
        <v>200</v>
      </c>
      <c r="O418" t="b">
        <v>0</v>
      </c>
      <c r="P418" t="b">
        <v>0</v>
      </c>
      <c r="Q418">
        <v>0.7</v>
      </c>
      <c r="R418">
        <v>3735893.3900178075</v>
      </c>
      <c r="S418">
        <v>3115492.8173527718</v>
      </c>
      <c r="T418">
        <v>3336810.7313638926</v>
      </c>
      <c r="U418">
        <v>2763993.6425056458</v>
      </c>
      <c r="V418">
        <v>6851386.2073705792</v>
      </c>
      <c r="W418">
        <v>6100804.3738695383</v>
      </c>
      <c r="X418">
        <v>57114.716560227127</v>
      </c>
      <c r="Y418">
        <v>50857.695370916612</v>
      </c>
      <c r="Z418">
        <v>3369.2711421012878</v>
      </c>
      <c r="AA418">
        <v>1525.2010934673847</v>
      </c>
      <c r="AB418">
        <v>33368.107313638924</v>
      </c>
      <c r="AC418">
        <v>27639.936425056458</v>
      </c>
      <c r="AD418">
        <v>61008.043738695385</v>
      </c>
      <c r="AE418">
        <v>1.1230299789181688</v>
      </c>
      <c r="AF418" s="1" t="s">
        <v>4416</v>
      </c>
      <c r="AG418" s="1" t="s">
        <v>4417</v>
      </c>
      <c r="AH418" s="1" t="s">
        <v>4418</v>
      </c>
      <c r="AI418" s="1" t="str">
        <f>_xlfn.TEXTAFTER(_xlfn.TEXTBEFORE(batch_summary[[#This Row],[video]],"_",1),"-",3)</f>
        <v>16</v>
      </c>
      <c r="AJ418" s="1" t="str">
        <f>_xlfn.TEXTBEFORE(_xlfn.TEXTAFTER(batch_summary[[#This Row],[video]],"_",1),"_",1)</f>
        <v>20260407</v>
      </c>
      <c r="AK418" s="1" t="str">
        <f>_xlfn.TEXTBEFORE(_xlfn.TEXTAFTER(batch_summary[[#This Row],[video]],"_",2),".",1)</f>
        <v>160000</v>
      </c>
    </row>
    <row r="419" spans="1:37" x14ac:dyDescent="0.2">
      <c r="A419" s="1" t="s">
        <v>4419</v>
      </c>
      <c r="B419" s="1" t="s">
        <v>4420</v>
      </c>
      <c r="C419">
        <v>119.95833333333333</v>
      </c>
      <c r="D419">
        <v>2879</v>
      </c>
      <c r="E419">
        <v>0.40830213017761707</v>
      </c>
      <c r="F419">
        <v>38.327817313373089</v>
      </c>
      <c r="G419">
        <v>1.4182081631733835E-4</v>
      </c>
      <c r="H419">
        <v>1.3312892432571409E-2</v>
      </c>
      <c r="I419">
        <v>5</v>
      </c>
      <c r="J419" t="b">
        <v>1</v>
      </c>
      <c r="K419">
        <v>0.65</v>
      </c>
      <c r="L419">
        <v>1.3</v>
      </c>
      <c r="M419" t="b">
        <v>1</v>
      </c>
      <c r="N419">
        <v>200</v>
      </c>
      <c r="O419" t="b">
        <v>0</v>
      </c>
      <c r="P419" t="b">
        <v>0</v>
      </c>
      <c r="Q419">
        <v>0.7</v>
      </c>
      <c r="R419">
        <v>1713772.5781881809</v>
      </c>
      <c r="S419">
        <v>1790281.4970539212</v>
      </c>
      <c r="T419">
        <v>1483027.509878993</v>
      </c>
      <c r="U419">
        <v>1568237.290732801</v>
      </c>
      <c r="V419">
        <v>3504054.0752421021</v>
      </c>
      <c r="W419">
        <v>3051264.800611794</v>
      </c>
      <c r="X419">
        <v>29210.593194098805</v>
      </c>
      <c r="Y419">
        <v>25436.038629622461</v>
      </c>
      <c r="Z419">
        <v>3169.4534138488771</v>
      </c>
      <c r="AA419">
        <v>762.81620015294845</v>
      </c>
      <c r="AB419">
        <v>14830.275098789931</v>
      </c>
      <c r="AC419">
        <v>15682.37290732801</v>
      </c>
      <c r="AD419">
        <v>30512.648006117939</v>
      </c>
      <c r="AE419">
        <v>1.148393962575625</v>
      </c>
      <c r="AF419" s="1" t="s">
        <v>4421</v>
      </c>
      <c r="AG419" s="1" t="s">
        <v>4422</v>
      </c>
      <c r="AH419" s="1" t="s">
        <v>4423</v>
      </c>
      <c r="AI419" s="1" t="str">
        <f>_xlfn.TEXTAFTER(_xlfn.TEXTBEFORE(batch_summary[[#This Row],[video]],"_",1),"-",3)</f>
        <v>16</v>
      </c>
      <c r="AJ419" s="1" t="str">
        <f>_xlfn.TEXTBEFORE(_xlfn.TEXTAFTER(batch_summary[[#This Row],[video]],"_",1),"_",1)</f>
        <v>20260407</v>
      </c>
      <c r="AK419" s="1" t="str">
        <f>_xlfn.TEXTBEFORE(_xlfn.TEXTAFTER(batch_summary[[#This Row],[video]],"_",2),".",1)</f>
        <v>170000</v>
      </c>
    </row>
    <row r="420" spans="1:37" x14ac:dyDescent="0.2">
      <c r="A420" s="1" t="s">
        <v>4424</v>
      </c>
      <c r="B420" s="1" t="s">
        <v>4425</v>
      </c>
      <c r="C420">
        <v>119.95833333333333</v>
      </c>
      <c r="D420">
        <v>2879</v>
      </c>
      <c r="E420">
        <v>0.37555842474102974</v>
      </c>
      <c r="F420">
        <v>36.929252624511719</v>
      </c>
      <c r="G420">
        <v>1.3044752509240351E-4</v>
      </c>
      <c r="H420">
        <v>1.2827111019281598E-2</v>
      </c>
      <c r="I420">
        <v>5</v>
      </c>
      <c r="J420" t="b">
        <v>1</v>
      </c>
      <c r="K420">
        <v>0.65</v>
      </c>
      <c r="L420">
        <v>1.3</v>
      </c>
      <c r="M420" t="b">
        <v>1</v>
      </c>
      <c r="N420">
        <v>200</v>
      </c>
      <c r="O420" t="b">
        <v>0</v>
      </c>
      <c r="P420" t="b">
        <v>0</v>
      </c>
      <c r="Q420">
        <v>0.7</v>
      </c>
      <c r="R420">
        <v>3636.4910866618156</v>
      </c>
      <c r="S420">
        <v>4997.2134900093079</v>
      </c>
      <c r="T420">
        <v>0</v>
      </c>
      <c r="U420">
        <v>0</v>
      </c>
      <c r="V420">
        <v>8633.7045766711235</v>
      </c>
      <c r="W420">
        <v>0</v>
      </c>
      <c r="X420">
        <v>71.972528600245568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8633704576.6711235</v>
      </c>
      <c r="AF420" s="1" t="s">
        <v>4426</v>
      </c>
      <c r="AG420" s="1" t="s">
        <v>4427</v>
      </c>
      <c r="AH420" s="1" t="s">
        <v>4428</v>
      </c>
      <c r="AI420" s="1" t="str">
        <f>_xlfn.TEXTAFTER(_xlfn.TEXTBEFORE(batch_summary[[#This Row],[video]],"_",1),"-",3)</f>
        <v>16</v>
      </c>
      <c r="AJ420" s="1" t="str">
        <f>_xlfn.TEXTBEFORE(_xlfn.TEXTAFTER(batch_summary[[#This Row],[video]],"_",1),"_",1)</f>
        <v>20260407</v>
      </c>
      <c r="AK420" s="1" t="str">
        <f>_xlfn.TEXTBEFORE(_xlfn.TEXTAFTER(batch_summary[[#This Row],[video]],"_",2),".",1)</f>
        <v>180000</v>
      </c>
    </row>
    <row r="421" spans="1:37" x14ac:dyDescent="0.2">
      <c r="A421" s="1" t="s">
        <v>4429</v>
      </c>
      <c r="B421" s="1" t="s">
        <v>4430</v>
      </c>
      <c r="C421">
        <v>119.95833333333333</v>
      </c>
      <c r="D421">
        <v>2879</v>
      </c>
      <c r="E421">
        <v>0.38203794881701469</v>
      </c>
      <c r="F421">
        <v>37.190898223780096</v>
      </c>
      <c r="G421">
        <v>1.3269814130497211E-4</v>
      </c>
      <c r="H421">
        <v>1.2917991741500554E-2</v>
      </c>
      <c r="I421">
        <v>5</v>
      </c>
      <c r="J421" t="b">
        <v>1</v>
      </c>
      <c r="K421">
        <v>0.65</v>
      </c>
      <c r="L421">
        <v>1.3</v>
      </c>
      <c r="M421" t="b">
        <v>1</v>
      </c>
      <c r="N421">
        <v>200</v>
      </c>
      <c r="O421" t="b">
        <v>0</v>
      </c>
      <c r="P421" t="b">
        <v>0</v>
      </c>
      <c r="Q421">
        <v>0.7</v>
      </c>
      <c r="R421">
        <v>84670.934852957726</v>
      </c>
      <c r="S421">
        <v>84922.964515984058</v>
      </c>
      <c r="T421">
        <v>15072.358139038086</v>
      </c>
      <c r="U421">
        <v>12683.470018863678</v>
      </c>
      <c r="V421">
        <v>169593.89936894178</v>
      </c>
      <c r="W421">
        <v>27755.828157901764</v>
      </c>
      <c r="X421">
        <v>1413.7733882787784</v>
      </c>
      <c r="Y421">
        <v>231.37890788108453</v>
      </c>
      <c r="Z421">
        <v>237.05872957706453</v>
      </c>
      <c r="AA421">
        <v>6.9389570394754418</v>
      </c>
      <c r="AB421">
        <v>150.72358139038087</v>
      </c>
      <c r="AC421">
        <v>126.83470018863677</v>
      </c>
      <c r="AD421">
        <v>277.55828157901766</v>
      </c>
      <c r="AE421">
        <v>6.1102085804872788</v>
      </c>
      <c r="AF421" s="1" t="s">
        <v>4431</v>
      </c>
      <c r="AG421" s="1" t="s">
        <v>4432</v>
      </c>
      <c r="AH421" s="1" t="s">
        <v>4433</v>
      </c>
      <c r="AI421" s="1" t="str">
        <f>_xlfn.TEXTAFTER(_xlfn.TEXTBEFORE(batch_summary[[#This Row],[video]],"_",1),"-",3)</f>
        <v>16</v>
      </c>
      <c r="AJ421" s="1" t="str">
        <f>_xlfn.TEXTBEFORE(_xlfn.TEXTAFTER(batch_summary[[#This Row],[video]],"_",1),"_",1)</f>
        <v>20260407</v>
      </c>
      <c r="AK421" s="1" t="str">
        <f>_xlfn.TEXTBEFORE(_xlfn.TEXTAFTER(batch_summary[[#This Row],[video]],"_",2),".",1)</f>
        <v>190000</v>
      </c>
    </row>
    <row r="422" spans="1:37" x14ac:dyDescent="0.2">
      <c r="A422" s="1" t="s">
        <v>4434</v>
      </c>
      <c r="B422" s="1" t="s">
        <v>4435</v>
      </c>
      <c r="C422">
        <v>119.95833333333333</v>
      </c>
      <c r="D422">
        <v>2879</v>
      </c>
      <c r="E422">
        <v>0.37660450022667646</v>
      </c>
      <c r="F422">
        <v>37.18984076846391</v>
      </c>
      <c r="G422">
        <v>1.3081087190923115E-4</v>
      </c>
      <c r="H422">
        <v>1.2917624441981213E-2</v>
      </c>
      <c r="I422">
        <v>5</v>
      </c>
      <c r="J422" t="b">
        <v>1</v>
      </c>
      <c r="K422">
        <v>0.65</v>
      </c>
      <c r="L422">
        <v>1.3</v>
      </c>
      <c r="M422" t="b">
        <v>1</v>
      </c>
      <c r="N422">
        <v>200</v>
      </c>
      <c r="O422" t="b">
        <v>0</v>
      </c>
      <c r="P422" t="b">
        <v>0</v>
      </c>
      <c r="Q422">
        <v>0.7</v>
      </c>
      <c r="R422">
        <v>20274.001371264458</v>
      </c>
      <c r="S422">
        <v>20872.274739146233</v>
      </c>
      <c r="T422">
        <v>0</v>
      </c>
      <c r="U422">
        <v>0</v>
      </c>
      <c r="V422">
        <v>41146.27611041069</v>
      </c>
      <c r="W422">
        <v>0</v>
      </c>
      <c r="X422">
        <v>343.00473311908877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41146276110.41069</v>
      </c>
      <c r="AF422" s="1" t="s">
        <v>4436</v>
      </c>
      <c r="AG422" s="1" t="s">
        <v>4437</v>
      </c>
      <c r="AH422" s="1" t="s">
        <v>4438</v>
      </c>
      <c r="AI422" s="1" t="str">
        <f>_xlfn.TEXTAFTER(_xlfn.TEXTBEFORE(batch_summary[[#This Row],[video]],"_",1),"-",3)</f>
        <v>16</v>
      </c>
      <c r="AJ422" s="1" t="str">
        <f>_xlfn.TEXTBEFORE(_xlfn.TEXTAFTER(batch_summary[[#This Row],[video]],"_",1),"_",1)</f>
        <v>20260408</v>
      </c>
      <c r="AK422" s="1" t="str">
        <f>_xlfn.TEXTBEFORE(_xlfn.TEXTAFTER(batch_summary[[#This Row],[video]],"_",2),".",1)</f>
        <v>060000</v>
      </c>
    </row>
    <row r="423" spans="1:37" x14ac:dyDescent="0.2">
      <c r="A423" s="1" t="s">
        <v>4439</v>
      </c>
      <c r="B423" s="1" t="s">
        <v>4440</v>
      </c>
      <c r="C423">
        <v>119.95833333333333</v>
      </c>
      <c r="D423">
        <v>2879</v>
      </c>
      <c r="E423">
        <v>0.37654440756887197</v>
      </c>
      <c r="F423">
        <v>36.744628377258778</v>
      </c>
      <c r="G423">
        <v>1.3078999915556511E-4</v>
      </c>
      <c r="H423">
        <v>1.2762983111239589E-2</v>
      </c>
      <c r="I423">
        <v>5</v>
      </c>
      <c r="J423" t="b">
        <v>1</v>
      </c>
      <c r="K423">
        <v>0.65</v>
      </c>
      <c r="L423">
        <v>1.3</v>
      </c>
      <c r="M423" t="b">
        <v>1</v>
      </c>
      <c r="N423">
        <v>200</v>
      </c>
      <c r="O423" t="b">
        <v>0</v>
      </c>
      <c r="P423" t="b">
        <v>0</v>
      </c>
      <c r="Q423">
        <v>0.7</v>
      </c>
      <c r="R423">
        <v>2239.8858053684235</v>
      </c>
      <c r="S423">
        <v>2661.1617388725281</v>
      </c>
      <c r="T423">
        <v>0</v>
      </c>
      <c r="U423">
        <v>0</v>
      </c>
      <c r="V423">
        <v>4901.0475442409515</v>
      </c>
      <c r="W423">
        <v>0</v>
      </c>
      <c r="X423">
        <v>40.856249066267054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4901047544.2409515</v>
      </c>
      <c r="AF423" s="1" t="s">
        <v>4441</v>
      </c>
      <c r="AG423" s="1" t="s">
        <v>4442</v>
      </c>
      <c r="AH423" s="1" t="s">
        <v>4443</v>
      </c>
      <c r="AI423" s="1" t="str">
        <f>_xlfn.TEXTAFTER(_xlfn.TEXTBEFORE(batch_summary[[#This Row],[video]],"_",1),"-",3)</f>
        <v>16</v>
      </c>
      <c r="AJ423" s="1" t="str">
        <f>_xlfn.TEXTBEFORE(_xlfn.TEXTAFTER(batch_summary[[#This Row],[video]],"_",1),"_",1)</f>
        <v>20260408</v>
      </c>
      <c r="AK423" s="1" t="str">
        <f>_xlfn.TEXTBEFORE(_xlfn.TEXTAFTER(batch_summary[[#This Row],[video]],"_",2),".",1)</f>
        <v>070000</v>
      </c>
    </row>
    <row r="424" spans="1:37" x14ac:dyDescent="0.2">
      <c r="A424" s="1" t="s">
        <v>4444</v>
      </c>
      <c r="B424" s="1" t="s">
        <v>4445</v>
      </c>
      <c r="C424">
        <v>119.95833333333333</v>
      </c>
      <c r="D424">
        <v>2879</v>
      </c>
      <c r="E424">
        <v>0.37328648287802935</v>
      </c>
      <c r="F424">
        <v>36.692583039402962</v>
      </c>
      <c r="G424">
        <v>1.2965838238208731E-4</v>
      </c>
      <c r="H424">
        <v>1.2744905536437291E-2</v>
      </c>
      <c r="I424">
        <v>5</v>
      </c>
      <c r="J424" t="b">
        <v>1</v>
      </c>
      <c r="K424">
        <v>0.65</v>
      </c>
      <c r="L424">
        <v>1.3</v>
      </c>
      <c r="M424" t="b">
        <v>1</v>
      </c>
      <c r="N424">
        <v>200</v>
      </c>
      <c r="O424" t="b">
        <v>0</v>
      </c>
      <c r="P424" t="b">
        <v>0</v>
      </c>
      <c r="Q424">
        <v>0.7</v>
      </c>
      <c r="R424">
        <v>2943.6853864789009</v>
      </c>
      <c r="S424">
        <v>3019.7128354310989</v>
      </c>
      <c r="T424">
        <v>0</v>
      </c>
      <c r="U424">
        <v>0</v>
      </c>
      <c r="V424">
        <v>5963.3982219099998</v>
      </c>
      <c r="W424">
        <v>0</v>
      </c>
      <c r="X424">
        <v>49.712246379242792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5963398221.9099998</v>
      </c>
      <c r="AF424" s="1" t="s">
        <v>4446</v>
      </c>
      <c r="AG424" s="1" t="s">
        <v>4447</v>
      </c>
      <c r="AH424" s="1" t="s">
        <v>4448</v>
      </c>
      <c r="AI424" s="1" t="str">
        <f>_xlfn.TEXTAFTER(_xlfn.TEXTBEFORE(batch_summary[[#This Row],[video]],"_",1),"-",3)</f>
        <v>16</v>
      </c>
      <c r="AJ424" s="1" t="str">
        <f>_xlfn.TEXTBEFORE(_xlfn.TEXTAFTER(batch_summary[[#This Row],[video]],"_",1),"_",1)</f>
        <v>20260408</v>
      </c>
      <c r="AK424" s="1" t="str">
        <f>_xlfn.TEXTBEFORE(_xlfn.TEXTAFTER(batch_summary[[#This Row],[video]],"_",2),".",1)</f>
        <v>080000</v>
      </c>
    </row>
    <row r="425" spans="1:37" x14ac:dyDescent="0.2">
      <c r="A425" s="1" t="s">
        <v>4449</v>
      </c>
      <c r="B425" s="1" t="s">
        <v>4450</v>
      </c>
      <c r="C425">
        <v>119.95833333333333</v>
      </c>
      <c r="D425">
        <v>2879</v>
      </c>
      <c r="E425">
        <v>0.38757459912449121</v>
      </c>
      <c r="F425">
        <v>37.400615436024964</v>
      </c>
      <c r="G425">
        <v>1.3462125707693339E-4</v>
      </c>
      <c r="H425">
        <v>1.2990835510949971E-2</v>
      </c>
      <c r="I425">
        <v>5</v>
      </c>
      <c r="J425" t="b">
        <v>1</v>
      </c>
      <c r="K425">
        <v>0.65</v>
      </c>
      <c r="L425">
        <v>1.3</v>
      </c>
      <c r="M425" t="b">
        <v>1</v>
      </c>
      <c r="N425">
        <v>200</v>
      </c>
      <c r="O425" t="b">
        <v>0</v>
      </c>
      <c r="P425" t="b">
        <v>0</v>
      </c>
      <c r="Q425">
        <v>0.7</v>
      </c>
      <c r="R425">
        <v>654125.047719419</v>
      </c>
      <c r="S425">
        <v>592018.64618676901</v>
      </c>
      <c r="T425">
        <v>399742.03155946732</v>
      </c>
      <c r="U425">
        <v>370601.28322172165</v>
      </c>
      <c r="V425">
        <v>1246143.693906188</v>
      </c>
      <c r="W425">
        <v>770343.31478118896</v>
      </c>
      <c r="X425">
        <v>10388.137774834497</v>
      </c>
      <c r="Y425">
        <v>6421.7574000515933</v>
      </c>
      <c r="Z425">
        <v>1100.4501370263101</v>
      </c>
      <c r="AA425">
        <v>192.58582869529727</v>
      </c>
      <c r="AB425">
        <v>3997.420315594673</v>
      </c>
      <c r="AC425">
        <v>3706.0128322172163</v>
      </c>
      <c r="AD425">
        <v>7703.4331478118893</v>
      </c>
      <c r="AE425">
        <v>1.617647184048254</v>
      </c>
      <c r="AF425" s="1" t="s">
        <v>4451</v>
      </c>
      <c r="AG425" s="1" t="s">
        <v>4452</v>
      </c>
      <c r="AH425" s="1" t="s">
        <v>4453</v>
      </c>
      <c r="AI425" s="1" t="str">
        <f>_xlfn.TEXTAFTER(_xlfn.TEXTBEFORE(batch_summary[[#This Row],[video]],"_",1),"-",3)</f>
        <v>16</v>
      </c>
      <c r="AJ425" s="1" t="str">
        <f>_xlfn.TEXTBEFORE(_xlfn.TEXTAFTER(batch_summary[[#This Row],[video]],"_",1),"_",1)</f>
        <v>20260408</v>
      </c>
      <c r="AK425" s="1" t="str">
        <f>_xlfn.TEXTBEFORE(_xlfn.TEXTAFTER(batch_summary[[#This Row],[video]],"_",2),".",1)</f>
        <v>090000</v>
      </c>
    </row>
    <row r="426" spans="1:37" x14ac:dyDescent="0.2">
      <c r="A426" s="1" t="s">
        <v>4454</v>
      </c>
      <c r="B426" s="1" t="s">
        <v>4455</v>
      </c>
      <c r="C426">
        <v>119.95833333333333</v>
      </c>
      <c r="D426">
        <v>2879</v>
      </c>
      <c r="E426">
        <v>0.4185659671202302</v>
      </c>
      <c r="F426">
        <v>39.23665039986372</v>
      </c>
      <c r="G426">
        <v>1.4538588646065655E-4</v>
      </c>
      <c r="H426">
        <v>1.3628569086441028E-2</v>
      </c>
      <c r="I426">
        <v>5</v>
      </c>
      <c r="J426" t="b">
        <v>1</v>
      </c>
      <c r="K426">
        <v>0.65</v>
      </c>
      <c r="L426">
        <v>1.3</v>
      </c>
      <c r="M426" t="b">
        <v>1</v>
      </c>
      <c r="N426">
        <v>200</v>
      </c>
      <c r="O426" t="b">
        <v>0</v>
      </c>
      <c r="P426" t="b">
        <v>0</v>
      </c>
      <c r="Q426">
        <v>0.7</v>
      </c>
      <c r="R426">
        <v>3122144.364793539</v>
      </c>
      <c r="S426">
        <v>2999194.7846434712</v>
      </c>
      <c r="T426">
        <v>2425853.5695320964</v>
      </c>
      <c r="U426">
        <v>2283553.2864418626</v>
      </c>
      <c r="V426">
        <v>6121339.1494370103</v>
      </c>
      <c r="W426">
        <v>4709406.855973959</v>
      </c>
      <c r="X426">
        <v>51028.877939037251</v>
      </c>
      <c r="Y426">
        <v>39258.688622221263</v>
      </c>
      <c r="Z426">
        <v>3102.2287633419037</v>
      </c>
      <c r="AA426">
        <v>1177.3517139934897</v>
      </c>
      <c r="AB426">
        <v>24258.535695320963</v>
      </c>
      <c r="AC426">
        <v>22835.532864418627</v>
      </c>
      <c r="AD426">
        <v>47094.068559739593</v>
      </c>
      <c r="AE426">
        <v>1.2998110667953846</v>
      </c>
      <c r="AF426" s="1" t="s">
        <v>4456</v>
      </c>
      <c r="AG426" s="1" t="s">
        <v>4457</v>
      </c>
      <c r="AH426" s="1" t="s">
        <v>4458</v>
      </c>
      <c r="AI426" s="1" t="str">
        <f>_xlfn.TEXTAFTER(_xlfn.TEXTBEFORE(batch_summary[[#This Row],[video]],"_",1),"-",3)</f>
        <v>16</v>
      </c>
      <c r="AJ426" s="1" t="str">
        <f>_xlfn.TEXTBEFORE(_xlfn.TEXTAFTER(batch_summary[[#This Row],[video]],"_",1),"_",1)</f>
        <v>20260408</v>
      </c>
      <c r="AK426" s="1" t="str">
        <f>_xlfn.TEXTBEFORE(_xlfn.TEXTAFTER(batch_summary[[#This Row],[video]],"_",2),".",1)</f>
        <v>100000</v>
      </c>
    </row>
    <row r="427" spans="1:37" x14ac:dyDescent="0.2">
      <c r="A427" s="1" t="s">
        <v>4459</v>
      </c>
      <c r="B427" s="1" t="s">
        <v>4460</v>
      </c>
      <c r="C427">
        <v>119.95833333333333</v>
      </c>
      <c r="D427">
        <v>2879</v>
      </c>
      <c r="E427">
        <v>0.40349794365465641</v>
      </c>
      <c r="F427">
        <v>38.755646595731378</v>
      </c>
      <c r="G427">
        <v>1.4015211658723736E-4</v>
      </c>
      <c r="H427">
        <v>1.3461495865137679E-2</v>
      </c>
      <c r="I427">
        <v>5</v>
      </c>
      <c r="J427" t="b">
        <v>1</v>
      </c>
      <c r="K427">
        <v>0.65</v>
      </c>
      <c r="L427">
        <v>1.3</v>
      </c>
      <c r="M427" t="b">
        <v>1</v>
      </c>
      <c r="N427">
        <v>200</v>
      </c>
      <c r="O427" t="b">
        <v>0</v>
      </c>
      <c r="P427" t="b">
        <v>0</v>
      </c>
      <c r="Q427">
        <v>0.7</v>
      </c>
      <c r="R427">
        <v>7305531.3453806043</v>
      </c>
      <c r="S427">
        <v>6878865.6972631812</v>
      </c>
      <c r="T427">
        <v>6385856.121471107</v>
      </c>
      <c r="U427">
        <v>5992320.8459758162</v>
      </c>
      <c r="V427">
        <v>14184397.042643785</v>
      </c>
      <c r="W427">
        <v>12378176.967446923</v>
      </c>
      <c r="X427">
        <v>118244.36576014271</v>
      </c>
      <c r="Y427">
        <v>103187.30365360409</v>
      </c>
      <c r="Z427">
        <v>5467.7404533791541</v>
      </c>
      <c r="AA427">
        <v>3094.5442418617304</v>
      </c>
      <c r="AB427">
        <v>63858.561214711073</v>
      </c>
      <c r="AC427">
        <v>59923.208459758163</v>
      </c>
      <c r="AD427">
        <v>123781.76967446924</v>
      </c>
      <c r="AE427">
        <v>1.1459197166066537</v>
      </c>
      <c r="AF427" s="1" t="s">
        <v>4461</v>
      </c>
      <c r="AG427" s="1" t="s">
        <v>4462</v>
      </c>
      <c r="AH427" s="1" t="s">
        <v>4463</v>
      </c>
      <c r="AI427" s="1" t="str">
        <f>_xlfn.TEXTAFTER(_xlfn.TEXTBEFORE(batch_summary[[#This Row],[video]],"_",1),"-",3)</f>
        <v>16</v>
      </c>
      <c r="AJ427" s="1" t="str">
        <f>_xlfn.TEXTBEFORE(_xlfn.TEXTAFTER(batch_summary[[#This Row],[video]],"_",1),"_",1)</f>
        <v>20260408</v>
      </c>
      <c r="AK427" s="1" t="str">
        <f>_xlfn.TEXTBEFORE(_xlfn.TEXTAFTER(batch_summary[[#This Row],[video]],"_",2),".",1)</f>
        <v>110000</v>
      </c>
    </row>
    <row r="428" spans="1:37" x14ac:dyDescent="0.2">
      <c r="A428" s="1" t="s">
        <v>4464</v>
      </c>
      <c r="B428" s="1" t="s">
        <v>4465</v>
      </c>
      <c r="C428">
        <v>119.95833333333333</v>
      </c>
      <c r="D428">
        <v>2879</v>
      </c>
      <c r="E428">
        <v>0.40039525087922812</v>
      </c>
      <c r="F428">
        <v>38.633577423170209</v>
      </c>
      <c r="G428">
        <v>1.3907441850615772E-4</v>
      </c>
      <c r="H428">
        <v>1.3419096013605492E-2</v>
      </c>
      <c r="I428">
        <v>5</v>
      </c>
      <c r="J428" t="b">
        <v>1</v>
      </c>
      <c r="K428">
        <v>0.65</v>
      </c>
      <c r="L428">
        <v>1.3</v>
      </c>
      <c r="M428" t="b">
        <v>1</v>
      </c>
      <c r="N428">
        <v>200</v>
      </c>
      <c r="O428" t="b">
        <v>0</v>
      </c>
      <c r="P428" t="b">
        <v>0</v>
      </c>
      <c r="Q428">
        <v>0.7</v>
      </c>
      <c r="R428">
        <v>9661911.5851430297</v>
      </c>
      <c r="S428">
        <v>8752226.1421575546</v>
      </c>
      <c r="T428">
        <v>8535888.1550371051</v>
      </c>
      <c r="U428">
        <v>7709576.1302974224</v>
      </c>
      <c r="V428">
        <v>18414137.727300584</v>
      </c>
      <c r="W428">
        <v>16245464.285334527</v>
      </c>
      <c r="X428">
        <v>153504.44788301981</v>
      </c>
      <c r="Y428">
        <v>135425.89192359455</v>
      </c>
      <c r="Z428">
        <v>8327.8183908081046</v>
      </c>
      <c r="AA428">
        <v>4061.3660713336312</v>
      </c>
      <c r="AB428">
        <v>85358.88155037105</v>
      </c>
      <c r="AC428">
        <v>77095.761302974221</v>
      </c>
      <c r="AD428">
        <v>162454.64285334526</v>
      </c>
      <c r="AE428">
        <v>1.1334940881882836</v>
      </c>
      <c r="AF428" s="1" t="s">
        <v>4466</v>
      </c>
      <c r="AG428" s="1" t="s">
        <v>4467</v>
      </c>
      <c r="AH428" s="1" t="s">
        <v>4468</v>
      </c>
      <c r="AI428" s="1" t="str">
        <f>_xlfn.TEXTAFTER(_xlfn.TEXTBEFORE(batch_summary[[#This Row],[video]],"_",1),"-",3)</f>
        <v>16</v>
      </c>
      <c r="AJ428" s="1" t="str">
        <f>_xlfn.TEXTBEFORE(_xlfn.TEXTAFTER(batch_summary[[#This Row],[video]],"_",1),"_",1)</f>
        <v>20260408</v>
      </c>
      <c r="AK428" s="1" t="str">
        <f>_xlfn.TEXTBEFORE(_xlfn.TEXTAFTER(batch_summary[[#This Row],[video]],"_",2),".",1)</f>
        <v>120000</v>
      </c>
    </row>
    <row r="429" spans="1:37" x14ac:dyDescent="0.2">
      <c r="A429" s="1" t="s">
        <v>4469</v>
      </c>
      <c r="B429" s="1" t="s">
        <v>4470</v>
      </c>
      <c r="C429">
        <v>119.95833333333333</v>
      </c>
      <c r="D429">
        <v>2879</v>
      </c>
      <c r="E429">
        <v>0.38171815685927868</v>
      </c>
      <c r="F429">
        <v>37.79302784614265</v>
      </c>
      <c r="G429">
        <v>1.325870638622017E-4</v>
      </c>
      <c r="H429">
        <v>1.3127137146975564E-2</v>
      </c>
      <c r="I429">
        <v>5</v>
      </c>
      <c r="J429" t="b">
        <v>1</v>
      </c>
      <c r="K429">
        <v>0.65</v>
      </c>
      <c r="L429">
        <v>1.3</v>
      </c>
      <c r="M429" t="b">
        <v>1</v>
      </c>
      <c r="N429">
        <v>200</v>
      </c>
      <c r="O429" t="b">
        <v>0</v>
      </c>
      <c r="P429" t="b">
        <v>0</v>
      </c>
      <c r="Q429">
        <v>0.7</v>
      </c>
      <c r="R429">
        <v>13655547.142865181</v>
      </c>
      <c r="S429">
        <v>13843232.215507984</v>
      </c>
      <c r="T429">
        <v>12452916.33927983</v>
      </c>
      <c r="U429">
        <v>12679136.134709597</v>
      </c>
      <c r="V429">
        <v>27498779.358373165</v>
      </c>
      <c r="W429">
        <v>25132052.473989427</v>
      </c>
      <c r="X429">
        <v>229236.09051787286</v>
      </c>
      <c r="Y429">
        <v>209506.51593461141</v>
      </c>
      <c r="Z429">
        <v>9841.6877563476555</v>
      </c>
      <c r="AA429">
        <v>6283.0131184973561</v>
      </c>
      <c r="AB429">
        <v>124529.16339279831</v>
      </c>
      <c r="AC429">
        <v>126791.36134709597</v>
      </c>
      <c r="AD429">
        <v>251320.52473989426</v>
      </c>
      <c r="AE429">
        <v>1.0941716513935023</v>
      </c>
      <c r="AF429" s="1" t="s">
        <v>4471</v>
      </c>
      <c r="AG429" s="1" t="s">
        <v>4472</v>
      </c>
      <c r="AH429" s="1" t="s">
        <v>4473</v>
      </c>
      <c r="AI429" s="1" t="str">
        <f>_xlfn.TEXTAFTER(_xlfn.TEXTBEFORE(batch_summary[[#This Row],[video]],"_",1),"-",3)</f>
        <v>16</v>
      </c>
      <c r="AJ429" s="1" t="str">
        <f>_xlfn.TEXTBEFORE(_xlfn.TEXTAFTER(batch_summary[[#This Row],[video]],"_",1),"_",1)</f>
        <v>20260408</v>
      </c>
      <c r="AK429" s="1" t="str">
        <f>_xlfn.TEXTBEFORE(_xlfn.TEXTAFTER(batch_summary[[#This Row],[video]],"_",2),".",1)</f>
        <v>130000</v>
      </c>
    </row>
    <row r="430" spans="1:37" x14ac:dyDescent="0.2">
      <c r="A430" s="1" t="s">
        <v>4474</v>
      </c>
      <c r="B430" s="1" t="s">
        <v>4475</v>
      </c>
      <c r="C430">
        <v>119.95833333333333</v>
      </c>
      <c r="D430">
        <v>2879</v>
      </c>
      <c r="E430">
        <v>0.39853640552610159</v>
      </c>
      <c r="F430">
        <v>38.487357702106237</v>
      </c>
      <c r="G430">
        <v>1.3842876190555805E-4</v>
      </c>
      <c r="H430">
        <v>1.3368307642273789E-2</v>
      </c>
      <c r="I430">
        <v>5</v>
      </c>
      <c r="J430" t="b">
        <v>1</v>
      </c>
      <c r="K430">
        <v>0.65</v>
      </c>
      <c r="L430">
        <v>1.3</v>
      </c>
      <c r="M430" t="b">
        <v>1</v>
      </c>
      <c r="N430">
        <v>200</v>
      </c>
      <c r="O430" t="b">
        <v>0</v>
      </c>
      <c r="P430" t="b">
        <v>0</v>
      </c>
      <c r="Q430">
        <v>0.7</v>
      </c>
      <c r="R430">
        <v>10243342.939036667</v>
      </c>
      <c r="S430">
        <v>11139516.512590528</v>
      </c>
      <c r="T430">
        <v>9248691.4597949982</v>
      </c>
      <c r="U430">
        <v>10107281.673640311</v>
      </c>
      <c r="V430">
        <v>21382859.451627195</v>
      </c>
      <c r="W430">
        <v>19355973.133435309</v>
      </c>
      <c r="X430">
        <v>178252.38862071992</v>
      </c>
      <c r="Y430">
        <v>161355.80243224988</v>
      </c>
      <c r="Z430">
        <v>8225.2615105628975</v>
      </c>
      <c r="AA430">
        <v>4838.9932833588273</v>
      </c>
      <c r="AB430">
        <v>92486.914597949988</v>
      </c>
      <c r="AC430">
        <v>101072.81673640311</v>
      </c>
      <c r="AD430">
        <v>193559.7313343531</v>
      </c>
      <c r="AE430">
        <v>1.104716322151257</v>
      </c>
      <c r="AF430" s="1" t="s">
        <v>4476</v>
      </c>
      <c r="AG430" s="1" t="s">
        <v>4477</v>
      </c>
      <c r="AH430" s="1" t="s">
        <v>4478</v>
      </c>
      <c r="AI430" s="1" t="str">
        <f>_xlfn.TEXTAFTER(_xlfn.TEXTBEFORE(batch_summary[[#This Row],[video]],"_",1),"-",3)</f>
        <v>16</v>
      </c>
      <c r="AJ430" s="1" t="str">
        <f>_xlfn.TEXTBEFORE(_xlfn.TEXTAFTER(batch_summary[[#This Row],[video]],"_",1),"_",1)</f>
        <v>20260408</v>
      </c>
      <c r="AK430" s="1" t="str">
        <f>_xlfn.TEXTBEFORE(_xlfn.TEXTAFTER(batch_summary[[#This Row],[video]],"_",2),".",1)</f>
        <v>140000</v>
      </c>
    </row>
    <row r="431" spans="1:37" x14ac:dyDescent="0.2">
      <c r="A431" s="1" t="s">
        <v>4479</v>
      </c>
      <c r="B431" s="1" t="s">
        <v>4480</v>
      </c>
      <c r="C431">
        <v>119.95833333333333</v>
      </c>
      <c r="D431">
        <v>2879</v>
      </c>
      <c r="E431">
        <v>0.38673428073525429</v>
      </c>
      <c r="F431">
        <v>37.252349626272917</v>
      </c>
      <c r="G431">
        <v>1.343293785117243E-4</v>
      </c>
      <c r="H431">
        <v>1.29393364453883E-2</v>
      </c>
      <c r="I431">
        <v>5</v>
      </c>
      <c r="J431" t="b">
        <v>1</v>
      </c>
      <c r="K431">
        <v>0.65</v>
      </c>
      <c r="L431">
        <v>1.3</v>
      </c>
      <c r="M431" t="b">
        <v>1</v>
      </c>
      <c r="N431">
        <v>200</v>
      </c>
      <c r="O431" t="b">
        <v>0</v>
      </c>
      <c r="P431" t="b">
        <v>0</v>
      </c>
      <c r="Q431">
        <v>0.7</v>
      </c>
      <c r="R431">
        <v>388829.24309200048</v>
      </c>
      <c r="S431">
        <v>434914.24161535501</v>
      </c>
      <c r="T431">
        <v>162321.77348768711</v>
      </c>
      <c r="U431">
        <v>192449.53280705214</v>
      </c>
      <c r="V431">
        <v>823743.4847073555</v>
      </c>
      <c r="W431">
        <v>354771.30629473925</v>
      </c>
      <c r="X431">
        <v>6866.9133841530156</v>
      </c>
      <c r="Y431">
        <v>2957.4544463611469</v>
      </c>
      <c r="Z431">
        <v>258.60769779205322</v>
      </c>
      <c r="AA431">
        <v>88.692826573684812</v>
      </c>
      <c r="AB431">
        <v>1623.2177348768712</v>
      </c>
      <c r="AC431">
        <v>1924.4953280705213</v>
      </c>
      <c r="AD431">
        <v>3547.7130629473922</v>
      </c>
      <c r="AE431">
        <v>2.321899967927509</v>
      </c>
      <c r="AF431" s="1" t="s">
        <v>4481</v>
      </c>
      <c r="AG431" s="1" t="s">
        <v>4482</v>
      </c>
      <c r="AH431" s="1" t="s">
        <v>4483</v>
      </c>
      <c r="AI431" s="1" t="str">
        <f>_xlfn.TEXTAFTER(_xlfn.TEXTBEFORE(batch_summary[[#This Row],[video]],"_",1),"-",3)</f>
        <v>16</v>
      </c>
      <c r="AJ431" s="1" t="str">
        <f>_xlfn.TEXTBEFORE(_xlfn.TEXTAFTER(batch_summary[[#This Row],[video]],"_",1),"_",1)</f>
        <v>20260408</v>
      </c>
      <c r="AK431" s="1" t="str">
        <f>_xlfn.TEXTBEFORE(_xlfn.TEXTAFTER(batch_summary[[#This Row],[video]],"_",2),".",1)</f>
        <v>150000</v>
      </c>
    </row>
    <row r="432" spans="1:37" x14ac:dyDescent="0.2">
      <c r="A432" s="1" t="s">
        <v>4484</v>
      </c>
      <c r="B432" s="1" t="s">
        <v>4485</v>
      </c>
      <c r="C432">
        <v>119.95833333333333</v>
      </c>
      <c r="D432">
        <v>2879</v>
      </c>
      <c r="E432">
        <v>0.41340892110019922</v>
      </c>
      <c r="F432">
        <v>39.384170491248369</v>
      </c>
      <c r="G432">
        <v>1.4359462351517862E-4</v>
      </c>
      <c r="H432">
        <v>1.3679809132076544E-2</v>
      </c>
      <c r="I432">
        <v>5</v>
      </c>
      <c r="J432" t="b">
        <v>1</v>
      </c>
      <c r="K432">
        <v>0.65</v>
      </c>
      <c r="L432">
        <v>1.3</v>
      </c>
      <c r="M432" t="b">
        <v>1</v>
      </c>
      <c r="N432">
        <v>200</v>
      </c>
      <c r="O432" t="b">
        <v>0</v>
      </c>
      <c r="P432" t="b">
        <v>0</v>
      </c>
      <c r="Q432">
        <v>0.7</v>
      </c>
      <c r="R432">
        <v>6239345.8672775626</v>
      </c>
      <c r="S432">
        <v>6093960.5985571742</v>
      </c>
      <c r="T432">
        <v>5576265.1711728573</v>
      </c>
      <c r="U432">
        <v>5428002.8928788304</v>
      </c>
      <c r="V432">
        <v>12333306.465834737</v>
      </c>
      <c r="W432">
        <v>11004268.064051688</v>
      </c>
      <c r="X432">
        <v>102813.25292811175</v>
      </c>
      <c r="Y432">
        <v>91734.085980285003</v>
      </c>
      <c r="Z432">
        <v>4759.0651295089719</v>
      </c>
      <c r="AA432">
        <v>2751.0670160129221</v>
      </c>
      <c r="AB432">
        <v>55762.651711728569</v>
      </c>
      <c r="AC432">
        <v>54280.028928788306</v>
      </c>
      <c r="AD432">
        <v>110042.68064051688</v>
      </c>
      <c r="AE432">
        <v>1.1207748115592258</v>
      </c>
      <c r="AF432" s="1" t="s">
        <v>4486</v>
      </c>
      <c r="AG432" s="1" t="s">
        <v>4487</v>
      </c>
      <c r="AH432" s="1" t="s">
        <v>4488</v>
      </c>
      <c r="AI432" s="1" t="str">
        <f>_xlfn.TEXTAFTER(_xlfn.TEXTBEFORE(batch_summary[[#This Row],[video]],"_",1),"-",3)</f>
        <v>16</v>
      </c>
      <c r="AJ432" s="1" t="str">
        <f>_xlfn.TEXTBEFORE(_xlfn.TEXTAFTER(batch_summary[[#This Row],[video]],"_",1),"_",1)</f>
        <v>20260408</v>
      </c>
      <c r="AK432" s="1" t="str">
        <f>_xlfn.TEXTBEFORE(_xlfn.TEXTAFTER(batch_summary[[#This Row],[video]],"_",2),".",1)</f>
        <v>160000</v>
      </c>
    </row>
    <row r="433" spans="1:37" x14ac:dyDescent="0.2">
      <c r="A433" s="1" t="s">
        <v>4489</v>
      </c>
      <c r="B433" s="1" t="s">
        <v>4490</v>
      </c>
      <c r="C433">
        <v>119.95833333333333</v>
      </c>
      <c r="D433">
        <v>2879</v>
      </c>
      <c r="E433">
        <v>0.40832092799246311</v>
      </c>
      <c r="F433">
        <v>38.871601918712258</v>
      </c>
      <c r="G433">
        <v>1.4182734560349536E-4</v>
      </c>
      <c r="H433">
        <v>1.350177211487053E-2</v>
      </c>
      <c r="I433">
        <v>5</v>
      </c>
      <c r="J433" t="b">
        <v>1</v>
      </c>
      <c r="K433">
        <v>0.65</v>
      </c>
      <c r="L433">
        <v>1.3</v>
      </c>
      <c r="M433" t="b">
        <v>1</v>
      </c>
      <c r="N433">
        <v>200</v>
      </c>
      <c r="O433" t="b">
        <v>0</v>
      </c>
      <c r="P433" t="b">
        <v>0</v>
      </c>
      <c r="Q433">
        <v>0.7</v>
      </c>
      <c r="R433">
        <v>5880954.0989642143</v>
      </c>
      <c r="S433">
        <v>5027597.658960104</v>
      </c>
      <c r="T433">
        <v>5333988.2888149023</v>
      </c>
      <c r="U433">
        <v>4522291.3821837306</v>
      </c>
      <c r="V433">
        <v>10908551.757924318</v>
      </c>
      <c r="W433">
        <v>9856279.6709986329</v>
      </c>
      <c r="X433">
        <v>90936.173042786962</v>
      </c>
      <c r="Y433">
        <v>82164.193158724273</v>
      </c>
      <c r="Z433">
        <v>6052.3062948226925</v>
      </c>
      <c r="AA433">
        <v>2464.0699177496581</v>
      </c>
      <c r="AB433">
        <v>53339.882888149026</v>
      </c>
      <c r="AC433">
        <v>45222.913821837305</v>
      </c>
      <c r="AD433">
        <v>98562.796709986331</v>
      </c>
      <c r="AE433">
        <v>1.1067615897732608</v>
      </c>
      <c r="AF433" s="1" t="s">
        <v>4491</v>
      </c>
      <c r="AG433" s="1" t="s">
        <v>4492</v>
      </c>
      <c r="AH433" s="1" t="s">
        <v>4493</v>
      </c>
      <c r="AI433" s="1" t="str">
        <f>_xlfn.TEXTAFTER(_xlfn.TEXTBEFORE(batch_summary[[#This Row],[video]],"_",1),"-",3)</f>
        <v>16</v>
      </c>
      <c r="AJ433" s="1" t="str">
        <f>_xlfn.TEXTBEFORE(_xlfn.TEXTAFTER(batch_summary[[#This Row],[video]],"_",1),"_",1)</f>
        <v>20260408</v>
      </c>
      <c r="AK433" s="1" t="str">
        <f>_xlfn.TEXTBEFORE(_xlfn.TEXTAFTER(batch_summary[[#This Row],[video]],"_",2),".",1)</f>
        <v>170000</v>
      </c>
    </row>
    <row r="434" spans="1:37" x14ac:dyDescent="0.2">
      <c r="A434" s="1" t="s">
        <v>4494</v>
      </c>
      <c r="B434" s="1" t="s">
        <v>4495</v>
      </c>
      <c r="C434">
        <v>119.95833333333333</v>
      </c>
      <c r="D434">
        <v>2879</v>
      </c>
      <c r="E434">
        <v>0.4023661520332098</v>
      </c>
      <c r="F434">
        <v>38.44795950781554</v>
      </c>
      <c r="G434">
        <v>1.3975899688544973E-4</v>
      </c>
      <c r="H434">
        <v>1.3354622962075562E-2</v>
      </c>
      <c r="I434">
        <v>5</v>
      </c>
      <c r="J434" t="b">
        <v>1</v>
      </c>
      <c r="K434">
        <v>0.65</v>
      </c>
      <c r="L434">
        <v>1.3</v>
      </c>
      <c r="M434" t="b">
        <v>1</v>
      </c>
      <c r="N434">
        <v>200</v>
      </c>
      <c r="O434" t="b">
        <v>0</v>
      </c>
      <c r="P434" t="b">
        <v>0</v>
      </c>
      <c r="Q434">
        <v>0.7</v>
      </c>
      <c r="R434">
        <v>2600161.212572515</v>
      </c>
      <c r="S434">
        <v>2520348.7547343969</v>
      </c>
      <c r="T434">
        <v>2320804.6865452528</v>
      </c>
      <c r="U434">
        <v>2232417.5064879656</v>
      </c>
      <c r="V434">
        <v>5120509.9673069119</v>
      </c>
      <c r="W434">
        <v>4553222.1930332184</v>
      </c>
      <c r="X434">
        <v>42685.737830971135</v>
      </c>
      <c r="Y434">
        <v>37956.697684194944</v>
      </c>
      <c r="Z434">
        <v>2841.4200676417349</v>
      </c>
      <c r="AA434">
        <v>1138.3055482583045</v>
      </c>
      <c r="AB434">
        <v>23208.046865452528</v>
      </c>
      <c r="AC434">
        <v>22324.175064879655</v>
      </c>
      <c r="AD434">
        <v>45532.221930332184</v>
      </c>
      <c r="AE434">
        <v>1.1245903999900746</v>
      </c>
      <c r="AF434" s="1" t="s">
        <v>4496</v>
      </c>
      <c r="AG434" s="1" t="s">
        <v>4497</v>
      </c>
      <c r="AH434" s="1" t="s">
        <v>4498</v>
      </c>
      <c r="AI434" s="1" t="str">
        <f>_xlfn.TEXTAFTER(_xlfn.TEXTBEFORE(batch_summary[[#This Row],[video]],"_",1),"-",3)</f>
        <v>16</v>
      </c>
      <c r="AJ434" s="1" t="str">
        <f>_xlfn.TEXTBEFORE(_xlfn.TEXTAFTER(batch_summary[[#This Row],[video]],"_",1),"_",1)</f>
        <v>20260408</v>
      </c>
      <c r="AK434" s="1" t="str">
        <f>_xlfn.TEXTBEFORE(_xlfn.TEXTAFTER(batch_summary[[#This Row],[video]],"_",2),".",1)</f>
        <v>180000</v>
      </c>
    </row>
    <row r="435" spans="1:37" x14ac:dyDescent="0.2">
      <c r="A435" s="1" t="s">
        <v>4499</v>
      </c>
      <c r="B435" s="1" t="s">
        <v>4500</v>
      </c>
      <c r="C435">
        <v>119.95833333333333</v>
      </c>
      <c r="D435">
        <v>2879</v>
      </c>
      <c r="E435">
        <v>0.38359538931399584</v>
      </c>
      <c r="F435">
        <v>37.418150613084435</v>
      </c>
      <c r="G435">
        <v>1.3323910709065503E-4</v>
      </c>
      <c r="H435">
        <v>1.2996926228928252E-2</v>
      </c>
      <c r="I435">
        <v>5</v>
      </c>
      <c r="J435" t="b">
        <v>1</v>
      </c>
      <c r="K435">
        <v>0.65</v>
      </c>
      <c r="L435">
        <v>1.3</v>
      </c>
      <c r="M435" t="b">
        <v>1</v>
      </c>
      <c r="N435">
        <v>200</v>
      </c>
      <c r="O435" t="b">
        <v>0</v>
      </c>
      <c r="P435" t="b">
        <v>0</v>
      </c>
      <c r="Q435">
        <v>0.7</v>
      </c>
      <c r="R435">
        <v>136033.17672806978</v>
      </c>
      <c r="S435">
        <v>139890.55064684153</v>
      </c>
      <c r="T435">
        <v>29572.365913152695</v>
      </c>
      <c r="U435">
        <v>30814.159698486328</v>
      </c>
      <c r="V435">
        <v>275923.72737491131</v>
      </c>
      <c r="W435">
        <v>60386.525611639023</v>
      </c>
      <c r="X435">
        <v>2300.1630625209696</v>
      </c>
      <c r="Y435">
        <v>503.39583698483381</v>
      </c>
      <c r="Z435">
        <v>220.16057556152344</v>
      </c>
      <c r="AA435">
        <v>15.096631402909756</v>
      </c>
      <c r="AB435">
        <v>295.72365913152697</v>
      </c>
      <c r="AC435">
        <v>308.14159698486327</v>
      </c>
      <c r="AD435">
        <v>603.86525611639024</v>
      </c>
      <c r="AE435">
        <v>4.5692929768711386</v>
      </c>
      <c r="AF435" s="1" t="s">
        <v>4501</v>
      </c>
      <c r="AG435" s="1" t="s">
        <v>4502</v>
      </c>
      <c r="AH435" s="1" t="s">
        <v>4503</v>
      </c>
      <c r="AI435" s="1" t="str">
        <f>_xlfn.TEXTAFTER(_xlfn.TEXTBEFORE(batch_summary[[#This Row],[video]],"_",1),"-",3)</f>
        <v>16</v>
      </c>
      <c r="AJ435" s="1" t="str">
        <f>_xlfn.TEXTBEFORE(_xlfn.TEXTAFTER(batch_summary[[#This Row],[video]],"_",1),"_",1)</f>
        <v>20260408</v>
      </c>
      <c r="AK435" s="1" t="str">
        <f>_xlfn.TEXTBEFORE(_xlfn.TEXTAFTER(batch_summary[[#This Row],[video]],"_",2),".",1)</f>
        <v>190000</v>
      </c>
    </row>
    <row r="436" spans="1:37" x14ac:dyDescent="0.2">
      <c r="A436" s="1" t="s">
        <v>4504</v>
      </c>
      <c r="B436" s="1" t="s">
        <v>4505</v>
      </c>
      <c r="C436">
        <v>119.95833333333333</v>
      </c>
      <c r="D436">
        <v>2879</v>
      </c>
      <c r="E436">
        <v>0.37628684006631374</v>
      </c>
      <c r="F436">
        <v>37.218201535753906</v>
      </c>
      <c r="G436">
        <v>1.3070053493098775E-4</v>
      </c>
      <c r="H436">
        <v>1.2927475351078119E-2</v>
      </c>
      <c r="I436">
        <v>5</v>
      </c>
      <c r="J436" t="b">
        <v>1</v>
      </c>
      <c r="K436">
        <v>0.65</v>
      </c>
      <c r="L436">
        <v>1.3</v>
      </c>
      <c r="M436" t="b">
        <v>1</v>
      </c>
      <c r="N436">
        <v>200</v>
      </c>
      <c r="O436" t="b">
        <v>0</v>
      </c>
      <c r="P436" t="b">
        <v>0</v>
      </c>
      <c r="Q436">
        <v>0.7</v>
      </c>
      <c r="R436">
        <v>72692.577250659466</v>
      </c>
      <c r="S436">
        <v>64729.564228236675</v>
      </c>
      <c r="T436">
        <v>10738.105682373047</v>
      </c>
      <c r="U436">
        <v>5102.1985280513763</v>
      </c>
      <c r="V436">
        <v>137422.14147889614</v>
      </c>
      <c r="W436">
        <v>15840.304210424423</v>
      </c>
      <c r="X436">
        <v>1145.5822839505063</v>
      </c>
      <c r="Y436">
        <v>132.04838522062735</v>
      </c>
      <c r="Z436">
        <v>123.27483012914658</v>
      </c>
      <c r="AA436">
        <v>3.9600760526061065</v>
      </c>
      <c r="AB436">
        <v>107.38105682373048</v>
      </c>
      <c r="AC436">
        <v>51.021985280513761</v>
      </c>
      <c r="AD436">
        <v>158.40304210424424</v>
      </c>
      <c r="AE436">
        <v>8.6754736306427329</v>
      </c>
      <c r="AF436" s="1" t="s">
        <v>4506</v>
      </c>
      <c r="AG436" s="1" t="s">
        <v>4507</v>
      </c>
      <c r="AH436" s="1" t="s">
        <v>4508</v>
      </c>
      <c r="AI436" s="1" t="str">
        <f>_xlfn.TEXTAFTER(_xlfn.TEXTBEFORE(batch_summary[[#This Row],[video]],"_",1),"-",3)</f>
        <v>16</v>
      </c>
      <c r="AJ436" s="1" t="str">
        <f>_xlfn.TEXTBEFORE(_xlfn.TEXTAFTER(batch_summary[[#This Row],[video]],"_",1),"_",1)</f>
        <v>20260409</v>
      </c>
      <c r="AK436" s="1" t="str">
        <f>_xlfn.TEXTBEFORE(_xlfn.TEXTAFTER(batch_summary[[#This Row],[video]],"_",2),".",1)</f>
        <v>060000</v>
      </c>
    </row>
    <row r="437" spans="1:37" x14ac:dyDescent="0.2">
      <c r="A437" s="1" t="s">
        <v>4509</v>
      </c>
      <c r="B437" s="1" t="s">
        <v>4510</v>
      </c>
      <c r="C437">
        <v>119.95833333333333</v>
      </c>
      <c r="D437">
        <v>2879</v>
      </c>
      <c r="E437">
        <v>0.38149926718324423</v>
      </c>
      <c r="F437">
        <v>37.036164483986795</v>
      </c>
      <c r="G437">
        <v>1.3251103410324565E-4</v>
      </c>
      <c r="H437">
        <v>1.286424608683112E-2</v>
      </c>
      <c r="I437">
        <v>5</v>
      </c>
      <c r="J437" t="b">
        <v>1</v>
      </c>
      <c r="K437">
        <v>0.65</v>
      </c>
      <c r="L437">
        <v>1.3</v>
      </c>
      <c r="M437" t="b">
        <v>1</v>
      </c>
      <c r="N437">
        <v>200</v>
      </c>
      <c r="O437" t="b">
        <v>0</v>
      </c>
      <c r="P437" t="b">
        <v>0</v>
      </c>
      <c r="Q437">
        <v>0.7</v>
      </c>
      <c r="R437">
        <v>1452.9102131128311</v>
      </c>
      <c r="S437">
        <v>1317.2552765011787</v>
      </c>
      <c r="T437">
        <v>0</v>
      </c>
      <c r="U437">
        <v>0</v>
      </c>
      <c r="V437">
        <v>2770.1654896140099</v>
      </c>
      <c r="W437">
        <v>0</v>
      </c>
      <c r="X437">
        <v>23.09273072272881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2770165489.6140099</v>
      </c>
      <c r="AF437" s="1" t="s">
        <v>4511</v>
      </c>
      <c r="AG437" s="1" t="s">
        <v>4512</v>
      </c>
      <c r="AH437" s="1" t="s">
        <v>4513</v>
      </c>
      <c r="AI437" s="1" t="str">
        <f>_xlfn.TEXTAFTER(_xlfn.TEXTBEFORE(batch_summary[[#This Row],[video]],"_",1),"-",3)</f>
        <v>16</v>
      </c>
      <c r="AJ437" s="1" t="str">
        <f>_xlfn.TEXTBEFORE(_xlfn.TEXTAFTER(batch_summary[[#This Row],[video]],"_",1),"_",1)</f>
        <v>20260409</v>
      </c>
      <c r="AK437" s="1" t="str">
        <f>_xlfn.TEXTBEFORE(_xlfn.TEXTAFTER(batch_summary[[#This Row],[video]],"_",2),".",1)</f>
        <v>070000</v>
      </c>
    </row>
    <row r="438" spans="1:37" x14ac:dyDescent="0.2">
      <c r="A438" s="1" t="s">
        <v>4514</v>
      </c>
      <c r="B438" s="1" t="s">
        <v>4515</v>
      </c>
      <c r="C438">
        <v>119.95833333333333</v>
      </c>
      <c r="D438">
        <v>2879</v>
      </c>
      <c r="E438">
        <v>0.34565198700875044</v>
      </c>
      <c r="F438">
        <v>37.839882174506783</v>
      </c>
      <c r="G438">
        <v>1.2005973845389039E-4</v>
      </c>
      <c r="H438">
        <v>1.3143411661864115E-2</v>
      </c>
      <c r="I438">
        <v>5</v>
      </c>
      <c r="J438" t="b">
        <v>1</v>
      </c>
      <c r="K438">
        <v>0.65</v>
      </c>
      <c r="L438">
        <v>1.3</v>
      </c>
      <c r="M438" t="b">
        <v>1</v>
      </c>
      <c r="N438">
        <v>200</v>
      </c>
      <c r="O438" t="b">
        <v>0</v>
      </c>
      <c r="P438" t="b">
        <v>0</v>
      </c>
      <c r="Q438">
        <v>0.7</v>
      </c>
      <c r="R438">
        <v>237.59489178657532</v>
      </c>
      <c r="S438">
        <v>117.76046621799469</v>
      </c>
      <c r="T438">
        <v>0</v>
      </c>
      <c r="U438">
        <v>0</v>
      </c>
      <c r="V438">
        <v>355.35535800457001</v>
      </c>
      <c r="W438">
        <v>0</v>
      </c>
      <c r="X438">
        <v>2.9623232344945052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355355358.00457001</v>
      </c>
      <c r="AF438" s="1" t="s">
        <v>4516</v>
      </c>
      <c r="AG438" s="1" t="s">
        <v>4517</v>
      </c>
      <c r="AH438" s="1" t="s">
        <v>4518</v>
      </c>
      <c r="AI438" s="1" t="str">
        <f>_xlfn.TEXTAFTER(_xlfn.TEXTBEFORE(batch_summary[[#This Row],[video]],"_",1),"-",3)</f>
        <v>16</v>
      </c>
      <c r="AJ438" s="1" t="str">
        <f>_xlfn.TEXTBEFORE(_xlfn.TEXTAFTER(batch_summary[[#This Row],[video]],"_",1),"_",1)</f>
        <v>20260409</v>
      </c>
      <c r="AK438" s="1" t="str">
        <f>_xlfn.TEXTBEFORE(_xlfn.TEXTAFTER(batch_summary[[#This Row],[video]],"_",2),".",1)</f>
        <v>080000</v>
      </c>
    </row>
    <row r="439" spans="1:37" x14ac:dyDescent="0.2">
      <c r="A439" s="1" t="s">
        <v>4519</v>
      </c>
      <c r="B439" s="1" t="s">
        <v>4520</v>
      </c>
      <c r="C439">
        <v>119.95833333333333</v>
      </c>
      <c r="D439">
        <v>2879</v>
      </c>
      <c r="E439">
        <v>0.34958959650248289</v>
      </c>
      <c r="F439">
        <v>38.162100947462022</v>
      </c>
      <c r="G439">
        <v>1.214274388685248E-4</v>
      </c>
      <c r="H439">
        <v>1.3255332041494277E-2</v>
      </c>
      <c r="I439">
        <v>5</v>
      </c>
      <c r="J439" t="b">
        <v>1</v>
      </c>
      <c r="K439">
        <v>0.65</v>
      </c>
      <c r="L439">
        <v>1.3</v>
      </c>
      <c r="M439" t="b">
        <v>1</v>
      </c>
      <c r="N439">
        <v>200</v>
      </c>
      <c r="O439" t="b">
        <v>0</v>
      </c>
      <c r="P439" t="b">
        <v>0</v>
      </c>
      <c r="Q439">
        <v>0.7</v>
      </c>
      <c r="R439">
        <v>425127.19068855047</v>
      </c>
      <c r="S439">
        <v>401634.05976122618</v>
      </c>
      <c r="T439">
        <v>336661.79580330849</v>
      </c>
      <c r="U439">
        <v>318765.47284257412</v>
      </c>
      <c r="V439">
        <v>826761.25044977665</v>
      </c>
      <c r="W439">
        <v>655427.26864588261</v>
      </c>
      <c r="X439">
        <v>6892.0701670005701</v>
      </c>
      <c r="Y439">
        <v>5463.7910550542492</v>
      </c>
      <c r="Z439">
        <v>1013.442180864811</v>
      </c>
      <c r="AA439">
        <v>163.85681716147064</v>
      </c>
      <c r="AB439">
        <v>3366.617958033085</v>
      </c>
      <c r="AC439">
        <v>3187.6547284257413</v>
      </c>
      <c r="AD439">
        <v>6554.2726864588258</v>
      </c>
      <c r="AE439">
        <v>1.2614080768379858</v>
      </c>
      <c r="AF439" s="1" t="s">
        <v>4521</v>
      </c>
      <c r="AG439" s="1" t="s">
        <v>4522</v>
      </c>
      <c r="AH439" s="1" t="s">
        <v>4523</v>
      </c>
      <c r="AI439" s="1" t="str">
        <f>_xlfn.TEXTAFTER(_xlfn.TEXTBEFORE(batch_summary[[#This Row],[video]],"_",1),"-",3)</f>
        <v>16</v>
      </c>
      <c r="AJ439" s="1" t="str">
        <f>_xlfn.TEXTBEFORE(_xlfn.TEXTAFTER(batch_summary[[#This Row],[video]],"_",1),"_",1)</f>
        <v>20260409</v>
      </c>
      <c r="AK439" s="1" t="str">
        <f>_xlfn.TEXTBEFORE(_xlfn.TEXTAFTER(batch_summary[[#This Row],[video]],"_",2),".",1)</f>
        <v>090000</v>
      </c>
    </row>
    <row r="440" spans="1:37" x14ac:dyDescent="0.2">
      <c r="A440" s="1" t="s">
        <v>4524</v>
      </c>
      <c r="B440" s="1" t="s">
        <v>4525</v>
      </c>
      <c r="C440">
        <v>119.95833333333333</v>
      </c>
      <c r="D440">
        <v>2879</v>
      </c>
      <c r="E440">
        <v>0.38664392475038767</v>
      </c>
      <c r="F440">
        <v>37.315671884454787</v>
      </c>
      <c r="G440">
        <v>1.3429799400847088E-4</v>
      </c>
      <c r="H440">
        <v>1.2961330977580683E-2</v>
      </c>
      <c r="I440">
        <v>5</v>
      </c>
      <c r="J440" t="b">
        <v>1</v>
      </c>
      <c r="K440">
        <v>0.65</v>
      </c>
      <c r="L440">
        <v>1.3</v>
      </c>
      <c r="M440" t="b">
        <v>1</v>
      </c>
      <c r="N440">
        <v>200</v>
      </c>
      <c r="O440" t="b">
        <v>0</v>
      </c>
      <c r="P440" t="b">
        <v>0</v>
      </c>
      <c r="Q440">
        <v>0.7</v>
      </c>
      <c r="R440">
        <v>407012.9972448945</v>
      </c>
      <c r="S440">
        <v>479710.68153345585</v>
      </c>
      <c r="T440">
        <v>325082.10945427418</v>
      </c>
      <c r="U440">
        <v>364197.9805535078</v>
      </c>
      <c r="V440">
        <v>886723.67877835035</v>
      </c>
      <c r="W440">
        <v>689280.09000778198</v>
      </c>
      <c r="X440">
        <v>7391.930632400281</v>
      </c>
      <c r="Y440">
        <v>5745.9958875257962</v>
      </c>
      <c r="Z440">
        <v>1625.507466659546</v>
      </c>
      <c r="AA440">
        <v>172.32002250194552</v>
      </c>
      <c r="AB440">
        <v>3250.8210945427418</v>
      </c>
      <c r="AC440">
        <v>3641.979805535078</v>
      </c>
      <c r="AD440">
        <v>6892.8009000778202</v>
      </c>
      <c r="AE440">
        <v>1.2864489945855526</v>
      </c>
      <c r="AF440" s="1" t="s">
        <v>4526</v>
      </c>
      <c r="AG440" s="1" t="s">
        <v>4527</v>
      </c>
      <c r="AH440" s="1" t="s">
        <v>4528</v>
      </c>
      <c r="AI440" s="1" t="str">
        <f>_xlfn.TEXTAFTER(_xlfn.TEXTBEFORE(batch_summary[[#This Row],[video]],"_",1),"-",3)</f>
        <v>16</v>
      </c>
      <c r="AJ440" s="1" t="str">
        <f>_xlfn.TEXTBEFORE(_xlfn.TEXTAFTER(batch_summary[[#This Row],[video]],"_",1),"_",1)</f>
        <v>20260409</v>
      </c>
      <c r="AK440" s="1" t="str">
        <f>_xlfn.TEXTBEFORE(_xlfn.TEXTAFTER(batch_summary[[#This Row],[video]],"_",2),".",1)</f>
        <v>100000</v>
      </c>
    </row>
    <row r="441" spans="1:37" x14ac:dyDescent="0.2">
      <c r="A441" s="1" t="s">
        <v>4529</v>
      </c>
      <c r="B441" s="1" t="s">
        <v>4530</v>
      </c>
      <c r="C441">
        <v>119.95833333333333</v>
      </c>
      <c r="D441">
        <v>2879</v>
      </c>
      <c r="E441">
        <v>0.39140775706619024</v>
      </c>
      <c r="F441">
        <v>37.473306819796562</v>
      </c>
      <c r="G441">
        <v>1.3595267699416125E-4</v>
      </c>
      <c r="H441">
        <v>1.301608434171468E-2</v>
      </c>
      <c r="I441">
        <v>5</v>
      </c>
      <c r="J441" t="b">
        <v>1</v>
      </c>
      <c r="K441">
        <v>0.65</v>
      </c>
      <c r="L441">
        <v>1.3</v>
      </c>
      <c r="M441" t="b">
        <v>1</v>
      </c>
      <c r="N441">
        <v>200</v>
      </c>
      <c r="O441" t="b">
        <v>0</v>
      </c>
      <c r="P441" t="b">
        <v>0</v>
      </c>
      <c r="Q441">
        <v>0.7</v>
      </c>
      <c r="R441">
        <v>1415206.8931958675</v>
      </c>
      <c r="S441">
        <v>1366654.290078938</v>
      </c>
      <c r="T441">
        <v>1228279.561291635</v>
      </c>
      <c r="U441">
        <v>1187737.9617941976</v>
      </c>
      <c r="V441">
        <v>2781861.1832748055</v>
      </c>
      <c r="W441">
        <v>2416017.5230858326</v>
      </c>
      <c r="X441">
        <v>23190.228690029642</v>
      </c>
      <c r="Y441">
        <v>20140.472578693985</v>
      </c>
      <c r="Z441">
        <v>1991.6650247192383</v>
      </c>
      <c r="AA441">
        <v>604.00438077145805</v>
      </c>
      <c r="AB441">
        <v>12282.79561291635</v>
      </c>
      <c r="AC441">
        <v>11877.379617941975</v>
      </c>
      <c r="AD441">
        <v>24160.175230858324</v>
      </c>
      <c r="AE441">
        <v>1.1514242577685045</v>
      </c>
      <c r="AF441" s="1" t="s">
        <v>4531</v>
      </c>
      <c r="AG441" s="1" t="s">
        <v>4532</v>
      </c>
      <c r="AH441" s="1" t="s">
        <v>4533</v>
      </c>
      <c r="AI441" s="1" t="str">
        <f>_xlfn.TEXTAFTER(_xlfn.TEXTBEFORE(batch_summary[[#This Row],[video]],"_",1),"-",3)</f>
        <v>16</v>
      </c>
      <c r="AJ441" s="1" t="str">
        <f>_xlfn.TEXTBEFORE(_xlfn.TEXTAFTER(batch_summary[[#This Row],[video]],"_",1),"_",1)</f>
        <v>20260409</v>
      </c>
      <c r="AK441" s="1" t="str">
        <f>_xlfn.TEXTBEFORE(_xlfn.TEXTAFTER(batch_summary[[#This Row],[video]],"_",2),".",1)</f>
        <v>110000</v>
      </c>
    </row>
    <row r="442" spans="1:37" x14ac:dyDescent="0.2">
      <c r="A442" s="1" t="s">
        <v>4534</v>
      </c>
      <c r="B442" s="1" t="s">
        <v>4535</v>
      </c>
      <c r="C442">
        <v>119.95833333333333</v>
      </c>
      <c r="D442">
        <v>2879</v>
      </c>
      <c r="E442">
        <v>0.40101906005293131</v>
      </c>
      <c r="F442">
        <v>38.176910718902946</v>
      </c>
      <c r="G442">
        <v>1.3929109414829153E-4</v>
      </c>
      <c r="H442">
        <v>1.326047610937928E-2</v>
      </c>
      <c r="I442">
        <v>5</v>
      </c>
      <c r="J442" t="b">
        <v>1</v>
      </c>
      <c r="K442">
        <v>0.65</v>
      </c>
      <c r="L442">
        <v>1.3</v>
      </c>
      <c r="M442" t="b">
        <v>1</v>
      </c>
      <c r="N442">
        <v>200</v>
      </c>
      <c r="O442" t="b">
        <v>0</v>
      </c>
      <c r="P442" t="b">
        <v>0</v>
      </c>
      <c r="Q442">
        <v>0.7</v>
      </c>
      <c r="R442">
        <v>1167188.608571887</v>
      </c>
      <c r="S442">
        <v>907664.57092839479</v>
      </c>
      <c r="T442">
        <v>1021856.750351727</v>
      </c>
      <c r="U442">
        <v>774031.25325411558</v>
      </c>
      <c r="V442">
        <v>2074853.1795002818</v>
      </c>
      <c r="W442">
        <v>1795888.0036058426</v>
      </c>
      <c r="X442">
        <v>17296.448873916903</v>
      </c>
      <c r="Y442">
        <v>14970.931603522135</v>
      </c>
      <c r="Z442">
        <v>2012.5526348876954</v>
      </c>
      <c r="AA442">
        <v>448.97200090146072</v>
      </c>
      <c r="AB442">
        <v>10218.56750351727</v>
      </c>
      <c r="AC442">
        <v>7740.3125325411556</v>
      </c>
      <c r="AD442">
        <v>17958.880036058425</v>
      </c>
      <c r="AE442">
        <v>1.1553355083024799</v>
      </c>
      <c r="AF442" s="1" t="s">
        <v>4536</v>
      </c>
      <c r="AG442" s="1" t="s">
        <v>4537</v>
      </c>
      <c r="AH442" s="1" t="s">
        <v>4538</v>
      </c>
      <c r="AI442" s="1" t="str">
        <f>_xlfn.TEXTAFTER(_xlfn.TEXTBEFORE(batch_summary[[#This Row],[video]],"_",1),"-",3)</f>
        <v>16</v>
      </c>
      <c r="AJ442" s="1" t="str">
        <f>_xlfn.TEXTBEFORE(_xlfn.TEXTAFTER(batch_summary[[#This Row],[video]],"_",1),"_",1)</f>
        <v>20260409</v>
      </c>
      <c r="AK442" s="1" t="str">
        <f>_xlfn.TEXTBEFORE(_xlfn.TEXTAFTER(batch_summary[[#This Row],[video]],"_",2),".",1)</f>
        <v>120000</v>
      </c>
    </row>
    <row r="443" spans="1:37" x14ac:dyDescent="0.2">
      <c r="A443" s="1" t="s">
        <v>4539</v>
      </c>
      <c r="B443" s="1" t="s">
        <v>4540</v>
      </c>
      <c r="C443">
        <v>119.95833333333333</v>
      </c>
      <c r="D443">
        <v>2879</v>
      </c>
      <c r="E443">
        <v>0.3851993391290307</v>
      </c>
      <c r="F443">
        <v>37.097803405486047</v>
      </c>
      <c r="G443">
        <v>1.3379622755436982E-4</v>
      </c>
      <c r="H443">
        <v>1.2885655924100747E-2</v>
      </c>
      <c r="I443">
        <v>5</v>
      </c>
      <c r="J443" t="b">
        <v>1</v>
      </c>
      <c r="K443">
        <v>0.65</v>
      </c>
      <c r="L443">
        <v>1.3</v>
      </c>
      <c r="M443" t="b">
        <v>1</v>
      </c>
      <c r="N443">
        <v>200</v>
      </c>
      <c r="O443" t="b">
        <v>0</v>
      </c>
      <c r="P443" t="b">
        <v>0</v>
      </c>
      <c r="Q443">
        <v>0.7</v>
      </c>
      <c r="R443">
        <v>182272.03045451641</v>
      </c>
      <c r="S443">
        <v>258629.37979996204</v>
      </c>
      <c r="T443">
        <v>142942.19090652466</v>
      </c>
      <c r="U443">
        <v>203708.64432638884</v>
      </c>
      <c r="V443">
        <v>440901.41025447845</v>
      </c>
      <c r="W443">
        <v>346650.83523291349</v>
      </c>
      <c r="X443">
        <v>3675.4546183075663</v>
      </c>
      <c r="Y443">
        <v>2889.7603492844473</v>
      </c>
      <c r="Z443">
        <v>724.65966583251952</v>
      </c>
      <c r="AA443">
        <v>86.662708808228373</v>
      </c>
      <c r="AB443">
        <v>1429.4219090652466</v>
      </c>
      <c r="AC443">
        <v>2037.0864432638884</v>
      </c>
      <c r="AD443">
        <v>3466.5083523291351</v>
      </c>
      <c r="AE443">
        <v>1.2718890752368686</v>
      </c>
      <c r="AF443" s="1" t="s">
        <v>4541</v>
      </c>
      <c r="AG443" s="1" t="s">
        <v>4542</v>
      </c>
      <c r="AH443" s="1" t="s">
        <v>4543</v>
      </c>
      <c r="AI443" s="1" t="str">
        <f>_xlfn.TEXTAFTER(_xlfn.TEXTBEFORE(batch_summary[[#This Row],[video]],"_",1),"-",3)</f>
        <v>16</v>
      </c>
      <c r="AJ443" s="1" t="str">
        <f>_xlfn.TEXTBEFORE(_xlfn.TEXTAFTER(batch_summary[[#This Row],[video]],"_",1),"_",1)</f>
        <v>20260409</v>
      </c>
      <c r="AK443" s="1" t="str">
        <f>_xlfn.TEXTBEFORE(_xlfn.TEXTAFTER(batch_summary[[#This Row],[video]],"_",2),".",1)</f>
        <v>130000</v>
      </c>
    </row>
    <row r="444" spans="1:37" x14ac:dyDescent="0.2">
      <c r="A444" s="1" t="s">
        <v>4544</v>
      </c>
      <c r="B444" s="1" t="s">
        <v>4545</v>
      </c>
      <c r="C444">
        <v>119.95833333333333</v>
      </c>
      <c r="D444">
        <v>2879</v>
      </c>
      <c r="E444">
        <v>0.40115392114967108</v>
      </c>
      <c r="F444">
        <v>38.204152292571962</v>
      </c>
      <c r="G444">
        <v>1.3933793718293543E-4</v>
      </c>
      <c r="H444">
        <v>1.3269938274599501E-2</v>
      </c>
      <c r="I444">
        <v>5</v>
      </c>
      <c r="J444" t="b">
        <v>1</v>
      </c>
      <c r="K444">
        <v>0.65</v>
      </c>
      <c r="L444">
        <v>1.3</v>
      </c>
      <c r="M444" t="b">
        <v>1</v>
      </c>
      <c r="N444">
        <v>200</v>
      </c>
      <c r="O444" t="b">
        <v>0</v>
      </c>
      <c r="P444" t="b">
        <v>0</v>
      </c>
      <c r="Q444">
        <v>0.7</v>
      </c>
      <c r="R444">
        <v>2025985.5602075458</v>
      </c>
      <c r="S444">
        <v>1854534.0088108182</v>
      </c>
      <c r="T444">
        <v>1802483.4464740753</v>
      </c>
      <c r="U444">
        <v>1617509.0515885353</v>
      </c>
      <c r="V444">
        <v>3880519.569018364</v>
      </c>
      <c r="W444">
        <v>3419992.4980626106</v>
      </c>
      <c r="X444">
        <v>32348.895330476116</v>
      </c>
      <c r="Y444">
        <v>28509.836732720618</v>
      </c>
      <c r="Z444">
        <v>2447.2737385940554</v>
      </c>
      <c r="AA444">
        <v>854.99812451565265</v>
      </c>
      <c r="AB444">
        <v>18024.834464740754</v>
      </c>
      <c r="AC444">
        <v>16175.090515885353</v>
      </c>
      <c r="AD444">
        <v>34199.924980626107</v>
      </c>
      <c r="AE444">
        <v>1.1346573336686081</v>
      </c>
      <c r="AF444" s="1" t="s">
        <v>4546</v>
      </c>
      <c r="AG444" s="1" t="s">
        <v>4547</v>
      </c>
      <c r="AH444" s="1" t="s">
        <v>4548</v>
      </c>
      <c r="AI444" s="1" t="str">
        <f>_xlfn.TEXTAFTER(_xlfn.TEXTBEFORE(batch_summary[[#This Row],[video]],"_",1),"-",3)</f>
        <v>16</v>
      </c>
      <c r="AJ444" s="1" t="str">
        <f>_xlfn.TEXTBEFORE(_xlfn.TEXTAFTER(batch_summary[[#This Row],[video]],"_",1),"_",1)</f>
        <v>20260409</v>
      </c>
      <c r="AK444" s="1" t="str">
        <f>_xlfn.TEXTBEFORE(_xlfn.TEXTAFTER(batch_summary[[#This Row],[video]],"_",2),".",1)</f>
        <v>140000</v>
      </c>
    </row>
    <row r="445" spans="1:37" x14ac:dyDescent="0.2">
      <c r="A445" s="1" t="s">
        <v>4549</v>
      </c>
      <c r="B445" s="1" t="s">
        <v>4550</v>
      </c>
      <c r="C445">
        <v>119.95833333333333</v>
      </c>
      <c r="D445">
        <v>2879</v>
      </c>
      <c r="E445">
        <v>0.39506555255502462</v>
      </c>
      <c r="F445">
        <v>37.960773182101548</v>
      </c>
      <c r="G445">
        <v>1.3722318602119648E-4</v>
      </c>
      <c r="H445">
        <v>1.3185402286245762E-2</v>
      </c>
      <c r="I445">
        <v>5</v>
      </c>
      <c r="J445" t="b">
        <v>1</v>
      </c>
      <c r="K445">
        <v>0.65</v>
      </c>
      <c r="L445">
        <v>1.3</v>
      </c>
      <c r="M445" t="b">
        <v>1</v>
      </c>
      <c r="N445">
        <v>200</v>
      </c>
      <c r="O445" t="b">
        <v>0</v>
      </c>
      <c r="P445" t="b">
        <v>0</v>
      </c>
      <c r="Q445">
        <v>0.7</v>
      </c>
      <c r="R445">
        <v>1409465.1867902279</v>
      </c>
      <c r="S445">
        <v>1789465.5256431699</v>
      </c>
      <c r="T445">
        <v>1185204.9465256929</v>
      </c>
      <c r="U445">
        <v>1582504.9608209133</v>
      </c>
      <c r="V445">
        <v>3198930.7124333978</v>
      </c>
      <c r="W445">
        <v>2767709.9073466063</v>
      </c>
      <c r="X445">
        <v>26667.015317263478</v>
      </c>
      <c r="Y445">
        <v>23072.26042942638</v>
      </c>
      <c r="Z445">
        <v>3997.021964187622</v>
      </c>
      <c r="AA445">
        <v>691.92747683665152</v>
      </c>
      <c r="AB445">
        <v>11852.049465256929</v>
      </c>
      <c r="AC445">
        <v>15825.049608209134</v>
      </c>
      <c r="AD445">
        <v>27677.099073466063</v>
      </c>
      <c r="AE445">
        <v>1.1558041917406732</v>
      </c>
      <c r="AF445" s="1" t="s">
        <v>4551</v>
      </c>
      <c r="AG445" s="1" t="s">
        <v>4552</v>
      </c>
      <c r="AH445" s="1" t="s">
        <v>4553</v>
      </c>
      <c r="AI445" s="1" t="str">
        <f>_xlfn.TEXTAFTER(_xlfn.TEXTBEFORE(batch_summary[[#This Row],[video]],"_",1),"-",3)</f>
        <v>16</v>
      </c>
      <c r="AJ445" s="1" t="str">
        <f>_xlfn.TEXTBEFORE(_xlfn.TEXTAFTER(batch_summary[[#This Row],[video]],"_",1),"_",1)</f>
        <v>20260409</v>
      </c>
      <c r="AK445" s="1" t="str">
        <f>_xlfn.TEXTBEFORE(_xlfn.TEXTAFTER(batch_summary[[#This Row],[video]],"_",2),".",1)</f>
        <v>150000</v>
      </c>
    </row>
    <row r="446" spans="1:37" x14ac:dyDescent="0.2">
      <c r="A446" s="1" t="s">
        <v>4554</v>
      </c>
      <c r="B446" s="1" t="s">
        <v>4555</v>
      </c>
      <c r="C446">
        <v>119.95833333333333</v>
      </c>
      <c r="D446">
        <v>2879</v>
      </c>
      <c r="E446">
        <v>0.38693302031606436</v>
      </c>
      <c r="F446">
        <v>37.463002599775791</v>
      </c>
      <c r="G446">
        <v>1.3439840927963333E-4</v>
      </c>
      <c r="H446">
        <v>1.3012505244798815E-2</v>
      </c>
      <c r="I446">
        <v>5</v>
      </c>
      <c r="J446" t="b">
        <v>1</v>
      </c>
      <c r="K446">
        <v>0.65</v>
      </c>
      <c r="L446">
        <v>1.3</v>
      </c>
      <c r="M446" t="b">
        <v>1</v>
      </c>
      <c r="N446">
        <v>200</v>
      </c>
      <c r="O446" t="b">
        <v>0</v>
      </c>
      <c r="P446" t="b">
        <v>0</v>
      </c>
      <c r="Q446">
        <v>0.7</v>
      </c>
      <c r="R446">
        <v>101089.29705452919</v>
      </c>
      <c r="S446">
        <v>167321.50484764576</v>
      </c>
      <c r="T446">
        <v>53518.48509979248</v>
      </c>
      <c r="U446">
        <v>115174.32566452026</v>
      </c>
      <c r="V446">
        <v>268410.80190217495</v>
      </c>
      <c r="W446">
        <v>168692.81076431274</v>
      </c>
      <c r="X446">
        <v>2237.5336039083704</v>
      </c>
      <c r="Y446">
        <v>1406.2617083513394</v>
      </c>
      <c r="Z446">
        <v>699.25105808258047</v>
      </c>
      <c r="AA446">
        <v>42.173202691078174</v>
      </c>
      <c r="AB446">
        <v>535.18485099792485</v>
      </c>
      <c r="AC446">
        <v>1151.7432566452026</v>
      </c>
      <c r="AD446">
        <v>1686.9281076431275</v>
      </c>
      <c r="AE446">
        <v>1.5911217596414471</v>
      </c>
      <c r="AF446" s="1" t="s">
        <v>4556</v>
      </c>
      <c r="AG446" s="1" t="s">
        <v>4557</v>
      </c>
      <c r="AH446" s="1" t="s">
        <v>4558</v>
      </c>
      <c r="AI446" s="1" t="str">
        <f>_xlfn.TEXTAFTER(_xlfn.TEXTBEFORE(batch_summary[[#This Row],[video]],"_",1),"-",3)</f>
        <v>16</v>
      </c>
      <c r="AJ446" s="1" t="str">
        <f>_xlfn.TEXTBEFORE(_xlfn.TEXTAFTER(batch_summary[[#This Row],[video]],"_",1),"_",1)</f>
        <v>20260409</v>
      </c>
      <c r="AK446" s="1" t="str">
        <f>_xlfn.TEXTBEFORE(_xlfn.TEXTAFTER(batch_summary[[#This Row],[video]],"_",2),".",1)</f>
        <v>160000</v>
      </c>
    </row>
    <row r="447" spans="1:37" x14ac:dyDescent="0.2">
      <c r="A447" s="1" t="s">
        <v>4559</v>
      </c>
      <c r="B447" s="1" t="s">
        <v>4560</v>
      </c>
      <c r="C447">
        <v>119.95833333333333</v>
      </c>
      <c r="D447">
        <v>2879</v>
      </c>
      <c r="E447">
        <v>0.38597686681896448</v>
      </c>
      <c r="F447">
        <v>37.4559719376266</v>
      </c>
      <c r="G447">
        <v>1.3406629622055035E-4</v>
      </c>
      <c r="H447">
        <v>1.3010063194729629E-2</v>
      </c>
      <c r="I447">
        <v>5</v>
      </c>
      <c r="J447" t="b">
        <v>1</v>
      </c>
      <c r="K447">
        <v>0.65</v>
      </c>
      <c r="L447">
        <v>1.3</v>
      </c>
      <c r="M447" t="b">
        <v>1</v>
      </c>
      <c r="N447">
        <v>200</v>
      </c>
      <c r="O447" t="b">
        <v>0</v>
      </c>
      <c r="P447" t="b">
        <v>0</v>
      </c>
      <c r="Q447">
        <v>0.7</v>
      </c>
      <c r="R447">
        <v>126281.21461600065</v>
      </c>
      <c r="S447">
        <v>127055.35186946392</v>
      </c>
      <c r="T447">
        <v>65308.588539600372</v>
      </c>
      <c r="U447">
        <v>52824.210817337036</v>
      </c>
      <c r="V447">
        <v>253336.56648546457</v>
      </c>
      <c r="W447">
        <v>118132.79935693741</v>
      </c>
      <c r="X447">
        <v>2111.8713427062003</v>
      </c>
      <c r="Y447">
        <v>984.78193281226049</v>
      </c>
      <c r="Z447">
        <v>232.44388427734376</v>
      </c>
      <c r="AA447">
        <v>29.533199839234349</v>
      </c>
      <c r="AB447">
        <v>653.08588539600373</v>
      </c>
      <c r="AC447">
        <v>528.24210817337041</v>
      </c>
      <c r="AD447">
        <v>1181.327993569374</v>
      </c>
      <c r="AE447">
        <v>2.1445065880476593</v>
      </c>
      <c r="AF447" s="1" t="s">
        <v>4561</v>
      </c>
      <c r="AG447" s="1" t="s">
        <v>4562</v>
      </c>
      <c r="AH447" s="1" t="s">
        <v>4563</v>
      </c>
      <c r="AI447" s="1" t="str">
        <f>_xlfn.TEXTAFTER(_xlfn.TEXTBEFORE(batch_summary[[#This Row],[video]],"_",1),"-",3)</f>
        <v>16</v>
      </c>
      <c r="AJ447" s="1" t="str">
        <f>_xlfn.TEXTBEFORE(_xlfn.TEXTAFTER(batch_summary[[#This Row],[video]],"_",1),"_",1)</f>
        <v>20260409</v>
      </c>
      <c r="AK447" s="1" t="str">
        <f>_xlfn.TEXTBEFORE(_xlfn.TEXTAFTER(batch_summary[[#This Row],[video]],"_",2),".",1)</f>
        <v>170000</v>
      </c>
    </row>
    <row r="448" spans="1:37" x14ac:dyDescent="0.2">
      <c r="A448" s="1" t="s">
        <v>4564</v>
      </c>
      <c r="B448" s="1" t="s">
        <v>4565</v>
      </c>
      <c r="C448">
        <v>119.95833333333333</v>
      </c>
      <c r="D448">
        <v>2879</v>
      </c>
      <c r="E448">
        <v>0.38305259123444557</v>
      </c>
      <c r="F448">
        <v>37.393516402691603</v>
      </c>
      <c r="G448">
        <v>1.330505700710127E-4</v>
      </c>
      <c r="H448">
        <v>1.2988369712640363E-2</v>
      </c>
      <c r="I448">
        <v>5</v>
      </c>
      <c r="J448" t="b">
        <v>1</v>
      </c>
      <c r="K448">
        <v>0.65</v>
      </c>
      <c r="L448">
        <v>1.3</v>
      </c>
      <c r="M448" t="b">
        <v>1</v>
      </c>
      <c r="N448">
        <v>200</v>
      </c>
      <c r="O448" t="b">
        <v>0</v>
      </c>
      <c r="P448" t="b">
        <v>0</v>
      </c>
      <c r="Q448">
        <v>0.7</v>
      </c>
      <c r="R448">
        <v>153458.1974517107</v>
      </c>
      <c r="S448">
        <v>173290.29882341623</v>
      </c>
      <c r="T448">
        <v>39580.019184112549</v>
      </c>
      <c r="U448">
        <v>60918.433944702148</v>
      </c>
      <c r="V448">
        <v>326748.49627512693</v>
      </c>
      <c r="W448">
        <v>100498.4531288147</v>
      </c>
      <c r="X448">
        <v>2723.8499168471853</v>
      </c>
      <c r="Y448">
        <v>837.77800454725696</v>
      </c>
      <c r="Z448">
        <v>353.38342626571659</v>
      </c>
      <c r="AA448">
        <v>25.124613282203676</v>
      </c>
      <c r="AB448">
        <v>395.80019184112547</v>
      </c>
      <c r="AC448">
        <v>609.18433944702144</v>
      </c>
      <c r="AD448">
        <v>1004.9845312881469</v>
      </c>
      <c r="AE448">
        <v>3.251278861539435</v>
      </c>
      <c r="AF448" s="1" t="s">
        <v>4566</v>
      </c>
      <c r="AG448" s="1" t="s">
        <v>4567</v>
      </c>
      <c r="AH448" s="1" t="s">
        <v>4568</v>
      </c>
      <c r="AI448" s="1" t="str">
        <f>_xlfn.TEXTAFTER(_xlfn.TEXTBEFORE(batch_summary[[#This Row],[video]],"_",1),"-",3)</f>
        <v>16</v>
      </c>
      <c r="AJ448" s="1" t="str">
        <f>_xlfn.TEXTBEFORE(_xlfn.TEXTAFTER(batch_summary[[#This Row],[video]],"_",1),"_",1)</f>
        <v>20260409</v>
      </c>
      <c r="AK448" s="1" t="str">
        <f>_xlfn.TEXTBEFORE(_xlfn.TEXTAFTER(batch_summary[[#This Row],[video]],"_",2),".",1)</f>
        <v>180000</v>
      </c>
    </row>
    <row r="449" spans="1:37" x14ac:dyDescent="0.2">
      <c r="A449" s="1" t="s">
        <v>4569</v>
      </c>
      <c r="B449" s="1" t="s">
        <v>4570</v>
      </c>
      <c r="C449">
        <v>119.95833333333333</v>
      </c>
      <c r="D449">
        <v>2879</v>
      </c>
      <c r="E449">
        <v>0.37538951355963945</v>
      </c>
      <c r="F449">
        <v>36.839543904177845</v>
      </c>
      <c r="G449">
        <v>1.3038885500508491E-4</v>
      </c>
      <c r="H449">
        <v>1.279595133872103E-2</v>
      </c>
      <c r="I449">
        <v>5</v>
      </c>
      <c r="J449" t="b">
        <v>1</v>
      </c>
      <c r="K449">
        <v>0.65</v>
      </c>
      <c r="L449">
        <v>1.3</v>
      </c>
      <c r="M449" t="b">
        <v>1</v>
      </c>
      <c r="N449">
        <v>200</v>
      </c>
      <c r="O449" t="b">
        <v>0</v>
      </c>
      <c r="P449" t="b">
        <v>0</v>
      </c>
      <c r="Q449">
        <v>0.7</v>
      </c>
      <c r="R449">
        <v>7116.1983650326729</v>
      </c>
      <c r="S449">
        <v>5132.7020909190178</v>
      </c>
      <c r="T449">
        <v>0</v>
      </c>
      <c r="U449">
        <v>0</v>
      </c>
      <c r="V449">
        <v>12248.900455951691</v>
      </c>
      <c r="W449">
        <v>0</v>
      </c>
      <c r="X449">
        <v>102.10962519723536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12248900455.951691</v>
      </c>
      <c r="AF449" s="1" t="s">
        <v>4571</v>
      </c>
      <c r="AG449" s="1" t="s">
        <v>4572</v>
      </c>
      <c r="AH449" s="1" t="s">
        <v>4573</v>
      </c>
      <c r="AI449" s="1" t="str">
        <f>_xlfn.TEXTAFTER(_xlfn.TEXTBEFORE(batch_summary[[#This Row],[video]],"_",1),"-",3)</f>
        <v>16</v>
      </c>
      <c r="AJ449" s="1" t="str">
        <f>_xlfn.TEXTBEFORE(_xlfn.TEXTAFTER(batch_summary[[#This Row],[video]],"_",1),"_",1)</f>
        <v>20260409</v>
      </c>
      <c r="AK449" s="1" t="str">
        <f>_xlfn.TEXTBEFORE(_xlfn.TEXTAFTER(batch_summary[[#This Row],[video]],"_",2),".",1)</f>
        <v>190000</v>
      </c>
    </row>
    <row r="450" spans="1:37" x14ac:dyDescent="0.2">
      <c r="A450" s="1" t="s">
        <v>4574</v>
      </c>
      <c r="B450" s="1" t="s">
        <v>4575</v>
      </c>
      <c r="C450">
        <v>119.95833333333333</v>
      </c>
      <c r="D450">
        <v>2879</v>
      </c>
      <c r="E450">
        <v>0.37999627459794283</v>
      </c>
      <c r="F450">
        <v>37.278270761482418</v>
      </c>
      <c r="G450">
        <v>1.3198898040914998E-4</v>
      </c>
      <c r="H450">
        <v>1.2948339965780624E-2</v>
      </c>
      <c r="I450">
        <v>5</v>
      </c>
      <c r="J450" t="b">
        <v>1</v>
      </c>
      <c r="K450">
        <v>0.65</v>
      </c>
      <c r="L450">
        <v>1.3</v>
      </c>
      <c r="M450" t="b">
        <v>1</v>
      </c>
      <c r="N450">
        <v>200</v>
      </c>
      <c r="O450" t="b">
        <v>0</v>
      </c>
      <c r="P450" t="b">
        <v>0</v>
      </c>
      <c r="Q450">
        <v>0.7</v>
      </c>
      <c r="R450">
        <v>130354.54446715117</v>
      </c>
      <c r="S450">
        <v>128757.61683785915</v>
      </c>
      <c r="T450">
        <v>8577.5881042480469</v>
      </c>
      <c r="U450">
        <v>6997.7149353027344</v>
      </c>
      <c r="V450">
        <v>259112.16130501032</v>
      </c>
      <c r="W450">
        <v>15575.303039550781</v>
      </c>
      <c r="X450">
        <v>2160.0180171310344</v>
      </c>
      <c r="Y450">
        <v>129.83927507788079</v>
      </c>
      <c r="Z450">
        <v>20.801792602539063</v>
      </c>
      <c r="AA450">
        <v>3.893825759887696</v>
      </c>
      <c r="AB450">
        <v>85.775881042480464</v>
      </c>
      <c r="AC450">
        <v>69.977149353027343</v>
      </c>
      <c r="AD450">
        <v>155.75303039550781</v>
      </c>
      <c r="AE450">
        <v>16.636091166062062</v>
      </c>
      <c r="AF450" s="1" t="s">
        <v>4576</v>
      </c>
      <c r="AG450" s="1" t="s">
        <v>4577</v>
      </c>
      <c r="AH450" s="1" t="s">
        <v>4578</v>
      </c>
      <c r="AI450" s="1" t="str">
        <f>_xlfn.TEXTAFTER(_xlfn.TEXTBEFORE(batch_summary[[#This Row],[video]],"_",1),"-",3)</f>
        <v>16</v>
      </c>
      <c r="AJ450" s="1" t="str">
        <f>_xlfn.TEXTBEFORE(_xlfn.TEXTAFTER(batch_summary[[#This Row],[video]],"_",1),"_",1)</f>
        <v>20260410</v>
      </c>
      <c r="AK450" s="1" t="str">
        <f>_xlfn.TEXTBEFORE(_xlfn.TEXTAFTER(batch_summary[[#This Row],[video]],"_",2),".",1)</f>
        <v>060000</v>
      </c>
    </row>
    <row r="451" spans="1:37" x14ac:dyDescent="0.2">
      <c r="A451" s="1" t="s">
        <v>4579</v>
      </c>
      <c r="B451" s="1" t="s">
        <v>4580</v>
      </c>
      <c r="C451">
        <v>119.95833333333333</v>
      </c>
      <c r="D451">
        <v>2879</v>
      </c>
      <c r="E451">
        <v>0.38386610615998507</v>
      </c>
      <c r="F451">
        <v>37.320293198339641</v>
      </c>
      <c r="G451">
        <v>1.3333313864535777E-4</v>
      </c>
      <c r="H451">
        <v>1.2962936157811616E-2</v>
      </c>
      <c r="I451">
        <v>5</v>
      </c>
      <c r="J451" t="b">
        <v>1</v>
      </c>
      <c r="K451">
        <v>0.65</v>
      </c>
      <c r="L451">
        <v>1.3</v>
      </c>
      <c r="M451" t="b">
        <v>1</v>
      </c>
      <c r="N451">
        <v>200</v>
      </c>
      <c r="O451" t="b">
        <v>0</v>
      </c>
      <c r="P451" t="b">
        <v>0</v>
      </c>
      <c r="Q451">
        <v>0.7</v>
      </c>
      <c r="R451">
        <v>33171.5426466465</v>
      </c>
      <c r="S451">
        <v>37730.643045842648</v>
      </c>
      <c r="T451">
        <v>0</v>
      </c>
      <c r="U451">
        <v>0</v>
      </c>
      <c r="V451">
        <v>70902.185692489147</v>
      </c>
      <c r="W451">
        <v>0</v>
      </c>
      <c r="X451">
        <v>591.05677548445283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70902185692.489151</v>
      </c>
      <c r="AF451" s="1" t="s">
        <v>4581</v>
      </c>
      <c r="AG451" s="1" t="s">
        <v>4582</v>
      </c>
      <c r="AH451" s="1" t="s">
        <v>4583</v>
      </c>
      <c r="AI451" s="1" t="str">
        <f>_xlfn.TEXTAFTER(_xlfn.TEXTBEFORE(batch_summary[[#This Row],[video]],"_",1),"-",3)</f>
        <v>16</v>
      </c>
      <c r="AJ451" s="1" t="str">
        <f>_xlfn.TEXTBEFORE(_xlfn.TEXTAFTER(batch_summary[[#This Row],[video]],"_",1),"_",1)</f>
        <v>20260410</v>
      </c>
      <c r="AK451" s="1" t="str">
        <f>_xlfn.TEXTBEFORE(_xlfn.TEXTAFTER(batch_summary[[#This Row],[video]],"_",2),".",1)</f>
        <v>070000</v>
      </c>
    </row>
    <row r="452" spans="1:37" x14ac:dyDescent="0.2">
      <c r="A452" s="1" t="s">
        <v>4584</v>
      </c>
      <c r="B452" s="1" t="s">
        <v>4585</v>
      </c>
      <c r="C452">
        <v>119.95833333333333</v>
      </c>
      <c r="D452">
        <v>2879</v>
      </c>
      <c r="E452">
        <v>0.38703642785549164</v>
      </c>
      <c r="F452">
        <v>37.457396324723959</v>
      </c>
      <c r="G452">
        <v>1.3443432714674945E-4</v>
      </c>
      <c r="H452">
        <v>1.3010557945371296E-2</v>
      </c>
      <c r="I452">
        <v>5</v>
      </c>
      <c r="J452" t="b">
        <v>1</v>
      </c>
      <c r="K452">
        <v>0.65</v>
      </c>
      <c r="L452">
        <v>1.3</v>
      </c>
      <c r="M452" t="b">
        <v>1</v>
      </c>
      <c r="N452">
        <v>200</v>
      </c>
      <c r="O452" t="b">
        <v>0</v>
      </c>
      <c r="P452" t="b">
        <v>0</v>
      </c>
      <c r="Q452">
        <v>0.7</v>
      </c>
      <c r="R452">
        <v>109679.54433816671</v>
      </c>
      <c r="S452">
        <v>108013.18832427263</v>
      </c>
      <c r="T452">
        <v>61406.79638671875</v>
      </c>
      <c r="U452">
        <v>62196.632876992226</v>
      </c>
      <c r="V452">
        <v>217692.73266243935</v>
      </c>
      <c r="W452">
        <v>123603.42926371098</v>
      </c>
      <c r="X452">
        <v>1814.7362222641698</v>
      </c>
      <c r="Y452">
        <v>1030.3863502358679</v>
      </c>
      <c r="Z452">
        <v>453.6124426186085</v>
      </c>
      <c r="AA452">
        <v>30.900857315927748</v>
      </c>
      <c r="AB452">
        <v>614.06796386718747</v>
      </c>
      <c r="AC452">
        <v>621.96632876992226</v>
      </c>
      <c r="AD452">
        <v>1236.0342926371097</v>
      </c>
      <c r="AE452">
        <v>1.7612191988459034</v>
      </c>
      <c r="AF452" s="1" t="s">
        <v>4586</v>
      </c>
      <c r="AG452" s="1" t="s">
        <v>4587</v>
      </c>
      <c r="AH452" s="1" t="s">
        <v>4588</v>
      </c>
      <c r="AI452" s="1" t="str">
        <f>_xlfn.TEXTAFTER(_xlfn.TEXTBEFORE(batch_summary[[#This Row],[video]],"_",1),"-",3)</f>
        <v>16</v>
      </c>
      <c r="AJ452" s="1" t="str">
        <f>_xlfn.TEXTBEFORE(_xlfn.TEXTAFTER(batch_summary[[#This Row],[video]],"_",1),"_",1)</f>
        <v>20260410</v>
      </c>
      <c r="AK452" s="1" t="str">
        <f>_xlfn.TEXTBEFORE(_xlfn.TEXTAFTER(batch_summary[[#This Row],[video]],"_",2),".",1)</f>
        <v>080000</v>
      </c>
    </row>
    <row r="453" spans="1:37" x14ac:dyDescent="0.2">
      <c r="A453" s="1" t="s">
        <v>4589</v>
      </c>
      <c r="B453" s="1" t="s">
        <v>4590</v>
      </c>
      <c r="C453">
        <v>119.95833333333333</v>
      </c>
      <c r="D453">
        <v>2879</v>
      </c>
      <c r="E453">
        <v>0.37763806898146868</v>
      </c>
      <c r="F453">
        <v>37.09976348746568</v>
      </c>
      <c r="G453">
        <v>1.3116987460280261E-4</v>
      </c>
      <c r="H453">
        <v>1.288633674451743E-2</v>
      </c>
      <c r="I453">
        <v>5</v>
      </c>
      <c r="J453" t="b">
        <v>1</v>
      </c>
      <c r="K453">
        <v>0.65</v>
      </c>
      <c r="L453">
        <v>1.3</v>
      </c>
      <c r="M453" t="b">
        <v>1</v>
      </c>
      <c r="N453">
        <v>200</v>
      </c>
      <c r="O453" t="b">
        <v>0</v>
      </c>
      <c r="P453" t="b">
        <v>0</v>
      </c>
      <c r="Q453">
        <v>0.7</v>
      </c>
      <c r="R453">
        <v>133153.87251061201</v>
      </c>
      <c r="S453">
        <v>116564.07152938843</v>
      </c>
      <c r="T453">
        <v>87230.656799554825</v>
      </c>
      <c r="U453">
        <v>83535.207639694214</v>
      </c>
      <c r="V453">
        <v>249717.94404000044</v>
      </c>
      <c r="W453">
        <v>170765.86443924904</v>
      </c>
      <c r="X453">
        <v>2081.7056814727375</v>
      </c>
      <c r="Y453">
        <v>1423.5431561451815</v>
      </c>
      <c r="Z453">
        <v>795.12085747003562</v>
      </c>
      <c r="AA453">
        <v>42.691466109812261</v>
      </c>
      <c r="AB453">
        <v>872.30656799554822</v>
      </c>
      <c r="AC453">
        <v>835.35207639694215</v>
      </c>
      <c r="AD453">
        <v>1707.6586443924903</v>
      </c>
      <c r="AE453">
        <v>1.4623411116736336</v>
      </c>
      <c r="AF453" s="1" t="s">
        <v>4591</v>
      </c>
      <c r="AG453" s="1" t="s">
        <v>4592</v>
      </c>
      <c r="AH453" s="1" t="s">
        <v>4593</v>
      </c>
      <c r="AI453" s="1" t="str">
        <f>_xlfn.TEXTAFTER(_xlfn.TEXTBEFORE(batch_summary[[#This Row],[video]],"_",1),"-",3)</f>
        <v>16</v>
      </c>
      <c r="AJ453" s="1" t="str">
        <f>_xlfn.TEXTBEFORE(_xlfn.TEXTAFTER(batch_summary[[#This Row],[video]],"_",1),"_",1)</f>
        <v>20260410</v>
      </c>
      <c r="AK453" s="1" t="str">
        <f>_xlfn.TEXTBEFORE(_xlfn.TEXTAFTER(batch_summary[[#This Row],[video]],"_",2),".",1)</f>
        <v>090000</v>
      </c>
    </row>
    <row r="454" spans="1:37" x14ac:dyDescent="0.2">
      <c r="A454" s="1" t="s">
        <v>4594</v>
      </c>
      <c r="B454" s="1" t="s">
        <v>4595</v>
      </c>
      <c r="C454">
        <v>119.95833333333333</v>
      </c>
      <c r="D454">
        <v>2879</v>
      </c>
      <c r="E454">
        <v>0.39095709100365639</v>
      </c>
      <c r="F454">
        <v>37.570972549729049</v>
      </c>
      <c r="G454">
        <v>1.3579614136980075E-4</v>
      </c>
      <c r="H454">
        <v>1.3050007832486644E-2</v>
      </c>
      <c r="I454">
        <v>5</v>
      </c>
      <c r="J454" t="b">
        <v>1</v>
      </c>
      <c r="K454">
        <v>0.65</v>
      </c>
      <c r="L454">
        <v>1.3</v>
      </c>
      <c r="M454" t="b">
        <v>1</v>
      </c>
      <c r="N454">
        <v>200</v>
      </c>
      <c r="O454" t="b">
        <v>0</v>
      </c>
      <c r="P454" t="b">
        <v>0</v>
      </c>
      <c r="Q454">
        <v>0.7</v>
      </c>
      <c r="R454">
        <v>1084691.695671618</v>
      </c>
      <c r="S454">
        <v>1161042.9297655225</v>
      </c>
      <c r="T454">
        <v>917358.90492141247</v>
      </c>
      <c r="U454">
        <v>989144.92531734705</v>
      </c>
      <c r="V454">
        <v>2245734.6254371405</v>
      </c>
      <c r="W454">
        <v>1906503.8302387595</v>
      </c>
      <c r="X454">
        <v>18720.9555437622</v>
      </c>
      <c r="Y454">
        <v>15893.050338912897</v>
      </c>
      <c r="Z454">
        <v>1941.4587771940232</v>
      </c>
      <c r="AA454">
        <v>476.62595755968988</v>
      </c>
      <c r="AB454">
        <v>9173.5890492141243</v>
      </c>
      <c r="AC454">
        <v>9891.4492531734704</v>
      </c>
      <c r="AD454">
        <v>19065.038302387595</v>
      </c>
      <c r="AE454">
        <v>1.177933445408236</v>
      </c>
      <c r="AF454" s="1" t="s">
        <v>4596</v>
      </c>
      <c r="AG454" s="1" t="s">
        <v>4597</v>
      </c>
      <c r="AH454" s="1" t="s">
        <v>4598</v>
      </c>
      <c r="AI454" s="1" t="str">
        <f>_xlfn.TEXTAFTER(_xlfn.TEXTBEFORE(batch_summary[[#This Row],[video]],"_",1),"-",3)</f>
        <v>16</v>
      </c>
      <c r="AJ454" s="1" t="str">
        <f>_xlfn.TEXTBEFORE(_xlfn.TEXTAFTER(batch_summary[[#This Row],[video]],"_",1),"_",1)</f>
        <v>20260410</v>
      </c>
      <c r="AK454" s="1" t="str">
        <f>_xlfn.TEXTBEFORE(_xlfn.TEXTAFTER(batch_summary[[#This Row],[video]],"_",2),".",1)</f>
        <v>100000</v>
      </c>
    </row>
    <row r="455" spans="1:37" x14ac:dyDescent="0.2">
      <c r="A455" s="1" t="s">
        <v>4599</v>
      </c>
      <c r="B455" s="1" t="s">
        <v>4600</v>
      </c>
      <c r="C455">
        <v>119.95833333333333</v>
      </c>
      <c r="D455">
        <v>2879</v>
      </c>
      <c r="E455">
        <v>0.4025697773322463</v>
      </c>
      <c r="F455">
        <v>37.944510109722614</v>
      </c>
      <c r="G455">
        <v>1.3982972467254127E-4</v>
      </c>
      <c r="H455">
        <v>1.3179753424703931E-2</v>
      </c>
      <c r="I455">
        <v>5</v>
      </c>
      <c r="J455" t="b">
        <v>1</v>
      </c>
      <c r="K455">
        <v>0.65</v>
      </c>
      <c r="L455">
        <v>1.3</v>
      </c>
      <c r="M455" t="b">
        <v>1</v>
      </c>
      <c r="N455">
        <v>200</v>
      </c>
      <c r="O455" t="b">
        <v>0</v>
      </c>
      <c r="P455" t="b">
        <v>0</v>
      </c>
      <c r="Q455">
        <v>0.7</v>
      </c>
      <c r="R455">
        <v>1540221.7308033705</v>
      </c>
      <c r="S455">
        <v>1506860.4613357782</v>
      </c>
      <c r="T455">
        <v>1317150.0265368223</v>
      </c>
      <c r="U455">
        <v>1298792.0028319359</v>
      </c>
      <c r="V455">
        <v>3047082.1921391487</v>
      </c>
      <c r="W455">
        <v>2615942.0293687582</v>
      </c>
      <c r="X455">
        <v>25401.17145235831</v>
      </c>
      <c r="Y455">
        <v>21807.08881724564</v>
      </c>
      <c r="Z455">
        <v>2276.1938685417172</v>
      </c>
      <c r="AA455">
        <v>653.98550734218952</v>
      </c>
      <c r="AB455">
        <v>13171.500265368224</v>
      </c>
      <c r="AC455">
        <v>12987.920028319359</v>
      </c>
      <c r="AD455">
        <v>26159.420293687581</v>
      </c>
      <c r="AE455">
        <v>1.1648125829739533</v>
      </c>
      <c r="AF455" s="1" t="s">
        <v>4601</v>
      </c>
      <c r="AG455" s="1" t="s">
        <v>4602</v>
      </c>
      <c r="AH455" s="1" t="s">
        <v>4603</v>
      </c>
      <c r="AI455" s="1" t="str">
        <f>_xlfn.TEXTAFTER(_xlfn.TEXTBEFORE(batch_summary[[#This Row],[video]],"_",1),"-",3)</f>
        <v>16</v>
      </c>
      <c r="AJ455" s="1" t="str">
        <f>_xlfn.TEXTBEFORE(_xlfn.TEXTAFTER(batch_summary[[#This Row],[video]],"_",1),"_",1)</f>
        <v>20260410</v>
      </c>
      <c r="AK455" s="1" t="str">
        <f>_xlfn.TEXTBEFORE(_xlfn.TEXTAFTER(batch_summary[[#This Row],[video]],"_",2),".",1)</f>
        <v>110000</v>
      </c>
    </row>
    <row r="456" spans="1:37" x14ac:dyDescent="0.2">
      <c r="A456" s="1" t="s">
        <v>4604</v>
      </c>
      <c r="B456" s="1" t="s">
        <v>4605</v>
      </c>
      <c r="C456">
        <v>119.95833333333333</v>
      </c>
      <c r="D456">
        <v>2879</v>
      </c>
      <c r="E456">
        <v>0.38822920061647892</v>
      </c>
      <c r="F456">
        <v>37.315426315180957</v>
      </c>
      <c r="G456">
        <v>1.3484862820996142E-4</v>
      </c>
      <c r="H456">
        <v>1.2961245680854796E-2</v>
      </c>
      <c r="I456">
        <v>5</v>
      </c>
      <c r="J456" t="b">
        <v>1</v>
      </c>
      <c r="K456">
        <v>0.65</v>
      </c>
      <c r="L456">
        <v>1.3</v>
      </c>
      <c r="M456" t="b">
        <v>1</v>
      </c>
      <c r="N456">
        <v>200</v>
      </c>
      <c r="O456" t="b">
        <v>0</v>
      </c>
      <c r="P456" t="b">
        <v>0</v>
      </c>
      <c r="Q456">
        <v>0.7</v>
      </c>
      <c r="R456">
        <v>539456.15200835466</v>
      </c>
      <c r="S456">
        <v>486696.30739581585</v>
      </c>
      <c r="T456">
        <v>462831.6915640831</v>
      </c>
      <c r="U456">
        <v>414405.70605915785</v>
      </c>
      <c r="V456">
        <v>1026152.4594041705</v>
      </c>
      <c r="W456">
        <v>877237.39762324095</v>
      </c>
      <c r="X456">
        <v>8554.2407175061107</v>
      </c>
      <c r="Y456">
        <v>7312.8508311767227</v>
      </c>
      <c r="Z456">
        <v>1618.9657931423187</v>
      </c>
      <c r="AA456">
        <v>219.30934940581022</v>
      </c>
      <c r="AB456">
        <v>4628.3169156408312</v>
      </c>
      <c r="AC456">
        <v>4144.0570605915782</v>
      </c>
      <c r="AD456">
        <v>8772.3739762324094</v>
      </c>
      <c r="AE456">
        <v>1.1697545751975409</v>
      </c>
      <c r="AF456" s="1" t="s">
        <v>4606</v>
      </c>
      <c r="AG456" s="1" t="s">
        <v>4607</v>
      </c>
      <c r="AH456" s="1" t="s">
        <v>4608</v>
      </c>
      <c r="AI456" s="1" t="str">
        <f>_xlfn.TEXTAFTER(_xlfn.TEXTBEFORE(batch_summary[[#This Row],[video]],"_",1),"-",3)</f>
        <v>16</v>
      </c>
      <c r="AJ456" s="1" t="str">
        <f>_xlfn.TEXTBEFORE(_xlfn.TEXTAFTER(batch_summary[[#This Row],[video]],"_",1),"_",1)</f>
        <v>20260410</v>
      </c>
      <c r="AK456" s="1" t="str">
        <f>_xlfn.TEXTBEFORE(_xlfn.TEXTAFTER(batch_summary[[#This Row],[video]],"_",2),".",1)</f>
        <v>120000</v>
      </c>
    </row>
    <row r="457" spans="1:37" x14ac:dyDescent="0.2">
      <c r="A457" s="1" t="s">
        <v>4609</v>
      </c>
      <c r="B457" s="1" t="s">
        <v>4610</v>
      </c>
      <c r="C457">
        <v>119.95833333333333</v>
      </c>
      <c r="D457">
        <v>2879</v>
      </c>
      <c r="E457">
        <v>0.39934657700359821</v>
      </c>
      <c r="F457">
        <v>38.167888245545328</v>
      </c>
      <c r="G457">
        <v>1.3871016915720675E-4</v>
      </c>
      <c r="H457">
        <v>1.3257342217973369E-2</v>
      </c>
      <c r="I457">
        <v>5</v>
      </c>
      <c r="J457" t="b">
        <v>1</v>
      </c>
      <c r="K457">
        <v>0.65</v>
      </c>
      <c r="L457">
        <v>1.3</v>
      </c>
      <c r="M457" t="b">
        <v>1</v>
      </c>
      <c r="N457">
        <v>200</v>
      </c>
      <c r="O457" t="b">
        <v>0</v>
      </c>
      <c r="P457" t="b">
        <v>0</v>
      </c>
      <c r="Q457">
        <v>0.7</v>
      </c>
      <c r="R457">
        <v>2170790.1762778163</v>
      </c>
      <c r="S457">
        <v>1946926.4166969061</v>
      </c>
      <c r="T457">
        <v>1915417.6955339313</v>
      </c>
      <c r="U457">
        <v>1695663.5715187192</v>
      </c>
      <c r="V457">
        <v>4117716.5929747224</v>
      </c>
      <c r="W457">
        <v>3611081.2670526505</v>
      </c>
      <c r="X457">
        <v>34326.223769153643</v>
      </c>
      <c r="Y457">
        <v>30102.796251915115</v>
      </c>
      <c r="Z457">
        <v>2402.7459875106811</v>
      </c>
      <c r="AA457">
        <v>902.77031676316278</v>
      </c>
      <c r="AB457">
        <v>19154.176955339313</v>
      </c>
      <c r="AC457">
        <v>16956.635715187193</v>
      </c>
      <c r="AD457">
        <v>36110.812670526502</v>
      </c>
      <c r="AE457">
        <v>1.1403001728442366</v>
      </c>
      <c r="AF457" s="1" t="s">
        <v>4611</v>
      </c>
      <c r="AG457" s="1" t="s">
        <v>4612</v>
      </c>
      <c r="AH457" s="1" t="s">
        <v>4613</v>
      </c>
      <c r="AI457" s="1" t="str">
        <f>_xlfn.TEXTAFTER(_xlfn.TEXTBEFORE(batch_summary[[#This Row],[video]],"_",1),"-",3)</f>
        <v>16</v>
      </c>
      <c r="AJ457" s="1" t="str">
        <f>_xlfn.TEXTBEFORE(_xlfn.TEXTAFTER(batch_summary[[#This Row],[video]],"_",1),"_",1)</f>
        <v>20260410</v>
      </c>
      <c r="AK457" s="1" t="str">
        <f>_xlfn.TEXTBEFORE(_xlfn.TEXTAFTER(batch_summary[[#This Row],[video]],"_",2),".",1)</f>
        <v>130000</v>
      </c>
    </row>
    <row r="458" spans="1:37" x14ac:dyDescent="0.2">
      <c r="A458" s="1" t="s">
        <v>4614</v>
      </c>
      <c r="B458" s="1" t="s">
        <v>4615</v>
      </c>
      <c r="C458">
        <v>119.95833333333333</v>
      </c>
      <c r="D458">
        <v>2879</v>
      </c>
      <c r="E458">
        <v>0.40926859434694052</v>
      </c>
      <c r="F458">
        <v>38.664858696982265</v>
      </c>
      <c r="G458">
        <v>1.4215651071446353E-4</v>
      </c>
      <c r="H458">
        <v>1.3429961339695125E-2</v>
      </c>
      <c r="I458">
        <v>5</v>
      </c>
      <c r="J458" t="b">
        <v>1</v>
      </c>
      <c r="K458">
        <v>0.65</v>
      </c>
      <c r="L458">
        <v>1.3</v>
      </c>
      <c r="M458" t="b">
        <v>1</v>
      </c>
      <c r="N458">
        <v>200</v>
      </c>
      <c r="O458" t="b">
        <v>0</v>
      </c>
      <c r="P458" t="b">
        <v>0</v>
      </c>
      <c r="Q458">
        <v>0.7</v>
      </c>
      <c r="R458">
        <v>2377991.7981578708</v>
      </c>
      <c r="S458">
        <v>2271828.2028223872</v>
      </c>
      <c r="T458">
        <v>2116034.4696446657</v>
      </c>
      <c r="U458">
        <v>2003219.5714783669</v>
      </c>
      <c r="V458">
        <v>4649820.000980258</v>
      </c>
      <c r="W458">
        <v>4119254.0411230326</v>
      </c>
      <c r="X458">
        <v>38761.959021718023</v>
      </c>
      <c r="Y458">
        <v>34339.040287236116</v>
      </c>
      <c r="Z458">
        <v>2667.4768652796747</v>
      </c>
      <c r="AA458">
        <v>1029.8135102807582</v>
      </c>
      <c r="AB458">
        <v>21160.344696446657</v>
      </c>
      <c r="AC458">
        <v>20032.195714783669</v>
      </c>
      <c r="AD458">
        <v>41192.540411230322</v>
      </c>
      <c r="AE458">
        <v>1.1288014661296726</v>
      </c>
      <c r="AF458" s="1" t="s">
        <v>4616</v>
      </c>
      <c r="AG458" s="1" t="s">
        <v>4617</v>
      </c>
      <c r="AH458" s="1" t="s">
        <v>4618</v>
      </c>
      <c r="AI458" s="1" t="str">
        <f>_xlfn.TEXTAFTER(_xlfn.TEXTBEFORE(batch_summary[[#This Row],[video]],"_",1),"-",3)</f>
        <v>16</v>
      </c>
      <c r="AJ458" s="1" t="str">
        <f>_xlfn.TEXTBEFORE(_xlfn.TEXTAFTER(batch_summary[[#This Row],[video]],"_",1),"_",1)</f>
        <v>20260410</v>
      </c>
      <c r="AK458" s="1" t="str">
        <f>_xlfn.TEXTBEFORE(_xlfn.TEXTAFTER(batch_summary[[#This Row],[video]],"_",2),".",1)</f>
        <v>140000</v>
      </c>
    </row>
    <row r="459" spans="1:37" x14ac:dyDescent="0.2">
      <c r="A459" s="1" t="s">
        <v>4619</v>
      </c>
      <c r="B459" s="1" t="s">
        <v>4620</v>
      </c>
      <c r="C459">
        <v>119.95833333333333</v>
      </c>
      <c r="D459">
        <v>2879</v>
      </c>
      <c r="E459">
        <v>0.41333665698766708</v>
      </c>
      <c r="F459">
        <v>38.945376732386649</v>
      </c>
      <c r="G459">
        <v>1.4356952309401428E-4</v>
      </c>
      <c r="H459">
        <v>1.3527397267240934E-2</v>
      </c>
      <c r="I459">
        <v>5</v>
      </c>
      <c r="J459" t="b">
        <v>1</v>
      </c>
      <c r="K459">
        <v>0.65</v>
      </c>
      <c r="L459">
        <v>1.3</v>
      </c>
      <c r="M459" t="b">
        <v>1</v>
      </c>
      <c r="N459">
        <v>200</v>
      </c>
      <c r="O459" t="b">
        <v>0</v>
      </c>
      <c r="P459" t="b">
        <v>0</v>
      </c>
      <c r="Q459">
        <v>0.7</v>
      </c>
      <c r="R459">
        <v>3524646.3893549442</v>
      </c>
      <c r="S459">
        <v>3321093.3852149844</v>
      </c>
      <c r="T459">
        <v>3134516.4554217458</v>
      </c>
      <c r="U459">
        <v>2936335.7677150369</v>
      </c>
      <c r="V459">
        <v>6845739.7745699286</v>
      </c>
      <c r="W459">
        <v>6070852.2231367826</v>
      </c>
      <c r="X459">
        <v>57067.646609822259</v>
      </c>
      <c r="Y459">
        <v>50608.007417604305</v>
      </c>
      <c r="Z459">
        <v>3340.3587222290039</v>
      </c>
      <c r="AA459">
        <v>1517.7130557841956</v>
      </c>
      <c r="AB459">
        <v>31345.164554217459</v>
      </c>
      <c r="AC459">
        <v>29363.357677150369</v>
      </c>
      <c r="AD459">
        <v>60708.522231367824</v>
      </c>
      <c r="AE459">
        <v>1.1276406545492825</v>
      </c>
      <c r="AF459" s="1" t="s">
        <v>4621</v>
      </c>
      <c r="AG459" s="1" t="s">
        <v>4622</v>
      </c>
      <c r="AH459" s="1" t="s">
        <v>4623</v>
      </c>
      <c r="AI459" s="1" t="str">
        <f>_xlfn.TEXTAFTER(_xlfn.TEXTBEFORE(batch_summary[[#This Row],[video]],"_",1),"-",3)</f>
        <v>16</v>
      </c>
      <c r="AJ459" s="1" t="str">
        <f>_xlfn.TEXTBEFORE(_xlfn.TEXTAFTER(batch_summary[[#This Row],[video]],"_",1),"_",1)</f>
        <v>20260410</v>
      </c>
      <c r="AK459" s="1" t="str">
        <f>_xlfn.TEXTBEFORE(_xlfn.TEXTAFTER(batch_summary[[#This Row],[video]],"_",2),".",1)</f>
        <v>150000</v>
      </c>
    </row>
    <row r="460" spans="1:37" x14ac:dyDescent="0.2">
      <c r="A460" s="1" t="s">
        <v>4624</v>
      </c>
      <c r="B460" s="1" t="s">
        <v>4625</v>
      </c>
      <c r="C460">
        <v>119.95833333333333</v>
      </c>
      <c r="D460">
        <v>2879</v>
      </c>
      <c r="E460">
        <v>0.39373318385332823</v>
      </c>
      <c r="F460">
        <v>37.417761485092342</v>
      </c>
      <c r="G460">
        <v>1.3676039730924912E-4</v>
      </c>
      <c r="H460">
        <v>1.2996791068111269E-2</v>
      </c>
      <c r="I460">
        <v>5</v>
      </c>
      <c r="J460" t="b">
        <v>1</v>
      </c>
      <c r="K460">
        <v>0.65</v>
      </c>
      <c r="L460">
        <v>1.3</v>
      </c>
      <c r="M460" t="b">
        <v>1</v>
      </c>
      <c r="N460">
        <v>200</v>
      </c>
      <c r="O460" t="b">
        <v>0</v>
      </c>
      <c r="P460" t="b">
        <v>0</v>
      </c>
      <c r="Q460">
        <v>0.7</v>
      </c>
      <c r="R460">
        <v>402733.78123700619</v>
      </c>
      <c r="S460">
        <v>438696.17632424831</v>
      </c>
      <c r="T460">
        <v>343657.25526726246</v>
      </c>
      <c r="U460">
        <v>375028.02146059275</v>
      </c>
      <c r="V460">
        <v>841429.9575612545</v>
      </c>
      <c r="W460">
        <v>718685.27672785521</v>
      </c>
      <c r="X460">
        <v>7014.3518518479013</v>
      </c>
      <c r="Y460">
        <v>5991.124224198863</v>
      </c>
      <c r="Z460">
        <v>1169.2008728265762</v>
      </c>
      <c r="AA460">
        <v>179.67131918196381</v>
      </c>
      <c r="AB460">
        <v>3436.5725526726246</v>
      </c>
      <c r="AC460">
        <v>3750.2802146059275</v>
      </c>
      <c r="AD460">
        <v>7186.8527672785522</v>
      </c>
      <c r="AE460">
        <v>1.1707905877691704</v>
      </c>
      <c r="AF460" s="1" t="s">
        <v>4626</v>
      </c>
      <c r="AG460" s="1" t="s">
        <v>4627</v>
      </c>
      <c r="AH460" s="1" t="s">
        <v>4628</v>
      </c>
      <c r="AI460" s="1" t="str">
        <f>_xlfn.TEXTAFTER(_xlfn.TEXTBEFORE(batch_summary[[#This Row],[video]],"_",1),"-",3)</f>
        <v>16</v>
      </c>
      <c r="AJ460" s="1" t="str">
        <f>_xlfn.TEXTBEFORE(_xlfn.TEXTAFTER(batch_summary[[#This Row],[video]],"_",1),"_",1)</f>
        <v>20260410</v>
      </c>
      <c r="AK460" s="1" t="str">
        <f>_xlfn.TEXTBEFORE(_xlfn.TEXTAFTER(batch_summary[[#This Row],[video]],"_",2),".",1)</f>
        <v>160000</v>
      </c>
    </row>
    <row r="461" spans="1:37" x14ac:dyDescent="0.2">
      <c r="A461" s="1" t="s">
        <v>4629</v>
      </c>
      <c r="B461" s="1" t="s">
        <v>4630</v>
      </c>
      <c r="C461">
        <v>119.95833333333333</v>
      </c>
      <c r="D461">
        <v>2879</v>
      </c>
      <c r="E461">
        <v>0.38192274793982506</v>
      </c>
      <c r="F461">
        <v>37.080648079514503</v>
      </c>
      <c r="G461">
        <v>1.3265812710657349E-4</v>
      </c>
      <c r="H461">
        <v>1.2879697144673326E-2</v>
      </c>
      <c r="I461">
        <v>5</v>
      </c>
      <c r="J461" t="b">
        <v>1</v>
      </c>
      <c r="K461">
        <v>0.65</v>
      </c>
      <c r="L461">
        <v>1.3</v>
      </c>
      <c r="M461" t="b">
        <v>1</v>
      </c>
      <c r="N461">
        <v>200</v>
      </c>
      <c r="O461" t="b">
        <v>0</v>
      </c>
      <c r="P461" t="b">
        <v>0</v>
      </c>
      <c r="Q461">
        <v>0.7</v>
      </c>
      <c r="R461">
        <v>771.69824624061584</v>
      </c>
      <c r="S461">
        <v>1643.785652577877</v>
      </c>
      <c r="T461">
        <v>0</v>
      </c>
      <c r="U461">
        <v>0</v>
      </c>
      <c r="V461">
        <v>2415.4838988184929</v>
      </c>
      <c r="W461">
        <v>0</v>
      </c>
      <c r="X461">
        <v>20.136024165211474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2415483898.8184929</v>
      </c>
      <c r="AF461" s="1" t="s">
        <v>4631</v>
      </c>
      <c r="AG461" s="1" t="s">
        <v>4632</v>
      </c>
      <c r="AH461" s="1" t="s">
        <v>4633</v>
      </c>
      <c r="AI461" s="1" t="str">
        <f>_xlfn.TEXTAFTER(_xlfn.TEXTBEFORE(batch_summary[[#This Row],[video]],"_",1),"-",3)</f>
        <v>16</v>
      </c>
      <c r="AJ461" s="1" t="str">
        <f>_xlfn.TEXTBEFORE(_xlfn.TEXTAFTER(batch_summary[[#This Row],[video]],"_",1),"_",1)</f>
        <v>20260410</v>
      </c>
      <c r="AK461" s="1" t="str">
        <f>_xlfn.TEXTBEFORE(_xlfn.TEXTAFTER(batch_summary[[#This Row],[video]],"_",2),".",1)</f>
        <v>170000</v>
      </c>
    </row>
    <row r="462" spans="1:37" x14ac:dyDescent="0.2">
      <c r="A462" s="1" t="s">
        <v>4634</v>
      </c>
      <c r="B462" s="1" t="s">
        <v>4635</v>
      </c>
      <c r="C462">
        <v>119.95833333333333</v>
      </c>
      <c r="D462">
        <v>2879</v>
      </c>
      <c r="E462">
        <v>0.38590263109654188</v>
      </c>
      <c r="F462">
        <v>37.421843100339174</v>
      </c>
      <c r="G462">
        <v>1.340405109748322E-4</v>
      </c>
      <c r="H462">
        <v>1.2998208787891341E-2</v>
      </c>
      <c r="I462">
        <v>5</v>
      </c>
      <c r="J462" t="b">
        <v>1</v>
      </c>
      <c r="K462">
        <v>0.65</v>
      </c>
      <c r="L462">
        <v>1.3</v>
      </c>
      <c r="M462" t="b">
        <v>1</v>
      </c>
      <c r="N462">
        <v>200</v>
      </c>
      <c r="O462" t="b">
        <v>0</v>
      </c>
      <c r="P462" t="b">
        <v>0</v>
      </c>
      <c r="Q462">
        <v>0.7</v>
      </c>
      <c r="R462">
        <v>95607.470949649811</v>
      </c>
      <c r="S462">
        <v>63401.467577338219</v>
      </c>
      <c r="T462">
        <v>80566.017305374146</v>
      </c>
      <c r="U462">
        <v>43289.089293837547</v>
      </c>
      <c r="V462">
        <v>159008.93852698803</v>
      </c>
      <c r="W462">
        <v>123855.10659921169</v>
      </c>
      <c r="X462">
        <v>1325.5347428439434</v>
      </c>
      <c r="Y462">
        <v>1032.484389851018</v>
      </c>
      <c r="Z462">
        <v>671.89665406584743</v>
      </c>
      <c r="AA462">
        <v>30.963776649802924</v>
      </c>
      <c r="AB462">
        <v>805.66017305374146</v>
      </c>
      <c r="AC462">
        <v>432.89089293837549</v>
      </c>
      <c r="AD462">
        <v>1238.5510659921169</v>
      </c>
      <c r="AE462">
        <v>1.2838302989115515</v>
      </c>
      <c r="AF462" s="1" t="s">
        <v>4636</v>
      </c>
      <c r="AG462" s="1" t="s">
        <v>4637</v>
      </c>
      <c r="AH462" s="1" t="s">
        <v>4638</v>
      </c>
      <c r="AI462" s="1" t="str">
        <f>_xlfn.TEXTAFTER(_xlfn.TEXTBEFORE(batch_summary[[#This Row],[video]],"_",1),"-",3)</f>
        <v>16</v>
      </c>
      <c r="AJ462" s="1" t="str">
        <f>_xlfn.TEXTBEFORE(_xlfn.TEXTAFTER(batch_summary[[#This Row],[video]],"_",1),"_",1)</f>
        <v>20260410</v>
      </c>
      <c r="AK462" s="1" t="str">
        <f>_xlfn.TEXTBEFORE(_xlfn.TEXTAFTER(batch_summary[[#This Row],[video]],"_",2),".",1)</f>
        <v>180000</v>
      </c>
    </row>
    <row r="463" spans="1:37" x14ac:dyDescent="0.2">
      <c r="A463" s="1" t="s">
        <v>4639</v>
      </c>
      <c r="B463" s="1" t="s">
        <v>4640</v>
      </c>
      <c r="C463">
        <v>119.95833333333333</v>
      </c>
      <c r="D463">
        <v>2879</v>
      </c>
      <c r="E463">
        <v>0.37860021274536848</v>
      </c>
      <c r="F463">
        <v>37.069029057398438</v>
      </c>
      <c r="G463">
        <v>1.3150406833809257E-4</v>
      </c>
      <c r="H463">
        <v>1.287566136068025E-2</v>
      </c>
      <c r="I463">
        <v>5</v>
      </c>
      <c r="J463" t="b">
        <v>1</v>
      </c>
      <c r="K463">
        <v>0.65</v>
      </c>
      <c r="L463">
        <v>1.3</v>
      </c>
      <c r="M463" t="b">
        <v>1</v>
      </c>
      <c r="N463">
        <v>200</v>
      </c>
      <c r="O463" t="b">
        <v>0</v>
      </c>
      <c r="P463" t="b">
        <v>0</v>
      </c>
      <c r="Q463">
        <v>0.7</v>
      </c>
      <c r="R463">
        <v>69996.615218937397</v>
      </c>
      <c r="S463">
        <v>69521.395102202892</v>
      </c>
      <c r="T463">
        <v>787.86973571777344</v>
      </c>
      <c r="U463">
        <v>1553.6631164550781</v>
      </c>
      <c r="V463">
        <v>139518.01032114029</v>
      </c>
      <c r="W463">
        <v>2341.5328521728516</v>
      </c>
      <c r="X463">
        <v>1163.0539241776196</v>
      </c>
      <c r="Y463">
        <v>19.519551390117556</v>
      </c>
      <c r="Z463">
        <v>9.628099975585938</v>
      </c>
      <c r="AA463">
        <v>0.58538321304321295</v>
      </c>
      <c r="AB463">
        <v>7.8786973571777343</v>
      </c>
      <c r="AC463">
        <v>15.536631164550782</v>
      </c>
      <c r="AD463">
        <v>23.415328521728515</v>
      </c>
      <c r="AE463">
        <v>59.584049906313716</v>
      </c>
      <c r="AF463" s="1" t="s">
        <v>4641</v>
      </c>
      <c r="AG463" s="1" t="s">
        <v>4642</v>
      </c>
      <c r="AH463" s="1" t="s">
        <v>4643</v>
      </c>
      <c r="AI463" s="1" t="str">
        <f>_xlfn.TEXTAFTER(_xlfn.TEXTBEFORE(batch_summary[[#This Row],[video]],"_",1),"-",3)</f>
        <v>16</v>
      </c>
      <c r="AJ463" s="1" t="str">
        <f>_xlfn.TEXTBEFORE(_xlfn.TEXTAFTER(batch_summary[[#This Row],[video]],"_",1),"_",1)</f>
        <v>20260410</v>
      </c>
      <c r="AK463" s="1" t="str">
        <f>_xlfn.TEXTBEFORE(_xlfn.TEXTAFTER(batch_summary[[#This Row],[video]],"_",2),".",1)</f>
        <v>190000</v>
      </c>
    </row>
    <row r="464" spans="1:37" x14ac:dyDescent="0.2">
      <c r="A464" s="1" t="s">
        <v>4644</v>
      </c>
      <c r="B464" s="1" t="s">
        <v>4645</v>
      </c>
      <c r="C464">
        <v>119.95833333333333</v>
      </c>
      <c r="D464">
        <v>2879</v>
      </c>
      <c r="E464">
        <v>0.38303716294467449</v>
      </c>
      <c r="F464">
        <v>37.375268287956715</v>
      </c>
      <c r="G464">
        <v>1.3304521116522212E-4</v>
      </c>
      <c r="H464">
        <v>1.2982031360874162E-2</v>
      </c>
      <c r="I464">
        <v>5</v>
      </c>
      <c r="J464" t="b">
        <v>1</v>
      </c>
      <c r="K464">
        <v>0.65</v>
      </c>
      <c r="L464">
        <v>1.3</v>
      </c>
      <c r="M464" t="b">
        <v>1</v>
      </c>
      <c r="N464">
        <v>200</v>
      </c>
      <c r="O464" t="b">
        <v>0</v>
      </c>
      <c r="P464" t="b">
        <v>0</v>
      </c>
      <c r="Q464">
        <v>0.7</v>
      </c>
      <c r="R464">
        <v>2734.7782981395721</v>
      </c>
      <c r="S464">
        <v>2178.4170794487</v>
      </c>
      <c r="T464">
        <v>0</v>
      </c>
      <c r="U464">
        <v>0</v>
      </c>
      <c r="V464">
        <v>4913.1953775882721</v>
      </c>
      <c r="W464">
        <v>0</v>
      </c>
      <c r="X464">
        <v>40.9575161730179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4913195377.5882721</v>
      </c>
      <c r="AF464" s="1" t="s">
        <v>4646</v>
      </c>
      <c r="AG464" s="1" t="s">
        <v>4647</v>
      </c>
      <c r="AH464" s="1" t="s">
        <v>4648</v>
      </c>
      <c r="AI464" s="1" t="str">
        <f>_xlfn.TEXTAFTER(_xlfn.TEXTBEFORE(batch_summary[[#This Row],[video]],"_",1),"-",3)</f>
        <v>16</v>
      </c>
      <c r="AJ464" s="1" t="str">
        <f>_xlfn.TEXTBEFORE(_xlfn.TEXTAFTER(batch_summary[[#This Row],[video]],"_",1),"_",1)</f>
        <v>20260411</v>
      </c>
      <c r="AK464" s="1" t="str">
        <f>_xlfn.TEXTBEFORE(_xlfn.TEXTAFTER(batch_summary[[#This Row],[video]],"_",2),".",1)</f>
        <v>060000</v>
      </c>
    </row>
    <row r="465" spans="1:37" x14ac:dyDescent="0.2">
      <c r="A465" s="1" t="s">
        <v>4649</v>
      </c>
      <c r="B465" s="1" t="s">
        <v>4650</v>
      </c>
      <c r="C465">
        <v>119.95833333333333</v>
      </c>
      <c r="D465">
        <v>2879</v>
      </c>
      <c r="E465">
        <v>0.38126595038920641</v>
      </c>
      <c r="F465">
        <v>36.787809725850821</v>
      </c>
      <c r="G465">
        <v>1.3242999318833151E-4</v>
      </c>
      <c r="H465">
        <v>1.2777981842949225E-2</v>
      </c>
      <c r="I465">
        <v>5</v>
      </c>
      <c r="J465" t="b">
        <v>1</v>
      </c>
      <c r="K465">
        <v>0.65</v>
      </c>
      <c r="L465">
        <v>1.3</v>
      </c>
      <c r="M465" t="b">
        <v>1</v>
      </c>
      <c r="N465">
        <v>200</v>
      </c>
      <c r="O465" t="b">
        <v>0</v>
      </c>
      <c r="P465" t="b">
        <v>0</v>
      </c>
      <c r="Q465">
        <v>0.7</v>
      </c>
      <c r="R465">
        <v>1483.4027019143105</v>
      </c>
      <c r="S465">
        <v>1502.0059322714806</v>
      </c>
      <c r="T465">
        <v>0</v>
      </c>
      <c r="U465">
        <v>0</v>
      </c>
      <c r="V465">
        <v>2985.408634185791</v>
      </c>
      <c r="W465">
        <v>0</v>
      </c>
      <c r="X465">
        <v>24.887046620513715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2985408634.185791</v>
      </c>
      <c r="AF465" s="1" t="s">
        <v>4651</v>
      </c>
      <c r="AG465" s="1" t="s">
        <v>4652</v>
      </c>
      <c r="AH465" s="1" t="s">
        <v>4653</v>
      </c>
      <c r="AI465" s="1" t="str">
        <f>_xlfn.TEXTAFTER(_xlfn.TEXTBEFORE(batch_summary[[#This Row],[video]],"_",1),"-",3)</f>
        <v>16</v>
      </c>
      <c r="AJ465" s="1" t="str">
        <f>_xlfn.TEXTBEFORE(_xlfn.TEXTAFTER(batch_summary[[#This Row],[video]],"_",1),"_",1)</f>
        <v>20260411</v>
      </c>
      <c r="AK465" s="1" t="str">
        <f>_xlfn.TEXTBEFORE(_xlfn.TEXTAFTER(batch_summary[[#This Row],[video]],"_",2),".",1)</f>
        <v>070000</v>
      </c>
    </row>
    <row r="466" spans="1:37" x14ac:dyDescent="0.2">
      <c r="A466" s="1" t="s">
        <v>4654</v>
      </c>
      <c r="B466" s="1" t="s">
        <v>4655</v>
      </c>
      <c r="C466">
        <v>119.95833333333333</v>
      </c>
      <c r="D466">
        <v>2879</v>
      </c>
      <c r="E466">
        <v>0.37311319634318352</v>
      </c>
      <c r="F466">
        <v>36.768389820121229</v>
      </c>
      <c r="G466">
        <v>1.2959819254712869E-4</v>
      </c>
      <c r="H466">
        <v>1.2771236477985838E-2</v>
      </c>
      <c r="I466">
        <v>5</v>
      </c>
      <c r="J466" t="b">
        <v>1</v>
      </c>
      <c r="K466">
        <v>0.65</v>
      </c>
      <c r="L466">
        <v>1.3</v>
      </c>
      <c r="M466" t="b">
        <v>1</v>
      </c>
      <c r="N466">
        <v>200</v>
      </c>
      <c r="O466" t="b">
        <v>0</v>
      </c>
      <c r="P466" t="b">
        <v>0</v>
      </c>
      <c r="Q466">
        <v>0.7</v>
      </c>
      <c r="R466">
        <v>1574.5479304790497</v>
      </c>
      <c r="S466">
        <v>2644.0640506744385</v>
      </c>
      <c r="T466">
        <v>0</v>
      </c>
      <c r="U466">
        <v>0</v>
      </c>
      <c r="V466">
        <v>4218.6119811534882</v>
      </c>
      <c r="W466">
        <v>0</v>
      </c>
      <c r="X466">
        <v>35.16731071472168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4218611981.1534882</v>
      </c>
      <c r="AF466" s="1" t="s">
        <v>4656</v>
      </c>
      <c r="AG466" s="1" t="s">
        <v>4657</v>
      </c>
      <c r="AH466" s="1" t="s">
        <v>4658</v>
      </c>
      <c r="AI466" s="1" t="str">
        <f>_xlfn.TEXTAFTER(_xlfn.TEXTBEFORE(batch_summary[[#This Row],[video]],"_",1),"-",3)</f>
        <v>16</v>
      </c>
      <c r="AJ466" s="1" t="str">
        <f>_xlfn.TEXTBEFORE(_xlfn.TEXTAFTER(batch_summary[[#This Row],[video]],"_",1),"_",1)</f>
        <v>20260411</v>
      </c>
      <c r="AK466" s="1" t="str">
        <f>_xlfn.TEXTBEFORE(_xlfn.TEXTAFTER(batch_summary[[#This Row],[video]],"_",2),".",1)</f>
        <v>080000</v>
      </c>
    </row>
    <row r="467" spans="1:37" x14ac:dyDescent="0.2">
      <c r="A467" s="1" t="s">
        <v>4659</v>
      </c>
      <c r="B467" s="1" t="s">
        <v>4660</v>
      </c>
      <c r="C467">
        <v>119.95833333333333</v>
      </c>
      <c r="D467">
        <v>2879</v>
      </c>
      <c r="E467">
        <v>0.40889846626669168</v>
      </c>
      <c r="F467">
        <v>38.603586965240538</v>
      </c>
      <c r="G467">
        <v>1.4202794938058063E-4</v>
      </c>
      <c r="H467">
        <v>1.340867904315406E-2</v>
      </c>
      <c r="I467">
        <v>5</v>
      </c>
      <c r="J467" t="b">
        <v>1</v>
      </c>
      <c r="K467">
        <v>0.65</v>
      </c>
      <c r="L467">
        <v>1.3</v>
      </c>
      <c r="M467" t="b">
        <v>1</v>
      </c>
      <c r="N467">
        <v>200</v>
      </c>
      <c r="O467" t="b">
        <v>0</v>
      </c>
      <c r="P467" t="b">
        <v>0</v>
      </c>
      <c r="Q467">
        <v>0.7</v>
      </c>
      <c r="R467">
        <v>4589702.6914948821</v>
      </c>
      <c r="S467">
        <v>4953947.4018352032</v>
      </c>
      <c r="T467">
        <v>3930117.3745462298</v>
      </c>
      <c r="U467">
        <v>4233600.1301202178</v>
      </c>
      <c r="V467">
        <v>9543650.0933300853</v>
      </c>
      <c r="W467">
        <v>8163717.5046664476</v>
      </c>
      <c r="X467">
        <v>79558.041764474488</v>
      </c>
      <c r="Y467">
        <v>68054.609278219781</v>
      </c>
      <c r="Z467">
        <v>5790.1321973562244</v>
      </c>
      <c r="AA467">
        <v>2040.9293761666122</v>
      </c>
      <c r="AB467">
        <v>39301.1737454623</v>
      </c>
      <c r="AC467">
        <v>42336.001301202181</v>
      </c>
      <c r="AD467">
        <v>81637.175046664488</v>
      </c>
      <c r="AE467">
        <v>1.1690323786773436</v>
      </c>
      <c r="AF467" s="1" t="s">
        <v>4661</v>
      </c>
      <c r="AG467" s="1" t="s">
        <v>4662</v>
      </c>
      <c r="AH467" s="1" t="s">
        <v>4663</v>
      </c>
      <c r="AI467" s="1" t="str">
        <f>_xlfn.TEXTAFTER(_xlfn.TEXTBEFORE(batch_summary[[#This Row],[video]],"_",1),"-",3)</f>
        <v>16</v>
      </c>
      <c r="AJ467" s="1" t="str">
        <f>_xlfn.TEXTBEFORE(_xlfn.TEXTAFTER(batch_summary[[#This Row],[video]],"_",1),"_",1)</f>
        <v>20260411</v>
      </c>
      <c r="AK467" s="1" t="str">
        <f>_xlfn.TEXTBEFORE(_xlfn.TEXTAFTER(batch_summary[[#This Row],[video]],"_",2),".",1)</f>
        <v>090000</v>
      </c>
    </row>
    <row r="468" spans="1:37" x14ac:dyDescent="0.2">
      <c r="A468" s="1" t="s">
        <v>4664</v>
      </c>
      <c r="B468" s="1" t="s">
        <v>4665</v>
      </c>
      <c r="C468">
        <v>119.95833333333333</v>
      </c>
      <c r="D468">
        <v>2879</v>
      </c>
      <c r="E468">
        <v>0.3667503846809268</v>
      </c>
      <c r="F468">
        <v>37.07404334936291</v>
      </c>
      <c r="G468">
        <v>1.2738811555433371E-4</v>
      </c>
      <c r="H468">
        <v>1.2877403039028451E-2</v>
      </c>
      <c r="I468">
        <v>5</v>
      </c>
      <c r="J468" t="b">
        <v>1</v>
      </c>
      <c r="K468">
        <v>0.65</v>
      </c>
      <c r="L468">
        <v>1.3</v>
      </c>
      <c r="M468" t="b">
        <v>1</v>
      </c>
      <c r="N468">
        <v>200</v>
      </c>
      <c r="O468" t="b">
        <v>0</v>
      </c>
      <c r="P468" t="b">
        <v>0</v>
      </c>
      <c r="Q468">
        <v>0.7</v>
      </c>
      <c r="R468">
        <v>22004286.5772295</v>
      </c>
      <c r="S468">
        <v>17610146.222457886</v>
      </c>
      <c r="T468">
        <v>20959560.693337202</v>
      </c>
      <c r="U468">
        <v>16622061.195339918</v>
      </c>
      <c r="V468">
        <v>39614432.799687386</v>
      </c>
      <c r="W468">
        <v>37581621.88867712</v>
      </c>
      <c r="X468">
        <v>330234.93823983928</v>
      </c>
      <c r="Y468">
        <v>313288.96329567593</v>
      </c>
      <c r="Z468">
        <v>13613.152683105469</v>
      </c>
      <c r="AA468">
        <v>9395.405472169281</v>
      </c>
      <c r="AB468">
        <v>209595.60693337201</v>
      </c>
      <c r="AC468">
        <v>166220.61195339917</v>
      </c>
      <c r="AD468">
        <v>375816.21888677118</v>
      </c>
      <c r="AE468">
        <v>1.0540905583327878</v>
      </c>
      <c r="AF468" s="1" t="s">
        <v>4666</v>
      </c>
      <c r="AG468" s="1" t="s">
        <v>4667</v>
      </c>
      <c r="AH468" s="1" t="s">
        <v>4668</v>
      </c>
      <c r="AI468" s="1" t="str">
        <f>_xlfn.TEXTAFTER(_xlfn.TEXTBEFORE(batch_summary[[#This Row],[video]],"_",1),"-",3)</f>
        <v>16</v>
      </c>
      <c r="AJ468" s="1" t="str">
        <f>_xlfn.TEXTBEFORE(_xlfn.TEXTAFTER(batch_summary[[#This Row],[video]],"_",1),"_",1)</f>
        <v>20260411</v>
      </c>
      <c r="AK468" s="1" t="str">
        <f>_xlfn.TEXTBEFORE(_xlfn.TEXTAFTER(batch_summary[[#This Row],[video]],"_",2),".",1)</f>
        <v>100000</v>
      </c>
    </row>
    <row r="469" spans="1:37" x14ac:dyDescent="0.2">
      <c r="A469" s="1" t="s">
        <v>4669</v>
      </c>
      <c r="B469" s="1" t="s">
        <v>4670</v>
      </c>
      <c r="C469">
        <v>119.95833333333333</v>
      </c>
      <c r="D469">
        <v>2879</v>
      </c>
      <c r="E469">
        <v>0.40494585502892733</v>
      </c>
      <c r="F469">
        <v>38.86299598030746</v>
      </c>
      <c r="G469">
        <v>1.4065503821775871E-4</v>
      </c>
      <c r="H469">
        <v>1.3498782903892831E-2</v>
      </c>
      <c r="I469">
        <v>5</v>
      </c>
      <c r="J469" t="b">
        <v>1</v>
      </c>
      <c r="K469">
        <v>0.65</v>
      </c>
      <c r="L469">
        <v>1.3</v>
      </c>
      <c r="M469" t="b">
        <v>1</v>
      </c>
      <c r="N469">
        <v>200</v>
      </c>
      <c r="O469" t="b">
        <v>0</v>
      </c>
      <c r="P469" t="b">
        <v>0</v>
      </c>
      <c r="Q469">
        <v>0.7</v>
      </c>
      <c r="R469">
        <v>9735952.1076607704</v>
      </c>
      <c r="S469">
        <v>8552420.7468459606</v>
      </c>
      <c r="T469">
        <v>8735471.8922858238</v>
      </c>
      <c r="U469">
        <v>7498831.9980511665</v>
      </c>
      <c r="V469">
        <v>18288372.854506731</v>
      </c>
      <c r="W469">
        <v>16234303.89033699</v>
      </c>
      <c r="X469">
        <v>152456.04324701687</v>
      </c>
      <c r="Y469">
        <v>135332.85632792211</v>
      </c>
      <c r="Z469">
        <v>7846.4920480346682</v>
      </c>
      <c r="AA469">
        <v>4058.5759725842481</v>
      </c>
      <c r="AB469">
        <v>87354.718922858243</v>
      </c>
      <c r="AC469">
        <v>74988.31998051166</v>
      </c>
      <c r="AD469">
        <v>162343.03890336992</v>
      </c>
      <c r="AE469">
        <v>1.126526457681525</v>
      </c>
      <c r="AF469" s="1" t="s">
        <v>4671</v>
      </c>
      <c r="AG469" s="1" t="s">
        <v>4672</v>
      </c>
      <c r="AH469" s="1" t="s">
        <v>4673</v>
      </c>
      <c r="AI469" s="1" t="str">
        <f>_xlfn.TEXTAFTER(_xlfn.TEXTBEFORE(batch_summary[[#This Row],[video]],"_",1),"-",3)</f>
        <v>16</v>
      </c>
      <c r="AJ469" s="1" t="str">
        <f>_xlfn.TEXTBEFORE(_xlfn.TEXTAFTER(batch_summary[[#This Row],[video]],"_",1),"_",1)</f>
        <v>20260411</v>
      </c>
      <c r="AK469" s="1" t="str">
        <f>_xlfn.TEXTBEFORE(_xlfn.TEXTAFTER(batch_summary[[#This Row],[video]],"_",2),".",1)</f>
        <v>110000</v>
      </c>
    </row>
    <row r="470" spans="1:37" x14ac:dyDescent="0.2">
      <c r="A470" s="1" t="s">
        <v>4674</v>
      </c>
      <c r="B470" s="1" t="s">
        <v>4675</v>
      </c>
      <c r="C470">
        <v>119.95833333333333</v>
      </c>
      <c r="D470">
        <v>2879</v>
      </c>
      <c r="E470">
        <v>0.41647375654429197</v>
      </c>
      <c r="F470">
        <v>39.267673253081739</v>
      </c>
      <c r="G470">
        <v>1.4465917212375546E-4</v>
      </c>
      <c r="H470">
        <v>1.3639344651990879E-2</v>
      </c>
      <c r="I470">
        <v>5</v>
      </c>
      <c r="J470" t="b">
        <v>1</v>
      </c>
      <c r="K470">
        <v>0.65</v>
      </c>
      <c r="L470">
        <v>1.3</v>
      </c>
      <c r="M470" t="b">
        <v>1</v>
      </c>
      <c r="N470">
        <v>200</v>
      </c>
      <c r="O470" t="b">
        <v>0</v>
      </c>
      <c r="P470" t="b">
        <v>0</v>
      </c>
      <c r="Q470">
        <v>0.7</v>
      </c>
      <c r="R470">
        <v>6660730.2451107502</v>
      </c>
      <c r="S470">
        <v>6179952.7556846142</v>
      </c>
      <c r="T470">
        <v>5830935.1476560831</v>
      </c>
      <c r="U470">
        <v>5357409.5418955684</v>
      </c>
      <c r="V470">
        <v>12840683.000795364</v>
      </c>
      <c r="W470">
        <v>11188344.689551651</v>
      </c>
      <c r="X470">
        <v>107042.85933278526</v>
      </c>
      <c r="Y470">
        <v>93268.590673580984</v>
      </c>
      <c r="Z470">
        <v>7646.6280346679687</v>
      </c>
      <c r="AA470">
        <v>2797.0861723879125</v>
      </c>
      <c r="AB470">
        <v>58309.351476560834</v>
      </c>
      <c r="AC470">
        <v>53574.095418955687</v>
      </c>
      <c r="AD470">
        <v>111883.44689551652</v>
      </c>
      <c r="AE470">
        <v>1.1476838940068379</v>
      </c>
      <c r="AF470" s="1" t="s">
        <v>4676</v>
      </c>
      <c r="AG470" s="1" t="s">
        <v>4677</v>
      </c>
      <c r="AH470" s="1" t="s">
        <v>4678</v>
      </c>
      <c r="AI470" s="1" t="str">
        <f>_xlfn.TEXTAFTER(_xlfn.TEXTBEFORE(batch_summary[[#This Row],[video]],"_",1),"-",3)</f>
        <v>16</v>
      </c>
      <c r="AJ470" s="1" t="str">
        <f>_xlfn.TEXTBEFORE(_xlfn.TEXTAFTER(batch_summary[[#This Row],[video]],"_",1),"_",1)</f>
        <v>20260411</v>
      </c>
      <c r="AK470" s="1" t="str">
        <f>_xlfn.TEXTBEFORE(_xlfn.TEXTAFTER(batch_summary[[#This Row],[video]],"_",2),".",1)</f>
        <v>120000</v>
      </c>
    </row>
    <row r="471" spans="1:37" x14ac:dyDescent="0.2">
      <c r="A471" s="1" t="s">
        <v>4679</v>
      </c>
      <c r="B471" s="1" t="s">
        <v>4680</v>
      </c>
      <c r="C471">
        <v>119.95833333333333</v>
      </c>
      <c r="D471">
        <v>2879</v>
      </c>
      <c r="E471">
        <v>0.41063671931624413</v>
      </c>
      <c r="F471">
        <v>39.109956079162657</v>
      </c>
      <c r="G471">
        <v>1.4263171910949778E-4</v>
      </c>
      <c r="H471">
        <v>1.3584562722876921E-2</v>
      </c>
      <c r="I471">
        <v>5</v>
      </c>
      <c r="J471" t="b">
        <v>1</v>
      </c>
      <c r="K471">
        <v>0.65</v>
      </c>
      <c r="L471">
        <v>1.3</v>
      </c>
      <c r="M471" t="b">
        <v>1</v>
      </c>
      <c r="N471">
        <v>200</v>
      </c>
      <c r="O471" t="b">
        <v>0</v>
      </c>
      <c r="P471" t="b">
        <v>0</v>
      </c>
      <c r="Q471">
        <v>0.7</v>
      </c>
      <c r="R471">
        <v>5794130.552377224</v>
      </c>
      <c r="S471">
        <v>6100921.5296782851</v>
      </c>
      <c r="T471">
        <v>4912386.7395834923</v>
      </c>
      <c r="U471">
        <v>5234635.2322614789</v>
      </c>
      <c r="V471">
        <v>11895052.082055509</v>
      </c>
      <c r="W471">
        <v>10147021.971844971</v>
      </c>
      <c r="X471">
        <v>99159.864525645098</v>
      </c>
      <c r="Y471">
        <v>84587.887226217194</v>
      </c>
      <c r="Z471">
        <v>5864.3644702148431</v>
      </c>
      <c r="AA471">
        <v>2536.7554929612429</v>
      </c>
      <c r="AB471">
        <v>49123.867395834925</v>
      </c>
      <c r="AC471">
        <v>52346.352322614788</v>
      </c>
      <c r="AD471">
        <v>101470.21971844972</v>
      </c>
      <c r="AE471">
        <v>1.172270259694008</v>
      </c>
      <c r="AF471" s="1" t="s">
        <v>4681</v>
      </c>
      <c r="AG471" s="1" t="s">
        <v>4682</v>
      </c>
      <c r="AH471" s="1" t="s">
        <v>4683</v>
      </c>
      <c r="AI471" s="1" t="str">
        <f>_xlfn.TEXTAFTER(_xlfn.TEXTBEFORE(batch_summary[[#This Row],[video]],"_",1),"-",3)</f>
        <v>16</v>
      </c>
      <c r="AJ471" s="1" t="str">
        <f>_xlfn.TEXTBEFORE(_xlfn.TEXTAFTER(batch_summary[[#This Row],[video]],"_",1),"_",1)</f>
        <v>20260411</v>
      </c>
      <c r="AK471" s="1" t="str">
        <f>_xlfn.TEXTBEFORE(_xlfn.TEXTAFTER(batch_summary[[#This Row],[video]],"_",2),".",1)</f>
        <v>130000</v>
      </c>
    </row>
    <row r="472" spans="1:37" x14ac:dyDescent="0.2">
      <c r="A472" s="1" t="s">
        <v>4684</v>
      </c>
      <c r="B472" s="1" t="s">
        <v>4685</v>
      </c>
      <c r="C472">
        <v>119.95833333333333</v>
      </c>
      <c r="D472">
        <v>2879</v>
      </c>
      <c r="E472">
        <v>0.39777562022209167</v>
      </c>
      <c r="F472">
        <v>38.607287159189582</v>
      </c>
      <c r="G472">
        <v>1.3816450858704122E-4</v>
      </c>
      <c r="H472">
        <v>1.3409964278982141E-2</v>
      </c>
      <c r="I472">
        <v>5</v>
      </c>
      <c r="J472" t="b">
        <v>1</v>
      </c>
      <c r="K472">
        <v>0.65</v>
      </c>
      <c r="L472">
        <v>1.3</v>
      </c>
      <c r="M472" t="b">
        <v>1</v>
      </c>
      <c r="N472">
        <v>200</v>
      </c>
      <c r="O472" t="b">
        <v>0</v>
      </c>
      <c r="P472" t="b">
        <v>0</v>
      </c>
      <c r="Q472">
        <v>0.7</v>
      </c>
      <c r="R472">
        <v>12439688.164385259</v>
      </c>
      <c r="S472">
        <v>9876625.8358768821</v>
      </c>
      <c r="T472">
        <v>11535859.010285079</v>
      </c>
      <c r="U472">
        <v>9002095.0124660134</v>
      </c>
      <c r="V472">
        <v>22316314.000262141</v>
      </c>
      <c r="W472">
        <v>20537954.022751093</v>
      </c>
      <c r="X472">
        <v>186033.87843219569</v>
      </c>
      <c r="Y472">
        <v>171209.06444808136</v>
      </c>
      <c r="Z472">
        <v>8215.544690246581</v>
      </c>
      <c r="AA472">
        <v>5134.4885056877729</v>
      </c>
      <c r="AB472">
        <v>115358.59010285079</v>
      </c>
      <c r="AC472">
        <v>90020.950124660128</v>
      </c>
      <c r="AD472">
        <v>205379.54022751091</v>
      </c>
      <c r="AE472">
        <v>1.0865889550410452</v>
      </c>
      <c r="AF472" s="1" t="s">
        <v>4686</v>
      </c>
      <c r="AG472" s="1" t="s">
        <v>4687</v>
      </c>
      <c r="AH472" s="1" t="s">
        <v>4688</v>
      </c>
      <c r="AI472" s="1" t="str">
        <f>_xlfn.TEXTAFTER(_xlfn.TEXTBEFORE(batch_summary[[#This Row],[video]],"_",1),"-",3)</f>
        <v>16</v>
      </c>
      <c r="AJ472" s="1" t="str">
        <f>_xlfn.TEXTBEFORE(_xlfn.TEXTAFTER(batch_summary[[#This Row],[video]],"_",1),"_",1)</f>
        <v>20260411</v>
      </c>
      <c r="AK472" s="1" t="str">
        <f>_xlfn.TEXTBEFORE(_xlfn.TEXTAFTER(batch_summary[[#This Row],[video]],"_",2),".",1)</f>
        <v>140000</v>
      </c>
    </row>
    <row r="473" spans="1:37" x14ac:dyDescent="0.2">
      <c r="A473" s="1" t="s">
        <v>4689</v>
      </c>
      <c r="B473" s="1" t="s">
        <v>4690</v>
      </c>
      <c r="C473">
        <v>119.95833333333333</v>
      </c>
      <c r="D473">
        <v>2879</v>
      </c>
      <c r="E473">
        <v>0.41545730922371149</v>
      </c>
      <c r="F473">
        <v>39.012076898477972</v>
      </c>
      <c r="G473">
        <v>1.4430611643755176E-4</v>
      </c>
      <c r="H473">
        <v>1.3550565091517183E-2</v>
      </c>
      <c r="I473">
        <v>5</v>
      </c>
      <c r="J473" t="b">
        <v>1</v>
      </c>
      <c r="K473">
        <v>0.65</v>
      </c>
      <c r="L473">
        <v>1.3</v>
      </c>
      <c r="M473" t="b">
        <v>1</v>
      </c>
      <c r="N473">
        <v>200</v>
      </c>
      <c r="O473" t="b">
        <v>0</v>
      </c>
      <c r="P473" t="b">
        <v>0</v>
      </c>
      <c r="Q473">
        <v>0.7</v>
      </c>
      <c r="R473">
        <v>2471979.350194633</v>
      </c>
      <c r="S473">
        <v>2145714.8732216358</v>
      </c>
      <c r="T473">
        <v>2064958.6880851388</v>
      </c>
      <c r="U473">
        <v>1765544.8879901171</v>
      </c>
      <c r="V473">
        <v>4617694.2234162688</v>
      </c>
      <c r="W473">
        <v>3830503.5760752559</v>
      </c>
      <c r="X473">
        <v>38494.151219864696</v>
      </c>
      <c r="Y473">
        <v>31931.950616813527</v>
      </c>
      <c r="Z473">
        <v>2288.9737379944327</v>
      </c>
      <c r="AA473">
        <v>957.62589401881417</v>
      </c>
      <c r="AB473">
        <v>20649.586880851388</v>
      </c>
      <c r="AC473">
        <v>17655.448879901171</v>
      </c>
      <c r="AD473">
        <v>38305.035760752558</v>
      </c>
      <c r="AE473">
        <v>1.2055057857817146</v>
      </c>
      <c r="AF473" s="1" t="s">
        <v>4691</v>
      </c>
      <c r="AG473" s="1" t="s">
        <v>4692</v>
      </c>
      <c r="AH473" s="1" t="s">
        <v>4693</v>
      </c>
      <c r="AI473" s="1" t="str">
        <f>_xlfn.TEXTAFTER(_xlfn.TEXTBEFORE(batch_summary[[#This Row],[video]],"_",1),"-",3)</f>
        <v>16</v>
      </c>
      <c r="AJ473" s="1" t="str">
        <f>_xlfn.TEXTBEFORE(_xlfn.TEXTAFTER(batch_summary[[#This Row],[video]],"_",1),"_",1)</f>
        <v>20260411</v>
      </c>
      <c r="AK473" s="1" t="str">
        <f>_xlfn.TEXTBEFORE(_xlfn.TEXTAFTER(batch_summary[[#This Row],[video]],"_",2),".",1)</f>
        <v>150000</v>
      </c>
    </row>
    <row r="474" spans="1:37" x14ac:dyDescent="0.2">
      <c r="A474" s="1" t="s">
        <v>4694</v>
      </c>
      <c r="B474" s="1" t="s">
        <v>4695</v>
      </c>
      <c r="C474">
        <v>119.95833333333333</v>
      </c>
      <c r="D474">
        <v>2879</v>
      </c>
      <c r="E474">
        <v>0.40960925351828337</v>
      </c>
      <c r="F474">
        <v>38.837799564935267</v>
      </c>
      <c r="G474">
        <v>1.4227483623420749E-4</v>
      </c>
      <c r="H474">
        <v>1.3490031109737849E-2</v>
      </c>
      <c r="I474">
        <v>5</v>
      </c>
      <c r="J474" t="b">
        <v>1</v>
      </c>
      <c r="K474">
        <v>0.65</v>
      </c>
      <c r="L474">
        <v>1.3</v>
      </c>
      <c r="M474" t="b">
        <v>1</v>
      </c>
      <c r="N474">
        <v>200</v>
      </c>
      <c r="O474" t="b">
        <v>0</v>
      </c>
      <c r="P474" t="b">
        <v>0</v>
      </c>
      <c r="Q474">
        <v>0.7</v>
      </c>
      <c r="R474">
        <v>5285244.9067355394</v>
      </c>
      <c r="S474">
        <v>5038652.1604132056</v>
      </c>
      <c r="T474">
        <v>4753720.1294633746</v>
      </c>
      <c r="U474">
        <v>4454370.0858184099</v>
      </c>
      <c r="V474">
        <v>10323897.067148745</v>
      </c>
      <c r="W474">
        <v>9208090.2152817845</v>
      </c>
      <c r="X474">
        <v>86062.35832287943</v>
      </c>
      <c r="Y474">
        <v>76760.738161432033</v>
      </c>
      <c r="Z474">
        <v>5628.114201202392</v>
      </c>
      <c r="AA474">
        <v>2302.0225538204459</v>
      </c>
      <c r="AB474">
        <v>47537.201294633749</v>
      </c>
      <c r="AC474">
        <v>44543.7008581841</v>
      </c>
      <c r="AD474">
        <v>92080.902152817842</v>
      </c>
      <c r="AE474">
        <v>1.121176794077795</v>
      </c>
      <c r="AF474" s="1" t="s">
        <v>4696</v>
      </c>
      <c r="AG474" s="1" t="s">
        <v>4697</v>
      </c>
      <c r="AH474" s="1" t="s">
        <v>4698</v>
      </c>
      <c r="AI474" s="1" t="str">
        <f>_xlfn.TEXTAFTER(_xlfn.TEXTBEFORE(batch_summary[[#This Row],[video]],"_",1),"-",3)</f>
        <v>16</v>
      </c>
      <c r="AJ474" s="1" t="str">
        <f>_xlfn.TEXTBEFORE(_xlfn.TEXTAFTER(batch_summary[[#This Row],[video]],"_",1),"_",1)</f>
        <v>20260411</v>
      </c>
      <c r="AK474" s="1" t="str">
        <f>_xlfn.TEXTBEFORE(_xlfn.TEXTAFTER(batch_summary[[#This Row],[video]],"_",2),".",1)</f>
        <v>160000</v>
      </c>
    </row>
    <row r="475" spans="1:37" x14ac:dyDescent="0.2">
      <c r="A475" s="1" t="s">
        <v>4699</v>
      </c>
      <c r="B475" s="1" t="s">
        <v>4700</v>
      </c>
      <c r="C475">
        <v>119.95833333333333</v>
      </c>
      <c r="D475">
        <v>2879</v>
      </c>
      <c r="E475">
        <v>0.40745963528752327</v>
      </c>
      <c r="F475">
        <v>38.792095721699297</v>
      </c>
      <c r="G475">
        <v>1.4152818176016785E-4</v>
      </c>
      <c r="H475">
        <v>1.3474156207606563E-2</v>
      </c>
      <c r="I475">
        <v>5</v>
      </c>
      <c r="J475" t="b">
        <v>1</v>
      </c>
      <c r="K475">
        <v>0.65</v>
      </c>
      <c r="L475">
        <v>1.3</v>
      </c>
      <c r="M475" t="b">
        <v>1</v>
      </c>
      <c r="N475">
        <v>200</v>
      </c>
      <c r="O475" t="b">
        <v>0</v>
      </c>
      <c r="P475" t="b">
        <v>0</v>
      </c>
      <c r="Q475">
        <v>0.7</v>
      </c>
      <c r="R475">
        <v>3735982.1129472852</v>
      </c>
      <c r="S475">
        <v>3246327.1030423045</v>
      </c>
      <c r="T475">
        <v>3345306.2259178758</v>
      </c>
      <c r="U475">
        <v>2846942.3268713951</v>
      </c>
      <c r="V475">
        <v>6982309.2159895897</v>
      </c>
      <c r="W475">
        <v>6192248.5527892709</v>
      </c>
      <c r="X475">
        <v>58206.120591785395</v>
      </c>
      <c r="Y475">
        <v>51619.994882578154</v>
      </c>
      <c r="Z475">
        <v>3230.696036846638</v>
      </c>
      <c r="AA475">
        <v>1548.0621381973178</v>
      </c>
      <c r="AB475">
        <v>33453.062259178754</v>
      </c>
      <c r="AC475">
        <v>28469.423268713952</v>
      </c>
      <c r="AD475">
        <v>61922.485527892706</v>
      </c>
      <c r="AE475">
        <v>1.127588654826273</v>
      </c>
      <c r="AF475" s="1" t="s">
        <v>4701</v>
      </c>
      <c r="AG475" s="1" t="s">
        <v>4702</v>
      </c>
      <c r="AH475" s="1" t="s">
        <v>4703</v>
      </c>
      <c r="AI475" s="1" t="str">
        <f>_xlfn.TEXTAFTER(_xlfn.TEXTBEFORE(batch_summary[[#This Row],[video]],"_",1),"-",3)</f>
        <v>16</v>
      </c>
      <c r="AJ475" s="1" t="str">
        <f>_xlfn.TEXTBEFORE(_xlfn.TEXTAFTER(batch_summary[[#This Row],[video]],"_",1),"_",1)</f>
        <v>20260411</v>
      </c>
      <c r="AK475" s="1" t="str">
        <f>_xlfn.TEXTBEFORE(_xlfn.TEXTAFTER(batch_summary[[#This Row],[video]],"_",2),".",1)</f>
        <v>170000</v>
      </c>
    </row>
    <row r="476" spans="1:37" x14ac:dyDescent="0.2">
      <c r="A476" s="1" t="s">
        <v>4704</v>
      </c>
      <c r="B476" s="1" t="s">
        <v>4705</v>
      </c>
      <c r="C476">
        <v>119.95833333333333</v>
      </c>
      <c r="D476">
        <v>2879</v>
      </c>
      <c r="E476">
        <v>0.40289702732115984</v>
      </c>
      <c r="F476">
        <v>38.45836906787008</v>
      </c>
      <c r="G476">
        <v>1.3994339260894751E-4</v>
      </c>
      <c r="H476">
        <v>1.335823864809659E-2</v>
      </c>
      <c r="I476">
        <v>5</v>
      </c>
      <c r="J476" t="b">
        <v>1</v>
      </c>
      <c r="K476">
        <v>0.65</v>
      </c>
      <c r="L476">
        <v>1.3</v>
      </c>
      <c r="M476" t="b">
        <v>1</v>
      </c>
      <c r="N476">
        <v>200</v>
      </c>
      <c r="O476" t="b">
        <v>0</v>
      </c>
      <c r="P476" t="b">
        <v>0</v>
      </c>
      <c r="Q476">
        <v>0.7</v>
      </c>
      <c r="R476">
        <v>2432778.3642083406</v>
      </c>
      <c r="S476">
        <v>2082205.3189179897</v>
      </c>
      <c r="T476">
        <v>2185528.706494391</v>
      </c>
      <c r="U476">
        <v>1817916.5997257233</v>
      </c>
      <c r="V476">
        <v>4514983.6831263304</v>
      </c>
      <c r="W476">
        <v>4003445.3062201142</v>
      </c>
      <c r="X476">
        <v>37637.932752702996</v>
      </c>
      <c r="Y476">
        <v>33373.632285266671</v>
      </c>
      <c r="Z476">
        <v>2302.2535414886474</v>
      </c>
      <c r="AA476">
        <v>1000.8613265550287</v>
      </c>
      <c r="AB476">
        <v>21855.28706494391</v>
      </c>
      <c r="AC476">
        <v>18179.165997257234</v>
      </c>
      <c r="AD476">
        <v>40034.453062201144</v>
      </c>
      <c r="AE476">
        <v>1.1277745386233813</v>
      </c>
      <c r="AF476" s="1" t="s">
        <v>4706</v>
      </c>
      <c r="AG476" s="1" t="s">
        <v>4707</v>
      </c>
      <c r="AH476" s="1" t="s">
        <v>4708</v>
      </c>
      <c r="AI476" s="1" t="str">
        <f>_xlfn.TEXTAFTER(_xlfn.TEXTBEFORE(batch_summary[[#This Row],[video]],"_",1),"-",3)</f>
        <v>16</v>
      </c>
      <c r="AJ476" s="1" t="str">
        <f>_xlfn.TEXTBEFORE(_xlfn.TEXTAFTER(batch_summary[[#This Row],[video]],"_",1),"_",1)</f>
        <v>20260411</v>
      </c>
      <c r="AK476" s="1" t="str">
        <f>_xlfn.TEXTBEFORE(_xlfn.TEXTAFTER(batch_summary[[#This Row],[video]],"_",2),".",1)</f>
        <v>180000</v>
      </c>
    </row>
    <row r="477" spans="1:37" x14ac:dyDescent="0.2">
      <c r="A477" s="1" t="s">
        <v>4709</v>
      </c>
      <c r="B477" s="1" t="s">
        <v>4710</v>
      </c>
      <c r="C477">
        <v>119.95833333333333</v>
      </c>
      <c r="D477">
        <v>2879</v>
      </c>
      <c r="E477">
        <v>0.3921421030536294</v>
      </c>
      <c r="F477">
        <v>37.902327962219715</v>
      </c>
      <c r="G477">
        <v>1.3620774680570664E-4</v>
      </c>
      <c r="H477">
        <v>1.3165101758325708E-2</v>
      </c>
      <c r="I477">
        <v>5</v>
      </c>
      <c r="J477" t="b">
        <v>1</v>
      </c>
      <c r="K477">
        <v>0.65</v>
      </c>
      <c r="L477">
        <v>1.3</v>
      </c>
      <c r="M477" t="b">
        <v>1</v>
      </c>
      <c r="N477">
        <v>200</v>
      </c>
      <c r="O477" t="b">
        <v>0</v>
      </c>
      <c r="P477" t="b">
        <v>0</v>
      </c>
      <c r="Q477">
        <v>0.7</v>
      </c>
      <c r="R477">
        <v>777983.69767856598</v>
      </c>
      <c r="S477">
        <v>762544.44790589809</v>
      </c>
      <c r="T477">
        <v>572853.92986255884</v>
      </c>
      <c r="U477">
        <v>560485.34436416626</v>
      </c>
      <c r="V477">
        <v>1540528.1455844641</v>
      </c>
      <c r="W477">
        <v>1133339.2742267251</v>
      </c>
      <c r="X477">
        <v>12842.193641551628</v>
      </c>
      <c r="Y477">
        <v>9447.7744291217095</v>
      </c>
      <c r="Z477">
        <v>1049.3205769872666</v>
      </c>
      <c r="AA477">
        <v>283.33481855668123</v>
      </c>
      <c r="AB477">
        <v>5728.5392986255883</v>
      </c>
      <c r="AC477">
        <v>5604.853443641663</v>
      </c>
      <c r="AD477">
        <v>11333.392742267251</v>
      </c>
      <c r="AE477">
        <v>1.3592824149110716</v>
      </c>
      <c r="AF477" s="1" t="s">
        <v>4711</v>
      </c>
      <c r="AG477" s="1" t="s">
        <v>4712</v>
      </c>
      <c r="AH477" s="1" t="s">
        <v>4713</v>
      </c>
      <c r="AI477" s="1" t="str">
        <f>_xlfn.TEXTAFTER(_xlfn.TEXTBEFORE(batch_summary[[#This Row],[video]],"_",1),"-",3)</f>
        <v>16</v>
      </c>
      <c r="AJ477" s="1" t="str">
        <f>_xlfn.TEXTBEFORE(_xlfn.TEXTAFTER(batch_summary[[#This Row],[video]],"_",1),"_",1)</f>
        <v>20260411</v>
      </c>
      <c r="AK477" s="1" t="str">
        <f>_xlfn.TEXTBEFORE(_xlfn.TEXTAFTER(batch_summary[[#This Row],[video]],"_",2),".",1)</f>
        <v>190000</v>
      </c>
    </row>
    <row r="478" spans="1:37" x14ac:dyDescent="0.2">
      <c r="A478" s="1" t="s">
        <v>4714</v>
      </c>
      <c r="B478" s="1" t="s">
        <v>4715</v>
      </c>
      <c r="C478">
        <v>119.95833333333333</v>
      </c>
      <c r="D478">
        <v>2879</v>
      </c>
      <c r="E478">
        <v>0.38573612924665213</v>
      </c>
      <c r="F478">
        <v>37.38832588493824</v>
      </c>
      <c r="G478">
        <v>1.3398267775152904E-4</v>
      </c>
      <c r="H478">
        <v>1.2986566823528391E-2</v>
      </c>
      <c r="I478">
        <v>5</v>
      </c>
      <c r="J478" t="b">
        <v>1</v>
      </c>
      <c r="K478">
        <v>0.65</v>
      </c>
      <c r="L478">
        <v>1.3</v>
      </c>
      <c r="M478" t="b">
        <v>1</v>
      </c>
      <c r="N478">
        <v>200</v>
      </c>
      <c r="O478" t="b">
        <v>0</v>
      </c>
      <c r="P478" t="b">
        <v>0</v>
      </c>
      <c r="Q478">
        <v>0.7</v>
      </c>
      <c r="R478">
        <v>21301.407001078129</v>
      </c>
      <c r="S478">
        <v>18496.886382460594</v>
      </c>
      <c r="T478">
        <v>0</v>
      </c>
      <c r="U478">
        <v>0</v>
      </c>
      <c r="V478">
        <v>39798.293383538723</v>
      </c>
      <c r="W478">
        <v>0</v>
      </c>
      <c r="X478">
        <v>331.76764196072571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39798293383.538727</v>
      </c>
      <c r="AF478" s="1" t="s">
        <v>4716</v>
      </c>
      <c r="AG478" s="1" t="s">
        <v>4717</v>
      </c>
      <c r="AH478" s="1" t="s">
        <v>4718</v>
      </c>
      <c r="AI478" s="1" t="str">
        <f>_xlfn.TEXTAFTER(_xlfn.TEXTBEFORE(batch_summary[[#This Row],[video]],"_",1),"-",3)</f>
        <v>16</v>
      </c>
      <c r="AJ478" s="1" t="str">
        <f>_xlfn.TEXTBEFORE(_xlfn.TEXTAFTER(batch_summary[[#This Row],[video]],"_",1),"_",1)</f>
        <v>20260412</v>
      </c>
      <c r="AK478" s="1" t="str">
        <f>_xlfn.TEXTBEFORE(_xlfn.TEXTAFTER(batch_summary[[#This Row],[video]],"_",2),".",1)</f>
        <v>060000</v>
      </c>
    </row>
    <row r="479" spans="1:37" x14ac:dyDescent="0.2">
      <c r="A479" s="1" t="s">
        <v>4719</v>
      </c>
      <c r="B479" s="1" t="s">
        <v>4720</v>
      </c>
      <c r="C479">
        <v>119.95833333333333</v>
      </c>
      <c r="D479">
        <v>2879</v>
      </c>
      <c r="E479">
        <v>0.37332621775567532</v>
      </c>
      <c r="F479">
        <v>36.84863771405071</v>
      </c>
      <c r="G479">
        <v>1.2967218400683408E-4</v>
      </c>
      <c r="H479">
        <v>1.2799110008353841E-2</v>
      </c>
      <c r="I479">
        <v>5</v>
      </c>
      <c r="J479" t="b">
        <v>1</v>
      </c>
      <c r="K479">
        <v>0.65</v>
      </c>
      <c r="L479">
        <v>1.3</v>
      </c>
      <c r="M479" t="b">
        <v>1</v>
      </c>
      <c r="N479">
        <v>200</v>
      </c>
      <c r="O479" t="b">
        <v>0</v>
      </c>
      <c r="P479" t="b">
        <v>0</v>
      </c>
      <c r="Q479">
        <v>0.7</v>
      </c>
      <c r="R479">
        <v>3923.172639131546</v>
      </c>
      <c r="S479">
        <v>2916.0461926460266</v>
      </c>
      <c r="T479">
        <v>0</v>
      </c>
      <c r="U479">
        <v>0</v>
      </c>
      <c r="V479">
        <v>6839.2188317775726</v>
      </c>
      <c r="W479">
        <v>0</v>
      </c>
      <c r="X479">
        <v>57.013286544863405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6839218831.7775726</v>
      </c>
      <c r="AF479" s="1" t="s">
        <v>4721</v>
      </c>
      <c r="AG479" s="1" t="s">
        <v>4722</v>
      </c>
      <c r="AH479" s="1" t="s">
        <v>4723</v>
      </c>
      <c r="AI479" s="1" t="str">
        <f>_xlfn.TEXTAFTER(_xlfn.TEXTBEFORE(batch_summary[[#This Row],[video]],"_",1),"-",3)</f>
        <v>16</v>
      </c>
      <c r="AJ479" s="1" t="str">
        <f>_xlfn.TEXTBEFORE(_xlfn.TEXTAFTER(batch_summary[[#This Row],[video]],"_",1),"_",1)</f>
        <v>20260412</v>
      </c>
      <c r="AK479" s="1" t="str">
        <f>_xlfn.TEXTBEFORE(_xlfn.TEXTAFTER(batch_summary[[#This Row],[video]],"_",2),".",1)</f>
        <v>070000</v>
      </c>
    </row>
    <row r="480" spans="1:37" x14ac:dyDescent="0.2">
      <c r="A480" s="1" t="s">
        <v>4724</v>
      </c>
      <c r="B480" s="1" t="s">
        <v>4725</v>
      </c>
      <c r="C480">
        <v>119.95833333333333</v>
      </c>
      <c r="D480">
        <v>2879</v>
      </c>
      <c r="E480">
        <v>0.37918480858206749</v>
      </c>
      <c r="F480">
        <v>36.787282873876393</v>
      </c>
      <c r="G480">
        <v>1.3170712350888067E-4</v>
      </c>
      <c r="H480">
        <v>1.2777798844694823E-2</v>
      </c>
      <c r="I480">
        <v>5</v>
      </c>
      <c r="J480" t="b">
        <v>1</v>
      </c>
      <c r="K480">
        <v>0.65</v>
      </c>
      <c r="L480">
        <v>1.3</v>
      </c>
      <c r="M480" t="b">
        <v>1</v>
      </c>
      <c r="N480">
        <v>200</v>
      </c>
      <c r="O480" t="b">
        <v>0</v>
      </c>
      <c r="P480" t="b">
        <v>0</v>
      </c>
      <c r="Q480">
        <v>0.7</v>
      </c>
      <c r="R480">
        <v>67078.615050852299</v>
      </c>
      <c r="S480">
        <v>78124.357920765877</v>
      </c>
      <c r="T480">
        <v>38184.284271240234</v>
      </c>
      <c r="U480">
        <v>42729.878244400024</v>
      </c>
      <c r="V480">
        <v>145202.97297161818</v>
      </c>
      <c r="W480">
        <v>80914.162515640259</v>
      </c>
      <c r="X480">
        <v>1210.4450681899398</v>
      </c>
      <c r="Y480">
        <v>674.51889558018979</v>
      </c>
      <c r="Z480">
        <v>451.33265542984009</v>
      </c>
      <c r="AA480">
        <v>20.228540628910064</v>
      </c>
      <c r="AB480">
        <v>381.84284271240233</v>
      </c>
      <c r="AC480">
        <v>427.29878244400027</v>
      </c>
      <c r="AD480">
        <v>809.1416251564026</v>
      </c>
      <c r="AE480">
        <v>1.7945309999785419</v>
      </c>
      <c r="AF480" s="1" t="s">
        <v>4726</v>
      </c>
      <c r="AG480" s="1" t="s">
        <v>4727</v>
      </c>
      <c r="AH480" s="1" t="s">
        <v>4728</v>
      </c>
      <c r="AI480" s="1" t="str">
        <f>_xlfn.TEXTAFTER(_xlfn.TEXTBEFORE(batch_summary[[#This Row],[video]],"_",1),"-",3)</f>
        <v>16</v>
      </c>
      <c r="AJ480" s="1" t="str">
        <f>_xlfn.TEXTBEFORE(_xlfn.TEXTAFTER(batch_summary[[#This Row],[video]],"_",1),"_",1)</f>
        <v>20260412</v>
      </c>
      <c r="AK480" s="1" t="str">
        <f>_xlfn.TEXTBEFORE(_xlfn.TEXTAFTER(batch_summary[[#This Row],[video]],"_",2),".",1)</f>
        <v>080000</v>
      </c>
    </row>
    <row r="481" spans="1:37" x14ac:dyDescent="0.2">
      <c r="A481" s="1" t="s">
        <v>4729</v>
      </c>
      <c r="B481" s="1" t="s">
        <v>4730</v>
      </c>
      <c r="C481">
        <v>119.95833333333333</v>
      </c>
      <c r="D481">
        <v>2879</v>
      </c>
      <c r="E481">
        <v>0.39865029510110617</v>
      </c>
      <c r="F481">
        <v>38.491207619197667</v>
      </c>
      <c r="G481">
        <v>1.3846832063254817E-4</v>
      </c>
      <c r="H481">
        <v>1.3369644883361467E-2</v>
      </c>
      <c r="I481">
        <v>5</v>
      </c>
      <c r="J481" t="b">
        <v>1</v>
      </c>
      <c r="K481">
        <v>0.65</v>
      </c>
      <c r="L481">
        <v>1.3</v>
      </c>
      <c r="M481" t="b">
        <v>1</v>
      </c>
      <c r="N481">
        <v>200</v>
      </c>
      <c r="O481" t="b">
        <v>0</v>
      </c>
      <c r="P481" t="b">
        <v>0</v>
      </c>
      <c r="Q481">
        <v>0.7</v>
      </c>
      <c r="R481">
        <v>9247650.8996708393</v>
      </c>
      <c r="S481">
        <v>8645034.9758623838</v>
      </c>
      <c r="T481">
        <v>8005642.460991621</v>
      </c>
      <c r="U481">
        <v>7462180.1644535065</v>
      </c>
      <c r="V481">
        <v>17892685.875533223</v>
      </c>
      <c r="W481">
        <v>15467822.625445127</v>
      </c>
      <c r="X481">
        <v>149157.50643028738</v>
      </c>
      <c r="Y481">
        <v>128943.29385574264</v>
      </c>
      <c r="Z481">
        <v>7668.3995982933047</v>
      </c>
      <c r="AA481">
        <v>3866.9556563612823</v>
      </c>
      <c r="AB481">
        <v>80056.424609916212</v>
      </c>
      <c r="AC481">
        <v>74621.801644535066</v>
      </c>
      <c r="AD481">
        <v>154678.22625445126</v>
      </c>
      <c r="AE481">
        <v>1.1567682348580277</v>
      </c>
      <c r="AF481" s="1" t="s">
        <v>4731</v>
      </c>
      <c r="AG481" s="1" t="s">
        <v>4732</v>
      </c>
      <c r="AH481" s="1" t="s">
        <v>4733</v>
      </c>
      <c r="AI481" s="1" t="str">
        <f>_xlfn.TEXTAFTER(_xlfn.TEXTBEFORE(batch_summary[[#This Row],[video]],"_",1),"-",3)</f>
        <v>16</v>
      </c>
      <c r="AJ481" s="1" t="str">
        <f>_xlfn.TEXTBEFORE(_xlfn.TEXTAFTER(batch_summary[[#This Row],[video]],"_",1),"_",1)</f>
        <v>20260412</v>
      </c>
      <c r="AK481" s="1" t="str">
        <f>_xlfn.TEXTBEFORE(_xlfn.TEXTAFTER(batch_summary[[#This Row],[video]],"_",2),".",1)</f>
        <v>090000</v>
      </c>
    </row>
    <row r="482" spans="1:37" x14ac:dyDescent="0.2">
      <c r="A482" s="1" t="s">
        <v>4734</v>
      </c>
      <c r="B482" s="1" t="s">
        <v>4735</v>
      </c>
      <c r="C482">
        <v>119.95833333333333</v>
      </c>
      <c r="D482">
        <v>2879</v>
      </c>
      <c r="E482">
        <v>0.388728316873312</v>
      </c>
      <c r="F482">
        <v>37.993358701467514</v>
      </c>
      <c r="G482">
        <v>1.3502199266179646E-4</v>
      </c>
      <c r="H482">
        <v>1.3196720632673676E-2</v>
      </c>
      <c r="I482">
        <v>5</v>
      </c>
      <c r="J482" t="b">
        <v>1</v>
      </c>
      <c r="K482">
        <v>0.65</v>
      </c>
      <c r="L482">
        <v>1.3</v>
      </c>
      <c r="M482" t="b">
        <v>1</v>
      </c>
      <c r="N482">
        <v>200</v>
      </c>
      <c r="O482" t="b">
        <v>0</v>
      </c>
      <c r="P482" t="b">
        <v>0</v>
      </c>
      <c r="Q482">
        <v>0.7</v>
      </c>
      <c r="R482">
        <v>13036710.966773033</v>
      </c>
      <c r="S482">
        <v>11956025.346822739</v>
      </c>
      <c r="T482">
        <v>11713016.594161689</v>
      </c>
      <c r="U482">
        <v>10705928.102018416</v>
      </c>
      <c r="V482">
        <v>24992736.313595772</v>
      </c>
      <c r="W482">
        <v>22418944.696180105</v>
      </c>
      <c r="X482">
        <v>208345.14467742221</v>
      </c>
      <c r="Y482">
        <v>186889.43129847953</v>
      </c>
      <c r="Z482">
        <v>9545.7912974548344</v>
      </c>
      <c r="AA482">
        <v>5604.7361740450269</v>
      </c>
      <c r="AB482">
        <v>117130.1659416169</v>
      </c>
      <c r="AC482">
        <v>107059.28102018416</v>
      </c>
      <c r="AD482">
        <v>224189.44696180106</v>
      </c>
      <c r="AE482">
        <v>1.1148043162733796</v>
      </c>
      <c r="AF482" s="1" t="s">
        <v>4736</v>
      </c>
      <c r="AG482" s="1" t="s">
        <v>4737</v>
      </c>
      <c r="AH482" s="1" t="s">
        <v>4738</v>
      </c>
      <c r="AI482" s="1" t="str">
        <f>_xlfn.TEXTAFTER(_xlfn.TEXTBEFORE(batch_summary[[#This Row],[video]],"_",1),"-",3)</f>
        <v>16</v>
      </c>
      <c r="AJ482" s="1" t="str">
        <f>_xlfn.TEXTBEFORE(_xlfn.TEXTAFTER(batch_summary[[#This Row],[video]],"_",1),"_",1)</f>
        <v>20260412</v>
      </c>
      <c r="AK482" s="1" t="str">
        <f>_xlfn.TEXTBEFORE(_xlfn.TEXTAFTER(batch_summary[[#This Row],[video]],"_",2),".",1)</f>
        <v>100000</v>
      </c>
    </row>
    <row r="483" spans="1:37" x14ac:dyDescent="0.2">
      <c r="A483" s="1" t="s">
        <v>4739</v>
      </c>
      <c r="B483" s="1" t="s">
        <v>4740</v>
      </c>
      <c r="C483">
        <v>119.95833333333333</v>
      </c>
      <c r="D483">
        <v>2879</v>
      </c>
      <c r="E483">
        <v>0.40145857352763414</v>
      </c>
      <c r="F483">
        <v>38.803723788820207</v>
      </c>
      <c r="G483">
        <v>1.394437560012623E-4</v>
      </c>
      <c r="H483">
        <v>1.3478195133317196E-2</v>
      </c>
      <c r="I483">
        <v>5</v>
      </c>
      <c r="J483" t="b">
        <v>1</v>
      </c>
      <c r="K483">
        <v>0.65</v>
      </c>
      <c r="L483">
        <v>1.3</v>
      </c>
      <c r="M483" t="b">
        <v>1</v>
      </c>
      <c r="N483">
        <v>200</v>
      </c>
      <c r="O483" t="b">
        <v>0</v>
      </c>
      <c r="P483" t="b">
        <v>0</v>
      </c>
      <c r="Q483">
        <v>0.7</v>
      </c>
      <c r="R483">
        <v>10269680.249087453</v>
      </c>
      <c r="S483">
        <v>9606436.402392745</v>
      </c>
      <c r="T483">
        <v>9099988.8478130698</v>
      </c>
      <c r="U483">
        <v>8465093.9315935373</v>
      </c>
      <c r="V483">
        <v>19876116.651480198</v>
      </c>
      <c r="W483">
        <v>17565082.779406607</v>
      </c>
      <c r="X483">
        <v>165691.83731695893</v>
      </c>
      <c r="Y483">
        <v>146426.53237435172</v>
      </c>
      <c r="Z483">
        <v>7590.0155062866206</v>
      </c>
      <c r="AA483">
        <v>4391.2706948516516</v>
      </c>
      <c r="AB483">
        <v>90999.888478130699</v>
      </c>
      <c r="AC483">
        <v>84650.939315935379</v>
      </c>
      <c r="AD483">
        <v>175650.82779406608</v>
      </c>
      <c r="AE483">
        <v>1.1315697683351118</v>
      </c>
      <c r="AF483" s="1" t="s">
        <v>4741</v>
      </c>
      <c r="AG483" s="1" t="s">
        <v>4742</v>
      </c>
      <c r="AH483" s="1" t="s">
        <v>4743</v>
      </c>
      <c r="AI483" s="1" t="str">
        <f>_xlfn.TEXTAFTER(_xlfn.TEXTBEFORE(batch_summary[[#This Row],[video]],"_",1),"-",3)</f>
        <v>16</v>
      </c>
      <c r="AJ483" s="1" t="str">
        <f>_xlfn.TEXTBEFORE(_xlfn.TEXTAFTER(batch_summary[[#This Row],[video]],"_",1),"_",1)</f>
        <v>20260412</v>
      </c>
      <c r="AK483" s="1" t="str">
        <f>_xlfn.TEXTBEFORE(_xlfn.TEXTAFTER(batch_summary[[#This Row],[video]],"_",2),".",1)</f>
        <v>110000</v>
      </c>
    </row>
    <row r="484" spans="1:37" x14ac:dyDescent="0.2">
      <c r="A484" s="1" t="s">
        <v>4744</v>
      </c>
      <c r="B484" s="1" t="s">
        <v>4745</v>
      </c>
      <c r="C484">
        <v>119.95833333333333</v>
      </c>
      <c r="D484">
        <v>2879</v>
      </c>
      <c r="E484">
        <v>0.38689275272190571</v>
      </c>
      <c r="F484">
        <v>38.23060654103756</v>
      </c>
      <c r="G484">
        <v>1.3438442261962685E-4</v>
      </c>
      <c r="H484">
        <v>1.3279126968057506E-2</v>
      </c>
      <c r="I484">
        <v>5</v>
      </c>
      <c r="J484" t="b">
        <v>1</v>
      </c>
      <c r="K484">
        <v>0.65</v>
      </c>
      <c r="L484">
        <v>1.3</v>
      </c>
      <c r="M484" t="b">
        <v>1</v>
      </c>
      <c r="N484">
        <v>200</v>
      </c>
      <c r="O484" t="b">
        <v>0</v>
      </c>
      <c r="P484" t="b">
        <v>0</v>
      </c>
      <c r="Q484">
        <v>0.7</v>
      </c>
      <c r="R484">
        <v>10757767.022138596</v>
      </c>
      <c r="S484">
        <v>10025662.712818384</v>
      </c>
      <c r="T484">
        <v>9422669.925971806</v>
      </c>
      <c r="U484">
        <v>8734689.9838192463</v>
      </c>
      <c r="V484">
        <v>20783429.73495698</v>
      </c>
      <c r="W484">
        <v>18157359.909791052</v>
      </c>
      <c r="X484">
        <v>173255.40591836316</v>
      </c>
      <c r="Y484">
        <v>151363.88948766422</v>
      </c>
      <c r="Z484">
        <v>8971.6618594360352</v>
      </c>
      <c r="AA484">
        <v>4539.339977447763</v>
      </c>
      <c r="AB484">
        <v>94226.699259718065</v>
      </c>
      <c r="AC484">
        <v>87346.899838192461</v>
      </c>
      <c r="AD484">
        <v>181573.59909791051</v>
      </c>
      <c r="AE484">
        <v>1.1446283952189471</v>
      </c>
      <c r="AF484" s="1" t="s">
        <v>4746</v>
      </c>
      <c r="AG484" s="1" t="s">
        <v>4747</v>
      </c>
      <c r="AH484" s="1" t="s">
        <v>4748</v>
      </c>
      <c r="AI484" s="1" t="str">
        <f>_xlfn.TEXTAFTER(_xlfn.TEXTBEFORE(batch_summary[[#This Row],[video]],"_",1),"-",3)</f>
        <v>16</v>
      </c>
      <c r="AJ484" s="1" t="str">
        <f>_xlfn.TEXTBEFORE(_xlfn.TEXTAFTER(batch_summary[[#This Row],[video]],"_",1),"_",1)</f>
        <v>20260412</v>
      </c>
      <c r="AK484" s="1" t="str">
        <f>_xlfn.TEXTBEFORE(_xlfn.TEXTAFTER(batch_summary[[#This Row],[video]],"_",2),".",1)</f>
        <v>120000</v>
      </c>
    </row>
    <row r="485" spans="1:37" x14ac:dyDescent="0.2">
      <c r="A485" s="1" t="s">
        <v>4749</v>
      </c>
      <c r="B485" s="1" t="s">
        <v>4750</v>
      </c>
      <c r="C485">
        <v>119.95833333333333</v>
      </c>
      <c r="D485">
        <v>2879</v>
      </c>
      <c r="E485">
        <v>0.40405343472957611</v>
      </c>
      <c r="F485">
        <v>38.710420090705156</v>
      </c>
      <c r="G485">
        <v>1.4034506242777912E-4</v>
      </c>
      <c r="H485">
        <v>1.344578676300978E-2</v>
      </c>
      <c r="I485">
        <v>5</v>
      </c>
      <c r="J485" t="b">
        <v>1</v>
      </c>
      <c r="K485">
        <v>0.65</v>
      </c>
      <c r="L485">
        <v>1.3</v>
      </c>
      <c r="M485" t="b">
        <v>1</v>
      </c>
      <c r="N485">
        <v>200</v>
      </c>
      <c r="O485" t="b">
        <v>0</v>
      </c>
      <c r="P485" t="b">
        <v>0</v>
      </c>
      <c r="Q485">
        <v>0.7</v>
      </c>
      <c r="R485">
        <v>10536456.884164035</v>
      </c>
      <c r="S485">
        <v>10004063.778099537</v>
      </c>
      <c r="T485">
        <v>9286384.7266860604</v>
      </c>
      <c r="U485">
        <v>8879600.4156870842</v>
      </c>
      <c r="V485">
        <v>20540520.662263572</v>
      </c>
      <c r="W485">
        <v>18165985.142373145</v>
      </c>
      <c r="X485">
        <v>171230.4605398839</v>
      </c>
      <c r="Y485">
        <v>151435.79139178724</v>
      </c>
      <c r="Z485">
        <v>7234.7939709472648</v>
      </c>
      <c r="AA485">
        <v>4541.4962855932863</v>
      </c>
      <c r="AB485">
        <v>92863.847266860597</v>
      </c>
      <c r="AC485">
        <v>88796.00415687084</v>
      </c>
      <c r="AD485">
        <v>181659.85142373142</v>
      </c>
      <c r="AE485">
        <v>1.1307132809633151</v>
      </c>
      <c r="AF485" s="1" t="s">
        <v>4751</v>
      </c>
      <c r="AG485" s="1" t="s">
        <v>4752</v>
      </c>
      <c r="AH485" s="1" t="s">
        <v>4753</v>
      </c>
      <c r="AI485" s="1" t="str">
        <f>_xlfn.TEXTAFTER(_xlfn.TEXTBEFORE(batch_summary[[#This Row],[video]],"_",1),"-",3)</f>
        <v>16</v>
      </c>
      <c r="AJ485" s="1" t="str">
        <f>_xlfn.TEXTBEFORE(_xlfn.TEXTAFTER(batch_summary[[#This Row],[video]],"_",1),"_",1)</f>
        <v>20260412</v>
      </c>
      <c r="AK485" s="1" t="str">
        <f>_xlfn.TEXTBEFORE(_xlfn.TEXTAFTER(batch_summary[[#This Row],[video]],"_",2),".",1)</f>
        <v>130000</v>
      </c>
    </row>
    <row r="486" spans="1:37" x14ac:dyDescent="0.2">
      <c r="A486" s="1" t="s">
        <v>4754</v>
      </c>
      <c r="B486" s="1" t="s">
        <v>4755</v>
      </c>
      <c r="C486">
        <v>119.95833333333333</v>
      </c>
      <c r="D486">
        <v>2879</v>
      </c>
      <c r="E486">
        <v>0.40668313764035702</v>
      </c>
      <c r="F486">
        <v>38.479075946845114</v>
      </c>
      <c r="G486">
        <v>1.412584708719545E-4</v>
      </c>
      <c r="H486">
        <v>1.3365431033985799E-2</v>
      </c>
      <c r="I486">
        <v>5</v>
      </c>
      <c r="J486" t="b">
        <v>1</v>
      </c>
      <c r="K486">
        <v>0.65</v>
      </c>
      <c r="L486">
        <v>1.3</v>
      </c>
      <c r="M486" t="b">
        <v>1</v>
      </c>
      <c r="N486">
        <v>200</v>
      </c>
      <c r="O486" t="b">
        <v>0</v>
      </c>
      <c r="P486" t="b">
        <v>0</v>
      </c>
      <c r="Q486">
        <v>0.7</v>
      </c>
      <c r="R486">
        <v>9462067.6415382624</v>
      </c>
      <c r="S486">
        <v>8451072.7796473503</v>
      </c>
      <c r="T486">
        <v>8402940.8092974424</v>
      </c>
      <c r="U486">
        <v>7318912.6462904215</v>
      </c>
      <c r="V486">
        <v>17913140.421185613</v>
      </c>
      <c r="W486">
        <v>15721853.455587864</v>
      </c>
      <c r="X486">
        <v>149328.02018355497</v>
      </c>
      <c r="Y486">
        <v>131060.95273848863</v>
      </c>
      <c r="Z486">
        <v>6954.3197394442559</v>
      </c>
      <c r="AA486">
        <v>3930.4633638969658</v>
      </c>
      <c r="AB486">
        <v>84029.408092974423</v>
      </c>
      <c r="AC486">
        <v>73189.126462904213</v>
      </c>
      <c r="AD486">
        <v>157218.53455587864</v>
      </c>
      <c r="AE486">
        <v>1.1393784118257966</v>
      </c>
      <c r="AF486" s="1" t="s">
        <v>4756</v>
      </c>
      <c r="AG486" s="1" t="s">
        <v>4757</v>
      </c>
      <c r="AH486" s="1" t="s">
        <v>4758</v>
      </c>
      <c r="AI486" s="1" t="str">
        <f>_xlfn.TEXTAFTER(_xlfn.TEXTBEFORE(batch_summary[[#This Row],[video]],"_",1),"-",3)</f>
        <v>16</v>
      </c>
      <c r="AJ486" s="1" t="str">
        <f>_xlfn.TEXTBEFORE(_xlfn.TEXTAFTER(batch_summary[[#This Row],[video]],"_",1),"_",1)</f>
        <v>20260412</v>
      </c>
      <c r="AK486" s="1" t="str">
        <f>_xlfn.TEXTBEFORE(_xlfn.TEXTAFTER(batch_summary[[#This Row],[video]],"_",2),".",1)</f>
        <v>140000</v>
      </c>
    </row>
    <row r="487" spans="1:37" x14ac:dyDescent="0.2">
      <c r="A487" s="1" t="s">
        <v>4759</v>
      </c>
      <c r="B487" s="1" t="s">
        <v>4760</v>
      </c>
      <c r="C487">
        <v>119.95833333333333</v>
      </c>
      <c r="D487">
        <v>2879</v>
      </c>
      <c r="E487">
        <v>0.41039193607866764</v>
      </c>
      <c r="F487">
        <v>39.084781967103481</v>
      </c>
      <c r="G487">
        <v>1.4254669540766503E-4</v>
      </c>
      <c r="H487">
        <v>1.3575818675617742E-2</v>
      </c>
      <c r="I487">
        <v>5</v>
      </c>
      <c r="J487" t="b">
        <v>1</v>
      </c>
      <c r="K487">
        <v>0.65</v>
      </c>
      <c r="L487">
        <v>1.3</v>
      </c>
      <c r="M487" t="b">
        <v>1</v>
      </c>
      <c r="N487">
        <v>200</v>
      </c>
      <c r="O487" t="b">
        <v>0</v>
      </c>
      <c r="P487" t="b">
        <v>0</v>
      </c>
      <c r="Q487">
        <v>0.7</v>
      </c>
      <c r="R487">
        <v>7510921.8244492412</v>
      </c>
      <c r="S487">
        <v>6486481.3966739178</v>
      </c>
      <c r="T487">
        <v>6645436.5063961744</v>
      </c>
      <c r="U487">
        <v>5622320.0643243194</v>
      </c>
      <c r="V487">
        <v>13997403.221123159</v>
      </c>
      <c r="W487">
        <v>12267756.570720494</v>
      </c>
      <c r="X487">
        <v>116685.54265611526</v>
      </c>
      <c r="Y487">
        <v>102266.81406644385</v>
      </c>
      <c r="Z487">
        <v>5969.6006111717224</v>
      </c>
      <c r="AA487">
        <v>3066.9391426801235</v>
      </c>
      <c r="AB487">
        <v>66454.365063961741</v>
      </c>
      <c r="AC487">
        <v>56223.200643243195</v>
      </c>
      <c r="AD487">
        <v>122677.56570720494</v>
      </c>
      <c r="AE487">
        <v>1.1409912758238796</v>
      </c>
      <c r="AF487" s="1" t="s">
        <v>4761</v>
      </c>
      <c r="AG487" s="1" t="s">
        <v>4762</v>
      </c>
      <c r="AH487" s="1" t="s">
        <v>4763</v>
      </c>
      <c r="AI487" s="1" t="str">
        <f>_xlfn.TEXTAFTER(_xlfn.TEXTBEFORE(batch_summary[[#This Row],[video]],"_",1),"-",3)</f>
        <v>16</v>
      </c>
      <c r="AJ487" s="1" t="str">
        <f>_xlfn.TEXTBEFORE(_xlfn.TEXTAFTER(batch_summary[[#This Row],[video]],"_",1),"_",1)</f>
        <v>20260412</v>
      </c>
      <c r="AK487" s="1" t="str">
        <f>_xlfn.TEXTBEFORE(_xlfn.TEXTAFTER(batch_summary[[#This Row],[video]],"_",2),".",1)</f>
        <v>150000</v>
      </c>
    </row>
    <row r="488" spans="1:37" x14ac:dyDescent="0.2">
      <c r="A488" s="1" t="s">
        <v>4764</v>
      </c>
      <c r="B488" s="1" t="s">
        <v>4765</v>
      </c>
      <c r="C488">
        <v>119.95833333333333</v>
      </c>
      <c r="D488">
        <v>2879</v>
      </c>
      <c r="E488">
        <v>0.40218343399465084</v>
      </c>
      <c r="F488">
        <v>38.843220373615623</v>
      </c>
      <c r="G488">
        <v>1.3969553108532506E-4</v>
      </c>
      <c r="H488">
        <v>1.3491913988751519E-2</v>
      </c>
      <c r="I488">
        <v>5</v>
      </c>
      <c r="J488" t="b">
        <v>1</v>
      </c>
      <c r="K488">
        <v>0.65</v>
      </c>
      <c r="L488">
        <v>1.3</v>
      </c>
      <c r="M488" t="b">
        <v>1</v>
      </c>
      <c r="N488">
        <v>200</v>
      </c>
      <c r="O488" t="b">
        <v>0</v>
      </c>
      <c r="P488" t="b">
        <v>0</v>
      </c>
      <c r="Q488">
        <v>0.7</v>
      </c>
      <c r="R488">
        <v>9235662.3241690397</v>
      </c>
      <c r="S488">
        <v>9770495.8243796825</v>
      </c>
      <c r="T488">
        <v>8423430.9518648386</v>
      </c>
      <c r="U488">
        <v>8896197.6961609721</v>
      </c>
      <c r="V488">
        <v>19006158.148548722</v>
      </c>
      <c r="W488">
        <v>17319628.648025811</v>
      </c>
      <c r="X488">
        <v>158439.6650104791</v>
      </c>
      <c r="Y488">
        <v>144380.37080674522</v>
      </c>
      <c r="Z488">
        <v>7827.5788076943154</v>
      </c>
      <c r="AA488">
        <v>4329.9071620064524</v>
      </c>
      <c r="AB488">
        <v>84234.309518648384</v>
      </c>
      <c r="AC488">
        <v>88961.976961609718</v>
      </c>
      <c r="AD488">
        <v>173196.2864802581</v>
      </c>
      <c r="AE488">
        <v>1.0973767702990072</v>
      </c>
      <c r="AF488" s="1" t="s">
        <v>4766</v>
      </c>
      <c r="AG488" s="1" t="s">
        <v>4767</v>
      </c>
      <c r="AH488" s="1" t="s">
        <v>4768</v>
      </c>
      <c r="AI488" s="1" t="str">
        <f>_xlfn.TEXTAFTER(_xlfn.TEXTBEFORE(batch_summary[[#This Row],[video]],"_",1),"-",3)</f>
        <v>16</v>
      </c>
      <c r="AJ488" s="1" t="str">
        <f>_xlfn.TEXTBEFORE(_xlfn.TEXTAFTER(batch_summary[[#This Row],[video]],"_",1),"_",1)</f>
        <v>20260412</v>
      </c>
      <c r="AK488" s="1" t="str">
        <f>_xlfn.TEXTBEFORE(_xlfn.TEXTAFTER(batch_summary[[#This Row],[video]],"_",2),".",1)</f>
        <v>160000</v>
      </c>
    </row>
    <row r="489" spans="1:37" x14ac:dyDescent="0.2">
      <c r="A489" s="1" t="s">
        <v>4769</v>
      </c>
      <c r="B489" s="1" t="s">
        <v>4770</v>
      </c>
      <c r="C489">
        <v>119.95833333333333</v>
      </c>
      <c r="D489">
        <v>2879</v>
      </c>
      <c r="E489">
        <v>0.41670362744480371</v>
      </c>
      <c r="F489">
        <v>39.184002027846873</v>
      </c>
      <c r="G489">
        <v>1.4473901613226944E-4</v>
      </c>
      <c r="H489">
        <v>1.3610282052048237E-2</v>
      </c>
      <c r="I489">
        <v>5</v>
      </c>
      <c r="J489" t="b">
        <v>1</v>
      </c>
      <c r="K489">
        <v>0.65</v>
      </c>
      <c r="L489">
        <v>1.3</v>
      </c>
      <c r="M489" t="b">
        <v>1</v>
      </c>
      <c r="N489">
        <v>200</v>
      </c>
      <c r="O489" t="b">
        <v>0</v>
      </c>
      <c r="P489" t="b">
        <v>0</v>
      </c>
      <c r="Q489">
        <v>0.7</v>
      </c>
      <c r="R489">
        <v>5112219.0422392488</v>
      </c>
      <c r="S489">
        <v>4168644.5411027074</v>
      </c>
      <c r="T489">
        <v>4547203.8275735378</v>
      </c>
      <c r="U489">
        <v>3612238.174567461</v>
      </c>
      <c r="V489">
        <v>9280863.5833419561</v>
      </c>
      <c r="W489">
        <v>8159442.0021409988</v>
      </c>
      <c r="X489">
        <v>77367.393539495301</v>
      </c>
      <c r="Y489">
        <v>68018.967714964907</v>
      </c>
      <c r="Z489">
        <v>4401.4976925659175</v>
      </c>
      <c r="AA489">
        <v>2039.8605005352497</v>
      </c>
      <c r="AB489">
        <v>45472.03827573538</v>
      </c>
      <c r="AC489">
        <v>36122.381745674611</v>
      </c>
      <c r="AD489">
        <v>81594.420021409984</v>
      </c>
      <c r="AE489">
        <v>1.1374385136761438</v>
      </c>
      <c r="AF489" s="1" t="s">
        <v>4771</v>
      </c>
      <c r="AG489" s="1" t="s">
        <v>4772</v>
      </c>
      <c r="AH489" s="1" t="s">
        <v>4773</v>
      </c>
      <c r="AI489" s="1" t="str">
        <f>_xlfn.TEXTAFTER(_xlfn.TEXTBEFORE(batch_summary[[#This Row],[video]],"_",1),"-",3)</f>
        <v>16</v>
      </c>
      <c r="AJ489" s="1" t="str">
        <f>_xlfn.TEXTBEFORE(_xlfn.TEXTAFTER(batch_summary[[#This Row],[video]],"_",1),"_",1)</f>
        <v>20260412</v>
      </c>
      <c r="AK489" s="1" t="str">
        <f>_xlfn.TEXTBEFORE(_xlfn.TEXTAFTER(batch_summary[[#This Row],[video]],"_",2),".",1)</f>
        <v>170000</v>
      </c>
    </row>
    <row r="490" spans="1:37" x14ac:dyDescent="0.2">
      <c r="A490" s="1" t="s">
        <v>4774</v>
      </c>
      <c r="B490" s="1" t="s">
        <v>4775</v>
      </c>
      <c r="C490">
        <v>119.95833333333333</v>
      </c>
      <c r="D490">
        <v>2879</v>
      </c>
      <c r="E490">
        <v>0.41504180617630482</v>
      </c>
      <c r="F490">
        <v>39.130793799646199</v>
      </c>
      <c r="G490">
        <v>1.4416179443428441E-4</v>
      </c>
      <c r="H490">
        <v>1.3591800555625633E-2</v>
      </c>
      <c r="I490">
        <v>5</v>
      </c>
      <c r="J490" t="b">
        <v>1</v>
      </c>
      <c r="K490">
        <v>0.65</v>
      </c>
      <c r="L490">
        <v>1.3</v>
      </c>
      <c r="M490" t="b">
        <v>1</v>
      </c>
      <c r="N490">
        <v>200</v>
      </c>
      <c r="O490" t="b">
        <v>0</v>
      </c>
      <c r="P490" t="b">
        <v>0</v>
      </c>
      <c r="Q490">
        <v>0.7</v>
      </c>
      <c r="R490">
        <v>5768772.7083771229</v>
      </c>
      <c r="S490">
        <v>4590376.1937915683</v>
      </c>
      <c r="T490">
        <v>5215231.8217759132</v>
      </c>
      <c r="U490">
        <v>4069082.2341344953</v>
      </c>
      <c r="V490">
        <v>10359148.902168691</v>
      </c>
      <c r="W490">
        <v>9284314.0559104085</v>
      </c>
      <c r="X490">
        <v>86356.225651979374</v>
      </c>
      <c r="Y490">
        <v>77396.157465039883</v>
      </c>
      <c r="Z490">
        <v>4818.7683040618895</v>
      </c>
      <c r="AA490">
        <v>2321.0785139776021</v>
      </c>
      <c r="AB490">
        <v>52152.31821775913</v>
      </c>
      <c r="AC490">
        <v>40690.822341344952</v>
      </c>
      <c r="AD490">
        <v>92843.140559104082</v>
      </c>
      <c r="AE490">
        <v>1.1157689022350596</v>
      </c>
      <c r="AF490" s="1" t="s">
        <v>4776</v>
      </c>
      <c r="AG490" s="1" t="s">
        <v>4777</v>
      </c>
      <c r="AH490" s="1" t="s">
        <v>4778</v>
      </c>
      <c r="AI490" s="1" t="str">
        <f>_xlfn.TEXTAFTER(_xlfn.TEXTBEFORE(batch_summary[[#This Row],[video]],"_",1),"-",3)</f>
        <v>16</v>
      </c>
      <c r="AJ490" s="1" t="str">
        <f>_xlfn.TEXTBEFORE(_xlfn.TEXTAFTER(batch_summary[[#This Row],[video]],"_",1),"_",1)</f>
        <v>20260412</v>
      </c>
      <c r="AK490" s="1" t="str">
        <f>_xlfn.TEXTBEFORE(_xlfn.TEXTAFTER(batch_summary[[#This Row],[video]],"_",2),".",1)</f>
        <v>180000</v>
      </c>
    </row>
    <row r="491" spans="1:37" x14ac:dyDescent="0.2">
      <c r="A491" s="1" t="s">
        <v>4779</v>
      </c>
      <c r="B491" s="1" t="s">
        <v>4780</v>
      </c>
      <c r="C491">
        <v>119.95833333333333</v>
      </c>
      <c r="D491">
        <v>2879</v>
      </c>
      <c r="E491">
        <v>0.39604593720287085</v>
      </c>
      <c r="F491">
        <v>38.632118488661945</v>
      </c>
      <c r="G491">
        <v>1.3756371559669011E-4</v>
      </c>
      <c r="H491">
        <v>1.3418589263168442E-2</v>
      </c>
      <c r="I491">
        <v>5</v>
      </c>
      <c r="J491" t="b">
        <v>1</v>
      </c>
      <c r="K491">
        <v>0.65</v>
      </c>
      <c r="L491">
        <v>1.3</v>
      </c>
      <c r="M491" t="b">
        <v>1</v>
      </c>
      <c r="N491">
        <v>200</v>
      </c>
      <c r="O491" t="b">
        <v>0</v>
      </c>
      <c r="P491" t="b">
        <v>0</v>
      </c>
      <c r="Q491">
        <v>0.7</v>
      </c>
      <c r="R491">
        <v>1103790.3092867732</v>
      </c>
      <c r="S491">
        <v>1038738.5964818597</v>
      </c>
      <c r="T491">
        <v>878219.53764754534</v>
      </c>
      <c r="U491">
        <v>825985.69667029381</v>
      </c>
      <c r="V491">
        <v>2142528.9057686329</v>
      </c>
      <c r="W491">
        <v>1704205.2343178391</v>
      </c>
      <c r="X491">
        <v>17860.609148470718</v>
      </c>
      <c r="Y491">
        <v>14206.643148186226</v>
      </c>
      <c r="Z491">
        <v>2047.5436635947226</v>
      </c>
      <c r="AA491">
        <v>426.05130857945977</v>
      </c>
      <c r="AB491">
        <v>8782.1953764754526</v>
      </c>
      <c r="AC491">
        <v>8259.8569667029387</v>
      </c>
      <c r="AD491">
        <v>17042.052343178391</v>
      </c>
      <c r="AE491">
        <v>1.2572012235523067</v>
      </c>
      <c r="AF491" s="1" t="s">
        <v>4781</v>
      </c>
      <c r="AG491" s="1" t="s">
        <v>4782</v>
      </c>
      <c r="AH491" s="1" t="s">
        <v>4783</v>
      </c>
      <c r="AI491" s="1" t="str">
        <f>_xlfn.TEXTAFTER(_xlfn.TEXTBEFORE(batch_summary[[#This Row],[video]],"_",1),"-",3)</f>
        <v>16</v>
      </c>
      <c r="AJ491" s="1" t="str">
        <f>_xlfn.TEXTBEFORE(_xlfn.TEXTAFTER(batch_summary[[#This Row],[video]],"_",1),"_",1)</f>
        <v>20260412</v>
      </c>
      <c r="AK491" s="1" t="str">
        <f>_xlfn.TEXTBEFORE(_xlfn.TEXTAFTER(batch_summary[[#This Row],[video]],"_",2),".",1)</f>
        <v>190000</v>
      </c>
    </row>
    <row r="492" spans="1:37" x14ac:dyDescent="0.2">
      <c r="A492" s="1" t="s">
        <v>4784</v>
      </c>
      <c r="B492" s="1" t="s">
        <v>4785</v>
      </c>
      <c r="C492">
        <v>119.95833333333333</v>
      </c>
      <c r="D492">
        <v>2879</v>
      </c>
      <c r="E492">
        <v>0.376493776217103</v>
      </c>
      <c r="F492">
        <v>37.145992707461119</v>
      </c>
      <c r="G492">
        <v>1.3077241271868808E-4</v>
      </c>
      <c r="H492">
        <v>1.2902394132497783E-2</v>
      </c>
      <c r="I492">
        <v>5</v>
      </c>
      <c r="J492" t="b">
        <v>1</v>
      </c>
      <c r="K492">
        <v>0.65</v>
      </c>
      <c r="L492">
        <v>1.3</v>
      </c>
      <c r="M492" t="b">
        <v>1</v>
      </c>
      <c r="N492">
        <v>200</v>
      </c>
      <c r="O492" t="b">
        <v>0</v>
      </c>
      <c r="P492" t="b">
        <v>0</v>
      </c>
      <c r="Q492">
        <v>0.7</v>
      </c>
      <c r="R492">
        <v>8198.9074950218201</v>
      </c>
      <c r="S492">
        <v>8890.3883515000343</v>
      </c>
      <c r="T492">
        <v>0</v>
      </c>
      <c r="U492">
        <v>0</v>
      </c>
      <c r="V492">
        <v>17089.295846521854</v>
      </c>
      <c r="W492">
        <v>0</v>
      </c>
      <c r="X492">
        <v>142.46026409049134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17089295846.521854</v>
      </c>
      <c r="AF492" s="1" t="s">
        <v>4786</v>
      </c>
      <c r="AG492" s="1" t="s">
        <v>4787</v>
      </c>
      <c r="AH492" s="1" t="s">
        <v>4788</v>
      </c>
      <c r="AI492" s="1" t="str">
        <f>_xlfn.TEXTAFTER(_xlfn.TEXTBEFORE(batch_summary[[#This Row],[video]],"_",1),"-",3)</f>
        <v>16</v>
      </c>
      <c r="AJ492" s="1" t="str">
        <f>_xlfn.TEXTBEFORE(_xlfn.TEXTAFTER(batch_summary[[#This Row],[video]],"_",1),"_",1)</f>
        <v>20260413</v>
      </c>
      <c r="AK492" s="1" t="str">
        <f>_xlfn.TEXTBEFORE(_xlfn.TEXTAFTER(batch_summary[[#This Row],[video]],"_",2),".",1)</f>
        <v>060000</v>
      </c>
    </row>
    <row r="493" spans="1:37" x14ac:dyDescent="0.2">
      <c r="A493" s="1" t="s">
        <v>4789</v>
      </c>
      <c r="B493" s="1" t="s">
        <v>4790</v>
      </c>
      <c r="C493">
        <v>119.95833333333333</v>
      </c>
      <c r="D493">
        <v>2879</v>
      </c>
      <c r="E493">
        <v>0.38163466192781925</v>
      </c>
      <c r="F493">
        <v>37.123659528791904</v>
      </c>
      <c r="G493">
        <v>1.3255806249663746E-4</v>
      </c>
      <c r="H493">
        <v>1.2894636863074646E-2</v>
      </c>
      <c r="I493">
        <v>5</v>
      </c>
      <c r="J493" t="b">
        <v>1</v>
      </c>
      <c r="K493">
        <v>0.65</v>
      </c>
      <c r="L493">
        <v>1.3</v>
      </c>
      <c r="M493" t="b">
        <v>1</v>
      </c>
      <c r="N493">
        <v>200</v>
      </c>
      <c r="O493" t="b">
        <v>0</v>
      </c>
      <c r="P493" t="b">
        <v>0</v>
      </c>
      <c r="Q493">
        <v>0.7</v>
      </c>
      <c r="R493">
        <v>69719.257283627987</v>
      </c>
      <c r="S493">
        <v>107322.74562263489</v>
      </c>
      <c r="T493">
        <v>50408.650629043579</v>
      </c>
      <c r="U493">
        <v>89499.822448730469</v>
      </c>
      <c r="V493">
        <v>177042.00290626287</v>
      </c>
      <c r="W493">
        <v>139908.47307777405</v>
      </c>
      <c r="X493">
        <v>1475.8624764676308</v>
      </c>
      <c r="Y493">
        <v>1166.30891068655</v>
      </c>
      <c r="Z493">
        <v>701.55050155639651</v>
      </c>
      <c r="AA493">
        <v>34.977118269443508</v>
      </c>
      <c r="AB493">
        <v>504.08650629043581</v>
      </c>
      <c r="AC493">
        <v>894.9982244873047</v>
      </c>
      <c r="AD493">
        <v>1399.0847307777406</v>
      </c>
      <c r="AE493">
        <v>1.2654130161784167</v>
      </c>
      <c r="AF493" s="1" t="s">
        <v>4791</v>
      </c>
      <c r="AG493" s="1" t="s">
        <v>4792</v>
      </c>
      <c r="AH493" s="1" t="s">
        <v>4793</v>
      </c>
      <c r="AI493" s="1" t="str">
        <f>_xlfn.TEXTAFTER(_xlfn.TEXTBEFORE(batch_summary[[#This Row],[video]],"_",1),"-",3)</f>
        <v>16</v>
      </c>
      <c r="AJ493" s="1" t="str">
        <f>_xlfn.TEXTBEFORE(_xlfn.TEXTAFTER(batch_summary[[#This Row],[video]],"_",1),"_",1)</f>
        <v>20260413</v>
      </c>
      <c r="AK493" s="1" t="str">
        <f>_xlfn.TEXTBEFORE(_xlfn.TEXTAFTER(batch_summary[[#This Row],[video]],"_",2),".",1)</f>
        <v>070000</v>
      </c>
    </row>
    <row r="494" spans="1:37" x14ac:dyDescent="0.2">
      <c r="A494" s="1" t="s">
        <v>4794</v>
      </c>
      <c r="B494" s="1" t="s">
        <v>4795</v>
      </c>
      <c r="C494">
        <v>119.95833333333333</v>
      </c>
      <c r="D494">
        <v>2879</v>
      </c>
      <c r="E494">
        <v>0.37634448800235987</v>
      </c>
      <c r="F494">
        <v>36.794201263226569</v>
      </c>
      <c r="G494">
        <v>1.3072055852808611E-4</v>
      </c>
      <c r="H494">
        <v>1.2780201897612562E-2</v>
      </c>
      <c r="I494">
        <v>5</v>
      </c>
      <c r="J494" t="b">
        <v>1</v>
      </c>
      <c r="K494">
        <v>0.65</v>
      </c>
      <c r="L494">
        <v>1.3</v>
      </c>
      <c r="M494" t="b">
        <v>1</v>
      </c>
      <c r="N494">
        <v>200</v>
      </c>
      <c r="O494" t="b">
        <v>0</v>
      </c>
      <c r="P494" t="b">
        <v>0</v>
      </c>
      <c r="Q494">
        <v>0.7</v>
      </c>
      <c r="R494">
        <v>24698.462979793549</v>
      </c>
      <c r="S494">
        <v>27082.716569721699</v>
      </c>
      <c r="T494">
        <v>0</v>
      </c>
      <c r="U494">
        <v>0</v>
      </c>
      <c r="V494">
        <v>51781.179549515247</v>
      </c>
      <c r="W494">
        <v>0</v>
      </c>
      <c r="X494">
        <v>431.65971142353806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51781179549.515251</v>
      </c>
      <c r="AF494" s="1" t="s">
        <v>4796</v>
      </c>
      <c r="AG494" s="1" t="s">
        <v>4797</v>
      </c>
      <c r="AH494" s="1" t="s">
        <v>4798</v>
      </c>
      <c r="AI494" s="1" t="str">
        <f>_xlfn.TEXTAFTER(_xlfn.TEXTBEFORE(batch_summary[[#This Row],[video]],"_",1),"-",3)</f>
        <v>16</v>
      </c>
      <c r="AJ494" s="1" t="str">
        <f>_xlfn.TEXTBEFORE(_xlfn.TEXTAFTER(batch_summary[[#This Row],[video]],"_",1),"_",1)</f>
        <v>20260413</v>
      </c>
      <c r="AK494" s="1" t="str">
        <f>_xlfn.TEXTBEFORE(_xlfn.TEXTAFTER(batch_summary[[#This Row],[video]],"_",2),".",1)</f>
        <v>080000</v>
      </c>
    </row>
    <row r="495" spans="1:37" x14ac:dyDescent="0.2">
      <c r="A495" s="1" t="s">
        <v>4799</v>
      </c>
      <c r="B495" s="1" t="s">
        <v>4800</v>
      </c>
      <c r="C495">
        <v>119.95833333333333</v>
      </c>
      <c r="D495">
        <v>2879</v>
      </c>
      <c r="E495">
        <v>0.38889357913285494</v>
      </c>
      <c r="F495">
        <v>38.196693836711347</v>
      </c>
      <c r="G495">
        <v>1.3507939532228375E-4</v>
      </c>
      <c r="H495">
        <v>1.3267347633453056E-2</v>
      </c>
      <c r="I495">
        <v>5</v>
      </c>
      <c r="J495" t="b">
        <v>1</v>
      </c>
      <c r="K495">
        <v>0.65</v>
      </c>
      <c r="L495">
        <v>1.3</v>
      </c>
      <c r="M495" t="b">
        <v>1</v>
      </c>
      <c r="N495">
        <v>200</v>
      </c>
      <c r="O495" t="b">
        <v>0</v>
      </c>
      <c r="P495" t="b">
        <v>0</v>
      </c>
      <c r="Q495">
        <v>0.7</v>
      </c>
      <c r="R495">
        <v>11606471.747512519</v>
      </c>
      <c r="S495">
        <v>11306920.287635326</v>
      </c>
      <c r="T495">
        <v>10416830.35914588</v>
      </c>
      <c r="U495">
        <v>10154706.643893719</v>
      </c>
      <c r="V495">
        <v>22913392.035147846</v>
      </c>
      <c r="W495">
        <v>20571537.003039598</v>
      </c>
      <c r="X495">
        <v>191011.25697934988</v>
      </c>
      <c r="Y495">
        <v>171489.01982387996</v>
      </c>
      <c r="Z495">
        <v>7481.5303683471684</v>
      </c>
      <c r="AA495">
        <v>5142.8842507598993</v>
      </c>
      <c r="AB495">
        <v>104168.3035914588</v>
      </c>
      <c r="AC495">
        <v>101547.06643893718</v>
      </c>
      <c r="AD495">
        <v>205715.37003039598</v>
      </c>
      <c r="AE495">
        <v>1.1138395751256807</v>
      </c>
      <c r="AF495" s="1" t="s">
        <v>4801</v>
      </c>
      <c r="AG495" s="1" t="s">
        <v>4802</v>
      </c>
      <c r="AH495" s="1" t="s">
        <v>4803</v>
      </c>
      <c r="AI495" s="1" t="str">
        <f>_xlfn.TEXTAFTER(_xlfn.TEXTBEFORE(batch_summary[[#This Row],[video]],"_",1),"-",3)</f>
        <v>16</v>
      </c>
      <c r="AJ495" s="1" t="str">
        <f>_xlfn.TEXTBEFORE(_xlfn.TEXTAFTER(batch_summary[[#This Row],[video]],"_",1),"_",1)</f>
        <v>20260413</v>
      </c>
      <c r="AK495" s="1" t="str">
        <f>_xlfn.TEXTBEFORE(_xlfn.TEXTAFTER(batch_summary[[#This Row],[video]],"_",2),".",1)</f>
        <v>090000</v>
      </c>
    </row>
    <row r="496" spans="1:37" x14ac:dyDescent="0.2">
      <c r="A496" s="1" t="s">
        <v>4804</v>
      </c>
      <c r="B496" s="1" t="s">
        <v>4805</v>
      </c>
      <c r="C496">
        <v>119.95833333333333</v>
      </c>
      <c r="D496">
        <v>2879</v>
      </c>
      <c r="E496">
        <v>0.38732634577900171</v>
      </c>
      <c r="F496">
        <v>38.174453250132501</v>
      </c>
      <c r="G496">
        <v>1.3453502805800684E-4</v>
      </c>
      <c r="H496">
        <v>1.3259622525228379E-2</v>
      </c>
      <c r="I496">
        <v>5</v>
      </c>
      <c r="J496" t="b">
        <v>1</v>
      </c>
      <c r="K496">
        <v>0.65</v>
      </c>
      <c r="L496">
        <v>1.3</v>
      </c>
      <c r="M496" t="b">
        <v>1</v>
      </c>
      <c r="N496">
        <v>200</v>
      </c>
      <c r="O496" t="b">
        <v>0</v>
      </c>
      <c r="P496" t="b">
        <v>0</v>
      </c>
      <c r="Q496">
        <v>0.7</v>
      </c>
      <c r="R496">
        <v>12392354.683411598</v>
      </c>
      <c r="S496">
        <v>11397464.052951336</v>
      </c>
      <c r="T496">
        <v>11117066.823591173</v>
      </c>
      <c r="U496">
        <v>10104999.250491202</v>
      </c>
      <c r="V496">
        <v>23789818.736362934</v>
      </c>
      <c r="W496">
        <v>21222066.074082375</v>
      </c>
      <c r="X496">
        <v>198317.34966054547</v>
      </c>
      <c r="Y496">
        <v>176911.97838762662</v>
      </c>
      <c r="Z496">
        <v>10284.206581115723</v>
      </c>
      <c r="AA496">
        <v>5305.5165185205933</v>
      </c>
      <c r="AB496">
        <v>111170.66823591173</v>
      </c>
      <c r="AC496">
        <v>101049.99250491202</v>
      </c>
      <c r="AD496">
        <v>212220.66074082375</v>
      </c>
      <c r="AE496">
        <v>1.1209944711941335</v>
      </c>
      <c r="AF496" s="1" t="s">
        <v>4806</v>
      </c>
      <c r="AG496" s="1" t="s">
        <v>4807</v>
      </c>
      <c r="AH496" s="1" t="s">
        <v>4808</v>
      </c>
      <c r="AI496" s="1" t="str">
        <f>_xlfn.TEXTAFTER(_xlfn.TEXTBEFORE(batch_summary[[#This Row],[video]],"_",1),"-",3)</f>
        <v>16</v>
      </c>
      <c r="AJ496" s="1" t="str">
        <f>_xlfn.TEXTBEFORE(_xlfn.TEXTAFTER(batch_summary[[#This Row],[video]],"_",1),"_",1)</f>
        <v>20260413</v>
      </c>
      <c r="AK496" s="1" t="str">
        <f>_xlfn.TEXTBEFORE(_xlfn.TEXTAFTER(batch_summary[[#This Row],[video]],"_",2),".",1)</f>
        <v>100000</v>
      </c>
    </row>
    <row r="497" spans="1:37" x14ac:dyDescent="0.2">
      <c r="A497" s="1" t="s">
        <v>4809</v>
      </c>
      <c r="B497" s="1" t="s">
        <v>4810</v>
      </c>
      <c r="C497">
        <v>119.95833333333333</v>
      </c>
      <c r="D497">
        <v>2879</v>
      </c>
      <c r="E497">
        <v>0.39455027226358652</v>
      </c>
      <c r="F497">
        <v>38.632225994952023</v>
      </c>
      <c r="G497">
        <v>1.3704420710788001E-4</v>
      </c>
      <c r="H497">
        <v>1.3418626604707199E-2</v>
      </c>
      <c r="I497">
        <v>5</v>
      </c>
      <c r="J497" t="b">
        <v>1</v>
      </c>
      <c r="K497">
        <v>0.65</v>
      </c>
      <c r="L497">
        <v>1.3</v>
      </c>
      <c r="M497" t="b">
        <v>1</v>
      </c>
      <c r="N497">
        <v>200</v>
      </c>
      <c r="O497" t="b">
        <v>0</v>
      </c>
      <c r="P497" t="b">
        <v>0</v>
      </c>
      <c r="Q497">
        <v>0.7</v>
      </c>
      <c r="R497">
        <v>10879234.57403326</v>
      </c>
      <c r="S497">
        <v>10380959.298987687</v>
      </c>
      <c r="T497">
        <v>9402594.6815337539</v>
      </c>
      <c r="U497">
        <v>9039818.4227131009</v>
      </c>
      <c r="V497">
        <v>21260193.873020947</v>
      </c>
      <c r="W497">
        <v>18442413.104246855</v>
      </c>
      <c r="X497">
        <v>177229.82040726041</v>
      </c>
      <c r="Y497">
        <v>153740.15786798351</v>
      </c>
      <c r="Z497">
        <v>8690.3341908645634</v>
      </c>
      <c r="AA497">
        <v>4610.6032760617136</v>
      </c>
      <c r="AB497">
        <v>94025.946815337535</v>
      </c>
      <c r="AC497">
        <v>90398.184227131016</v>
      </c>
      <c r="AD497">
        <v>184424.13104246854</v>
      </c>
      <c r="AE497">
        <v>1.1527880734937677</v>
      </c>
      <c r="AF497" s="1" t="s">
        <v>4811</v>
      </c>
      <c r="AG497" s="1" t="s">
        <v>4812</v>
      </c>
      <c r="AH497" s="1" t="s">
        <v>4813</v>
      </c>
      <c r="AI497" s="1" t="str">
        <f>_xlfn.TEXTAFTER(_xlfn.TEXTBEFORE(batch_summary[[#This Row],[video]],"_",1),"-",3)</f>
        <v>16</v>
      </c>
      <c r="AJ497" s="1" t="str">
        <f>_xlfn.TEXTBEFORE(_xlfn.TEXTAFTER(batch_summary[[#This Row],[video]],"_",1),"_",1)</f>
        <v>20260413</v>
      </c>
      <c r="AK497" s="1" t="str">
        <f>_xlfn.TEXTBEFORE(_xlfn.TEXTAFTER(batch_summary[[#This Row],[video]],"_",2),".",1)</f>
        <v>110000</v>
      </c>
    </row>
    <row r="498" spans="1:37" x14ac:dyDescent="0.2">
      <c r="A498" s="1" t="s">
        <v>4814</v>
      </c>
      <c r="B498" s="1" t="s">
        <v>4815</v>
      </c>
      <c r="C498">
        <v>119.95833333333333</v>
      </c>
      <c r="D498">
        <v>2879</v>
      </c>
      <c r="E498">
        <v>0.38731017988175154</v>
      </c>
      <c r="F498">
        <v>38.106470886617899</v>
      </c>
      <c r="G498">
        <v>1.34529412949549E-4</v>
      </c>
      <c r="H498">
        <v>1.323600933887388E-2</v>
      </c>
      <c r="I498">
        <v>5</v>
      </c>
      <c r="J498" t="b">
        <v>1</v>
      </c>
      <c r="K498">
        <v>0.65</v>
      </c>
      <c r="L498">
        <v>1.3</v>
      </c>
      <c r="M498" t="b">
        <v>1</v>
      </c>
      <c r="N498">
        <v>200</v>
      </c>
      <c r="O498" t="b">
        <v>0</v>
      </c>
      <c r="P498" t="b">
        <v>0</v>
      </c>
      <c r="Q498">
        <v>0.7</v>
      </c>
      <c r="R498">
        <v>11852755.718392849</v>
      </c>
      <c r="S498">
        <v>11727309.057396173</v>
      </c>
      <c r="T498">
        <v>10573672.650364697</v>
      </c>
      <c r="U498">
        <v>10429544.628037751</v>
      </c>
      <c r="V498">
        <v>23580064.775789022</v>
      </c>
      <c r="W498">
        <v>21003217.278402448</v>
      </c>
      <c r="X498">
        <v>196568.79285131523</v>
      </c>
      <c r="Y498">
        <v>175087.60496063172</v>
      </c>
      <c r="Z498">
        <v>9138.2252621459957</v>
      </c>
      <c r="AA498">
        <v>5250.804319600612</v>
      </c>
      <c r="AB498">
        <v>105736.72650364698</v>
      </c>
      <c r="AC498">
        <v>104295.44628037751</v>
      </c>
      <c r="AD498">
        <v>210032.1727840245</v>
      </c>
      <c r="AE498">
        <v>1.1226882273905885</v>
      </c>
      <c r="AF498" s="1" t="s">
        <v>4816</v>
      </c>
      <c r="AG498" s="1" t="s">
        <v>4817</v>
      </c>
      <c r="AH498" s="1" t="s">
        <v>4818</v>
      </c>
      <c r="AI498" s="1" t="str">
        <f>_xlfn.TEXTAFTER(_xlfn.TEXTBEFORE(batch_summary[[#This Row],[video]],"_",1),"-",3)</f>
        <v>16</v>
      </c>
      <c r="AJ498" s="1" t="str">
        <f>_xlfn.TEXTBEFORE(_xlfn.TEXTAFTER(batch_summary[[#This Row],[video]],"_",1),"_",1)</f>
        <v>20260413</v>
      </c>
      <c r="AK498" s="1" t="str">
        <f>_xlfn.TEXTBEFORE(_xlfn.TEXTAFTER(batch_summary[[#This Row],[video]],"_",2),".",1)</f>
        <v>120000</v>
      </c>
    </row>
    <row r="499" spans="1:37" x14ac:dyDescent="0.2">
      <c r="A499" s="1" t="s">
        <v>4819</v>
      </c>
      <c r="B499" s="1" t="s">
        <v>4820</v>
      </c>
      <c r="C499">
        <v>119.95833333333333</v>
      </c>
      <c r="D499">
        <v>2879</v>
      </c>
      <c r="E499">
        <v>0.38280791323632002</v>
      </c>
      <c r="F499">
        <v>37.70958789717406</v>
      </c>
      <c r="G499">
        <v>1.329655829233484E-4</v>
      </c>
      <c r="H499">
        <v>1.3098154879185154E-2</v>
      </c>
      <c r="I499">
        <v>5</v>
      </c>
      <c r="J499" t="b">
        <v>1</v>
      </c>
      <c r="K499">
        <v>0.65</v>
      </c>
      <c r="L499">
        <v>1.3</v>
      </c>
      <c r="M499" t="b">
        <v>1</v>
      </c>
      <c r="N499">
        <v>200</v>
      </c>
      <c r="O499" t="b">
        <v>0</v>
      </c>
      <c r="P499" t="b">
        <v>0</v>
      </c>
      <c r="Q499">
        <v>0.7</v>
      </c>
      <c r="R499">
        <v>15279198.355992317</v>
      </c>
      <c r="S499">
        <v>13752700.066120625</v>
      </c>
      <c r="T499">
        <v>14019756.693070114</v>
      </c>
      <c r="U499">
        <v>12525841.419436574</v>
      </c>
      <c r="V499">
        <v>29031898.422112942</v>
      </c>
      <c r="W499">
        <v>26545598.112506688</v>
      </c>
      <c r="X499">
        <v>242016.52036495681</v>
      </c>
      <c r="Y499">
        <v>221290.15446341108</v>
      </c>
      <c r="Z499">
        <v>10235.604841003418</v>
      </c>
      <c r="AA499">
        <v>6636.3995281266716</v>
      </c>
      <c r="AB499">
        <v>140197.56693070114</v>
      </c>
      <c r="AC499">
        <v>125258.41419436575</v>
      </c>
      <c r="AD499">
        <v>265455.98112506687</v>
      </c>
      <c r="AE499">
        <v>1.093661491410693</v>
      </c>
      <c r="AF499" s="1" t="s">
        <v>4821</v>
      </c>
      <c r="AG499" s="1" t="s">
        <v>4822</v>
      </c>
      <c r="AH499" s="1" t="s">
        <v>4823</v>
      </c>
      <c r="AI499" s="1" t="str">
        <f>_xlfn.TEXTAFTER(_xlfn.TEXTBEFORE(batch_summary[[#This Row],[video]],"_",1),"-",3)</f>
        <v>16</v>
      </c>
      <c r="AJ499" s="1" t="str">
        <f>_xlfn.TEXTBEFORE(_xlfn.TEXTAFTER(batch_summary[[#This Row],[video]],"_",1),"_",1)</f>
        <v>20260413</v>
      </c>
      <c r="AK499" s="1" t="str">
        <f>_xlfn.TEXTBEFORE(_xlfn.TEXTAFTER(batch_summary[[#This Row],[video]],"_",2),".",1)</f>
        <v>130000</v>
      </c>
    </row>
    <row r="500" spans="1:37" x14ac:dyDescent="0.2">
      <c r="A500" s="1" t="s">
        <v>4824</v>
      </c>
      <c r="B500" s="1" t="s">
        <v>4825</v>
      </c>
      <c r="C500">
        <v>119.95833333333333</v>
      </c>
      <c r="D500">
        <v>2879</v>
      </c>
      <c r="E500">
        <v>0.382636490277946</v>
      </c>
      <c r="F500">
        <v>38.027562156319618</v>
      </c>
      <c r="G500">
        <v>1.3290604038831053E-4</v>
      </c>
      <c r="H500">
        <v>1.3208600957387849E-2</v>
      </c>
      <c r="I500">
        <v>5</v>
      </c>
      <c r="J500" t="b">
        <v>1</v>
      </c>
      <c r="K500">
        <v>0.65</v>
      </c>
      <c r="L500">
        <v>1.3</v>
      </c>
      <c r="M500" t="b">
        <v>1</v>
      </c>
      <c r="N500">
        <v>200</v>
      </c>
      <c r="O500" t="b">
        <v>0</v>
      </c>
      <c r="P500" t="b">
        <v>0</v>
      </c>
      <c r="Q500">
        <v>0.7</v>
      </c>
      <c r="R500">
        <v>13770283.166596651</v>
      </c>
      <c r="S500">
        <v>9889288.5061207414</v>
      </c>
      <c r="T500">
        <v>12793358.264961004</v>
      </c>
      <c r="U500">
        <v>8943941.1227220893</v>
      </c>
      <c r="V500">
        <v>23659571.672717392</v>
      </c>
      <c r="W500">
        <v>21737299.387683094</v>
      </c>
      <c r="X500">
        <v>197231.58046030477</v>
      </c>
      <c r="Y500">
        <v>181207.0806892651</v>
      </c>
      <c r="Z500">
        <v>8895.6875994873044</v>
      </c>
      <c r="AA500">
        <v>5434.3248469207738</v>
      </c>
      <c r="AB500">
        <v>127933.58264961005</v>
      </c>
      <c r="AC500">
        <v>89439.411227220888</v>
      </c>
      <c r="AD500">
        <v>217372.99387683094</v>
      </c>
      <c r="AE500">
        <v>1.0884319735745789</v>
      </c>
      <c r="AF500" s="1" t="s">
        <v>4826</v>
      </c>
      <c r="AG500" s="1" t="s">
        <v>4827</v>
      </c>
      <c r="AH500" s="1" t="s">
        <v>4828</v>
      </c>
      <c r="AI500" s="1" t="str">
        <f>_xlfn.TEXTAFTER(_xlfn.TEXTBEFORE(batch_summary[[#This Row],[video]],"_",1),"-",3)</f>
        <v>16</v>
      </c>
      <c r="AJ500" s="1" t="str">
        <f>_xlfn.TEXTBEFORE(_xlfn.TEXTAFTER(batch_summary[[#This Row],[video]],"_",1),"_",1)</f>
        <v>20260413</v>
      </c>
      <c r="AK500" s="1" t="str">
        <f>_xlfn.TEXTBEFORE(_xlfn.TEXTAFTER(batch_summary[[#This Row],[video]],"_",2),".",1)</f>
        <v>140000</v>
      </c>
    </row>
    <row r="501" spans="1:37" x14ac:dyDescent="0.2">
      <c r="A501" s="1" t="s">
        <v>4829</v>
      </c>
      <c r="B501" s="1" t="s">
        <v>4830</v>
      </c>
      <c r="C501">
        <v>119.95833333333333</v>
      </c>
      <c r="D501">
        <v>2879</v>
      </c>
      <c r="E501">
        <v>0.38624546304345131</v>
      </c>
      <c r="F501">
        <v>37.426368148066103</v>
      </c>
      <c r="G501">
        <v>1.3415959119258467E-4</v>
      </c>
      <c r="H501">
        <v>1.2999780530762801E-2</v>
      </c>
      <c r="I501">
        <v>5</v>
      </c>
      <c r="J501" t="b">
        <v>1</v>
      </c>
      <c r="K501">
        <v>0.65</v>
      </c>
      <c r="L501">
        <v>1.3</v>
      </c>
      <c r="M501" t="b">
        <v>1</v>
      </c>
      <c r="N501">
        <v>200</v>
      </c>
      <c r="O501" t="b">
        <v>0</v>
      </c>
      <c r="P501" t="b">
        <v>0</v>
      </c>
      <c r="Q501">
        <v>0.7</v>
      </c>
      <c r="R501">
        <v>41822.363939702511</v>
      </c>
      <c r="S501">
        <v>42390.782046556473</v>
      </c>
      <c r="T501">
        <v>5145.7962799072266</v>
      </c>
      <c r="U501">
        <v>7946.1118621826172</v>
      </c>
      <c r="V501">
        <v>84213.145986258984</v>
      </c>
      <c r="W501">
        <v>13091.908142089844</v>
      </c>
      <c r="X501">
        <v>702.0199734873969</v>
      </c>
      <c r="Y501">
        <v>109.13712935399661</v>
      </c>
      <c r="Z501">
        <v>27.285711364746096</v>
      </c>
      <c r="AA501">
        <v>3.272977035522461</v>
      </c>
      <c r="AB501">
        <v>51.457962799072263</v>
      </c>
      <c r="AC501">
        <v>79.461118621826174</v>
      </c>
      <c r="AD501">
        <v>130.91908142089844</v>
      </c>
      <c r="AE501">
        <v>6.4324577496474973</v>
      </c>
      <c r="AF501" s="1" t="s">
        <v>4831</v>
      </c>
      <c r="AG501" s="1" t="s">
        <v>4832</v>
      </c>
      <c r="AH501" s="1" t="s">
        <v>4833</v>
      </c>
      <c r="AI501" s="1" t="str">
        <f>_xlfn.TEXTAFTER(_xlfn.TEXTBEFORE(batch_summary[[#This Row],[video]],"_",1),"-",3)</f>
        <v>16</v>
      </c>
      <c r="AJ501" s="1" t="str">
        <f>_xlfn.TEXTBEFORE(_xlfn.TEXTAFTER(batch_summary[[#This Row],[video]],"_",1),"_",1)</f>
        <v>20260413</v>
      </c>
      <c r="AK501" s="1" t="str">
        <f>_xlfn.TEXTBEFORE(_xlfn.TEXTAFTER(batch_summary[[#This Row],[video]],"_",2),".",1)</f>
        <v>150000</v>
      </c>
    </row>
    <row r="502" spans="1:37" x14ac:dyDescent="0.2">
      <c r="A502" s="1" t="s">
        <v>4834</v>
      </c>
      <c r="B502" s="1" t="s">
        <v>4835</v>
      </c>
      <c r="C502">
        <v>119.95833333333333</v>
      </c>
      <c r="D502">
        <v>2879</v>
      </c>
      <c r="E502">
        <v>0.37562308460474014</v>
      </c>
      <c r="F502">
        <v>37.78909723367542</v>
      </c>
      <c r="G502">
        <v>1.304699842322821E-4</v>
      </c>
      <c r="H502">
        <v>1.3125771876927898E-2</v>
      </c>
      <c r="I502">
        <v>5</v>
      </c>
      <c r="J502" t="b">
        <v>1</v>
      </c>
      <c r="K502">
        <v>0.65</v>
      </c>
      <c r="L502">
        <v>1.3</v>
      </c>
      <c r="M502" t="b">
        <v>1</v>
      </c>
      <c r="N502">
        <v>200</v>
      </c>
      <c r="O502" t="b">
        <v>0</v>
      </c>
      <c r="P502" t="b">
        <v>0</v>
      </c>
      <c r="Q502">
        <v>0.7</v>
      </c>
      <c r="R502">
        <v>15639181.190369785</v>
      </c>
      <c r="S502">
        <v>15018673.918275952</v>
      </c>
      <c r="T502">
        <v>14689551.64815098</v>
      </c>
      <c r="U502">
        <v>14028684.742866039</v>
      </c>
      <c r="V502">
        <v>30657855.108645737</v>
      </c>
      <c r="W502">
        <v>28718236.39101702</v>
      </c>
      <c r="X502">
        <v>255570.86578933577</v>
      </c>
      <c r="Y502">
        <v>239401.76220368478</v>
      </c>
      <c r="Z502">
        <v>10116.615495300293</v>
      </c>
      <c r="AA502">
        <v>7179.5590977542543</v>
      </c>
      <c r="AB502">
        <v>146895.51648150981</v>
      </c>
      <c r="AC502">
        <v>140286.8474286604</v>
      </c>
      <c r="AD502">
        <v>287182.36391017021</v>
      </c>
      <c r="AE502">
        <v>1.0675396180747165</v>
      </c>
      <c r="AF502" s="1" t="s">
        <v>4836</v>
      </c>
      <c r="AG502" s="1" t="s">
        <v>4837</v>
      </c>
      <c r="AH502" s="1" t="s">
        <v>4838</v>
      </c>
      <c r="AI502" s="1" t="str">
        <f>_xlfn.TEXTAFTER(_xlfn.TEXTBEFORE(batch_summary[[#This Row],[video]],"_",1),"-",3)</f>
        <v>16</v>
      </c>
      <c r="AJ502" s="1" t="str">
        <f>_xlfn.TEXTBEFORE(_xlfn.TEXTAFTER(batch_summary[[#This Row],[video]],"_",1),"_",1)</f>
        <v>20260413</v>
      </c>
      <c r="AK502" s="1" t="str">
        <f>_xlfn.TEXTBEFORE(_xlfn.TEXTAFTER(batch_summary[[#This Row],[video]],"_",2),".",1)</f>
        <v>160000</v>
      </c>
    </row>
    <row r="503" spans="1:37" x14ac:dyDescent="0.2">
      <c r="A503" s="1" t="s">
        <v>4839</v>
      </c>
      <c r="B503" s="1" t="s">
        <v>4840</v>
      </c>
      <c r="C503">
        <v>119.95833333333333</v>
      </c>
      <c r="D503">
        <v>2879</v>
      </c>
      <c r="E503">
        <v>0.37992201466113329</v>
      </c>
      <c r="F503">
        <v>37.924739849753678</v>
      </c>
      <c r="G503">
        <v>1.3196318675273822E-4</v>
      </c>
      <c r="H503">
        <v>1.3172886366708467E-2</v>
      </c>
      <c r="I503">
        <v>5</v>
      </c>
      <c r="J503" t="b">
        <v>1</v>
      </c>
      <c r="K503">
        <v>0.65</v>
      </c>
      <c r="L503">
        <v>1.3</v>
      </c>
      <c r="M503" t="b">
        <v>1</v>
      </c>
      <c r="N503">
        <v>200</v>
      </c>
      <c r="O503" t="b">
        <v>0</v>
      </c>
      <c r="P503" t="b">
        <v>0</v>
      </c>
      <c r="Q503">
        <v>0.7</v>
      </c>
      <c r="R503">
        <v>14298207.232264519</v>
      </c>
      <c r="S503">
        <v>12774302.385204077</v>
      </c>
      <c r="T503">
        <v>13355711.14203918</v>
      </c>
      <c r="U503">
        <v>11830946.862062573</v>
      </c>
      <c r="V503">
        <v>27072509.617468596</v>
      </c>
      <c r="W503">
        <v>25186658.004101753</v>
      </c>
      <c r="X503">
        <v>225682.60882919288</v>
      </c>
      <c r="Y503">
        <v>209961.7200758743</v>
      </c>
      <c r="Z503">
        <v>8970.8822019958498</v>
      </c>
      <c r="AA503">
        <v>6296.6645010254379</v>
      </c>
      <c r="AB503">
        <v>133557.1114203918</v>
      </c>
      <c r="AC503">
        <v>118309.46862062573</v>
      </c>
      <c r="AD503">
        <v>251866.58004101753</v>
      </c>
      <c r="AE503">
        <v>1.0748750236359157</v>
      </c>
      <c r="AF503" s="1" t="s">
        <v>4841</v>
      </c>
      <c r="AG503" s="1" t="s">
        <v>4842</v>
      </c>
      <c r="AH503" s="1" t="s">
        <v>4843</v>
      </c>
      <c r="AI503" s="1" t="str">
        <f>_xlfn.TEXTAFTER(_xlfn.TEXTBEFORE(batch_summary[[#This Row],[video]],"_",1),"-",3)</f>
        <v>16</v>
      </c>
      <c r="AJ503" s="1" t="str">
        <f>_xlfn.TEXTBEFORE(_xlfn.TEXTAFTER(batch_summary[[#This Row],[video]],"_",1),"_",1)</f>
        <v>20260413</v>
      </c>
      <c r="AK503" s="1" t="str">
        <f>_xlfn.TEXTBEFORE(_xlfn.TEXTAFTER(batch_summary[[#This Row],[video]],"_",2),".",1)</f>
        <v>170000</v>
      </c>
    </row>
    <row r="504" spans="1:37" x14ac:dyDescent="0.2">
      <c r="A504" s="1" t="s">
        <v>4844</v>
      </c>
      <c r="B504" s="1" t="s">
        <v>4845</v>
      </c>
      <c r="C504">
        <v>119.95833333333333</v>
      </c>
      <c r="D504">
        <v>2879</v>
      </c>
      <c r="E504">
        <v>0.39471328072249889</v>
      </c>
      <c r="F504">
        <v>38.397169452160597</v>
      </c>
      <c r="G504">
        <v>1.3710082692688395E-4</v>
      </c>
      <c r="H504">
        <v>1.3336981400542063E-2</v>
      </c>
      <c r="I504">
        <v>5</v>
      </c>
      <c r="J504" t="b">
        <v>1</v>
      </c>
      <c r="K504">
        <v>0.65</v>
      </c>
      <c r="L504">
        <v>1.3</v>
      </c>
      <c r="M504" t="b">
        <v>1</v>
      </c>
      <c r="N504">
        <v>200</v>
      </c>
      <c r="O504" t="b">
        <v>0</v>
      </c>
      <c r="P504" t="b">
        <v>0</v>
      </c>
      <c r="Q504">
        <v>0.7</v>
      </c>
      <c r="R504">
        <v>11941776.885538399</v>
      </c>
      <c r="S504">
        <v>11060539.850591063</v>
      </c>
      <c r="T504">
        <v>11162550.990605652</v>
      </c>
      <c r="U504">
        <v>10277299.937391996</v>
      </c>
      <c r="V504">
        <v>23002316.736129463</v>
      </c>
      <c r="W504">
        <v>21439850.927997649</v>
      </c>
      <c r="X504">
        <v>191752.55354883889</v>
      </c>
      <c r="Y504">
        <v>178727.48255364486</v>
      </c>
      <c r="Z504">
        <v>9473.8081033325197</v>
      </c>
      <c r="AA504">
        <v>5359.9627319994124</v>
      </c>
      <c r="AB504">
        <v>111625.50990605653</v>
      </c>
      <c r="AC504">
        <v>102772.99937391997</v>
      </c>
      <c r="AD504">
        <v>214398.50927997648</v>
      </c>
      <c r="AE504">
        <v>1.0728767104481793</v>
      </c>
      <c r="AF504" s="1" t="s">
        <v>4846</v>
      </c>
      <c r="AG504" s="1" t="s">
        <v>4847</v>
      </c>
      <c r="AH504" s="1" t="s">
        <v>4848</v>
      </c>
      <c r="AI504" s="1" t="str">
        <f>_xlfn.TEXTAFTER(_xlfn.TEXTBEFORE(batch_summary[[#This Row],[video]],"_",1),"-",3)</f>
        <v>16</v>
      </c>
      <c r="AJ504" s="1" t="str">
        <f>_xlfn.TEXTBEFORE(_xlfn.TEXTAFTER(batch_summary[[#This Row],[video]],"_",1),"_",1)</f>
        <v>20260413</v>
      </c>
      <c r="AK504" s="1" t="str">
        <f>_xlfn.TEXTBEFORE(_xlfn.TEXTAFTER(batch_summary[[#This Row],[video]],"_",2),".",1)</f>
        <v>180000</v>
      </c>
    </row>
    <row r="505" spans="1:37" x14ac:dyDescent="0.2">
      <c r="A505" s="1" t="s">
        <v>4849</v>
      </c>
      <c r="B505" s="1" t="s">
        <v>4850</v>
      </c>
      <c r="C505">
        <v>119.95833333333333</v>
      </c>
      <c r="D505">
        <v>2879</v>
      </c>
      <c r="E505">
        <v>0.40927399694919586</v>
      </c>
      <c r="F505">
        <v>39.386468958109617</v>
      </c>
      <c r="G505">
        <v>1.4215838726960606E-4</v>
      </c>
      <c r="H505">
        <v>1.3680607488054747E-2</v>
      </c>
      <c r="I505">
        <v>5</v>
      </c>
      <c r="J505" t="b">
        <v>1</v>
      </c>
      <c r="K505">
        <v>0.65</v>
      </c>
      <c r="L505">
        <v>1.3</v>
      </c>
      <c r="M505" t="b">
        <v>1</v>
      </c>
      <c r="N505">
        <v>200</v>
      </c>
      <c r="O505" t="b">
        <v>0</v>
      </c>
      <c r="P505" t="b">
        <v>0</v>
      </c>
      <c r="Q505">
        <v>0.7</v>
      </c>
      <c r="R505">
        <v>3028425.6410833001</v>
      </c>
      <c r="S505">
        <v>2635949.2011547089</v>
      </c>
      <c r="T505">
        <v>2583538.3625120521</v>
      </c>
      <c r="U505">
        <v>2193809.5716465116</v>
      </c>
      <c r="V505">
        <v>5664374.842238009</v>
      </c>
      <c r="W505">
        <v>4777347.9341585636</v>
      </c>
      <c r="X505">
        <v>47219.519351758325</v>
      </c>
      <c r="Y505">
        <v>39825.060930811233</v>
      </c>
      <c r="Z505">
        <v>2773.2759861373902</v>
      </c>
      <c r="AA505">
        <v>1194.3369835396411</v>
      </c>
      <c r="AB505">
        <v>25835.383625120521</v>
      </c>
      <c r="AC505">
        <v>21938.095716465115</v>
      </c>
      <c r="AD505">
        <v>47773.47934158564</v>
      </c>
      <c r="AE505">
        <v>1.1856734992519815</v>
      </c>
      <c r="AF505" s="1" t="s">
        <v>4851</v>
      </c>
      <c r="AG505" s="1" t="s">
        <v>4852</v>
      </c>
      <c r="AH505" s="1" t="s">
        <v>4853</v>
      </c>
      <c r="AI505" s="1" t="str">
        <f>_xlfn.TEXTAFTER(_xlfn.TEXTBEFORE(batch_summary[[#This Row],[video]],"_",1),"-",3)</f>
        <v>16</v>
      </c>
      <c r="AJ505" s="1" t="str">
        <f>_xlfn.TEXTBEFORE(_xlfn.TEXTAFTER(batch_summary[[#This Row],[video]],"_",1),"_",1)</f>
        <v>20260413</v>
      </c>
      <c r="AK505" s="1" t="str">
        <f>_xlfn.TEXTBEFORE(_xlfn.TEXTAFTER(batch_summary[[#This Row],[video]],"_",2),".",1)</f>
        <v>190000</v>
      </c>
    </row>
    <row r="506" spans="1:37" x14ac:dyDescent="0.2">
      <c r="A506" s="1" t="s">
        <v>4854</v>
      </c>
      <c r="B506" s="1" t="s">
        <v>4855</v>
      </c>
      <c r="C506">
        <v>119.95833333333333</v>
      </c>
      <c r="D506">
        <v>2879</v>
      </c>
      <c r="E506">
        <v>0.3829673333093524</v>
      </c>
      <c r="F506">
        <v>37.267592296935618</v>
      </c>
      <c r="G506">
        <v>1.3302095634225509E-4</v>
      </c>
      <c r="H506">
        <v>1.2944630877712962E-2</v>
      </c>
      <c r="I506">
        <v>5</v>
      </c>
      <c r="J506" t="b">
        <v>1</v>
      </c>
      <c r="K506">
        <v>0.65</v>
      </c>
      <c r="L506">
        <v>1.3</v>
      </c>
      <c r="M506" t="b">
        <v>1</v>
      </c>
      <c r="N506">
        <v>200</v>
      </c>
      <c r="O506" t="b">
        <v>0</v>
      </c>
      <c r="P506" t="b">
        <v>0</v>
      </c>
      <c r="Q506">
        <v>0.7</v>
      </c>
      <c r="R506">
        <v>36321.496442377567</v>
      </c>
      <c r="S506">
        <v>26091.60234618187</v>
      </c>
      <c r="T506">
        <v>21095.303466796875</v>
      </c>
      <c r="U506">
        <v>14248.970387458801</v>
      </c>
      <c r="V506">
        <v>62413.098788559437</v>
      </c>
      <c r="W506">
        <v>35344.273854255676</v>
      </c>
      <c r="X506">
        <v>520.28981275631349</v>
      </c>
      <c r="Y506">
        <v>294.63792028556315</v>
      </c>
      <c r="Z506">
        <v>194.73485829353334</v>
      </c>
      <c r="AA506">
        <v>8.8360684635639188</v>
      </c>
      <c r="AB506">
        <v>210.95303466796875</v>
      </c>
      <c r="AC506">
        <v>142.489703874588</v>
      </c>
      <c r="AD506">
        <v>353.44273854255675</v>
      </c>
      <c r="AE506">
        <v>1.7658616794879916</v>
      </c>
      <c r="AF506" s="1" t="s">
        <v>4856</v>
      </c>
      <c r="AG506" s="1" t="s">
        <v>4857</v>
      </c>
      <c r="AH506" s="1" t="s">
        <v>4858</v>
      </c>
      <c r="AI506" s="1" t="str">
        <f>_xlfn.TEXTAFTER(_xlfn.TEXTBEFORE(batch_summary[[#This Row],[video]],"_",1),"-",3)</f>
        <v>16</v>
      </c>
      <c r="AJ506" s="1" t="str">
        <f>_xlfn.TEXTBEFORE(_xlfn.TEXTAFTER(batch_summary[[#This Row],[video]],"_",1),"_",1)</f>
        <v>20260414</v>
      </c>
      <c r="AK506" s="1" t="str">
        <f>_xlfn.TEXTBEFORE(_xlfn.TEXTAFTER(batch_summary[[#This Row],[video]],"_",2),".",1)</f>
        <v>060000</v>
      </c>
    </row>
    <row r="507" spans="1:37" x14ac:dyDescent="0.2">
      <c r="A507" s="1" t="s">
        <v>4859</v>
      </c>
      <c r="B507" s="1" t="s">
        <v>4860</v>
      </c>
      <c r="C507">
        <v>119.95833333333333</v>
      </c>
      <c r="D507">
        <v>2879</v>
      </c>
      <c r="E507">
        <v>0.39333004876971245</v>
      </c>
      <c r="F507">
        <v>37.470369357615709</v>
      </c>
      <c r="G507">
        <v>1.3662037122949374E-4</v>
      </c>
      <c r="H507">
        <v>1.3015064035295489E-2</v>
      </c>
      <c r="I507">
        <v>5</v>
      </c>
      <c r="J507" t="b">
        <v>1</v>
      </c>
      <c r="K507">
        <v>0.65</v>
      </c>
      <c r="L507">
        <v>1.3</v>
      </c>
      <c r="M507" t="b">
        <v>1</v>
      </c>
      <c r="N507">
        <v>200</v>
      </c>
      <c r="O507" t="b">
        <v>0</v>
      </c>
      <c r="P507" t="b">
        <v>0</v>
      </c>
      <c r="Q507">
        <v>0.7</v>
      </c>
      <c r="R507">
        <v>860093.05992823839</v>
      </c>
      <c r="S507">
        <v>738424.33018624783</v>
      </c>
      <c r="T507">
        <v>649803.56991195679</v>
      </c>
      <c r="U507">
        <v>549966.27511149645</v>
      </c>
      <c r="V507">
        <v>1598517.3901144862</v>
      </c>
      <c r="W507">
        <v>1199769.8450234532</v>
      </c>
      <c r="X507">
        <v>13325.605197203082</v>
      </c>
      <c r="Y507">
        <v>10001.554803946814</v>
      </c>
      <c r="Z507">
        <v>1768.531027393341</v>
      </c>
      <c r="AA507">
        <v>299.94246125586335</v>
      </c>
      <c r="AB507">
        <v>6498.0356991195677</v>
      </c>
      <c r="AC507">
        <v>5499.6627511149645</v>
      </c>
      <c r="AD507">
        <v>11997.698450234533</v>
      </c>
      <c r="AE507">
        <v>1.3323533648932793</v>
      </c>
      <c r="AF507" s="1" t="s">
        <v>4861</v>
      </c>
      <c r="AG507" s="1" t="s">
        <v>4862</v>
      </c>
      <c r="AH507" s="1" t="s">
        <v>4863</v>
      </c>
      <c r="AI507" s="1" t="str">
        <f>_xlfn.TEXTAFTER(_xlfn.TEXTBEFORE(batch_summary[[#This Row],[video]],"_",1),"-",3)</f>
        <v>16</v>
      </c>
      <c r="AJ507" s="1" t="str">
        <f>_xlfn.TEXTBEFORE(_xlfn.TEXTAFTER(batch_summary[[#This Row],[video]],"_",1),"_",1)</f>
        <v>20260414</v>
      </c>
      <c r="AK507" s="1" t="str">
        <f>_xlfn.TEXTBEFORE(_xlfn.TEXTAFTER(batch_summary[[#This Row],[video]],"_",2),".",1)</f>
        <v>070000</v>
      </c>
    </row>
    <row r="508" spans="1:37" x14ac:dyDescent="0.2">
      <c r="A508" s="1" t="s">
        <v>4864</v>
      </c>
      <c r="B508" s="1" t="s">
        <v>4865</v>
      </c>
      <c r="C508">
        <v>119.95833333333333</v>
      </c>
      <c r="D508">
        <v>2879</v>
      </c>
      <c r="E508">
        <v>0.41805076971650124</v>
      </c>
      <c r="F508">
        <v>39.031687901355326</v>
      </c>
      <c r="G508">
        <v>1.4520693633779134E-4</v>
      </c>
      <c r="H508">
        <v>1.3557376832704178E-2</v>
      </c>
      <c r="I508">
        <v>5</v>
      </c>
      <c r="J508" t="b">
        <v>1</v>
      </c>
      <c r="K508">
        <v>0.65</v>
      </c>
      <c r="L508">
        <v>1.3</v>
      </c>
      <c r="M508" t="b">
        <v>1</v>
      </c>
      <c r="N508">
        <v>200</v>
      </c>
      <c r="O508" t="b">
        <v>0</v>
      </c>
      <c r="P508" t="b">
        <v>0</v>
      </c>
      <c r="Q508">
        <v>0.7</v>
      </c>
      <c r="R508">
        <v>3548535.9189889431</v>
      </c>
      <c r="S508">
        <v>3231533.635096848</v>
      </c>
      <c r="T508">
        <v>2927691.1049612761</v>
      </c>
      <c r="U508">
        <v>2603031.3590896726</v>
      </c>
      <c r="V508">
        <v>6780069.5540857911</v>
      </c>
      <c r="W508">
        <v>5530722.4640509486</v>
      </c>
      <c r="X508">
        <v>56520.204688453974</v>
      </c>
      <c r="Y508">
        <v>46105.362673575124</v>
      </c>
      <c r="Z508">
        <v>3820.2640609550476</v>
      </c>
      <c r="AA508">
        <v>1382.6806160127371</v>
      </c>
      <c r="AB508">
        <v>29276.911049612761</v>
      </c>
      <c r="AC508">
        <v>26030.313590896727</v>
      </c>
      <c r="AD508">
        <v>55307.224640509492</v>
      </c>
      <c r="AE508">
        <v>1.2258922045276097</v>
      </c>
      <c r="AF508" s="1" t="s">
        <v>4866</v>
      </c>
      <c r="AG508" s="1" t="s">
        <v>4867</v>
      </c>
      <c r="AH508" s="1" t="s">
        <v>4868</v>
      </c>
      <c r="AI508" s="1" t="str">
        <f>_xlfn.TEXTAFTER(_xlfn.TEXTBEFORE(batch_summary[[#This Row],[video]],"_",1),"-",3)</f>
        <v>16</v>
      </c>
      <c r="AJ508" s="1" t="str">
        <f>_xlfn.TEXTBEFORE(_xlfn.TEXTAFTER(batch_summary[[#This Row],[video]],"_",1),"_",1)</f>
        <v>20260414</v>
      </c>
      <c r="AK508" s="1" t="str">
        <f>_xlfn.TEXTBEFORE(_xlfn.TEXTAFTER(batch_summary[[#This Row],[video]],"_",2),".",1)</f>
        <v>080000</v>
      </c>
    </row>
    <row r="509" spans="1:37" x14ac:dyDescent="0.2">
      <c r="A509" s="1" t="s">
        <v>4869</v>
      </c>
      <c r="B509" s="1" t="s">
        <v>4870</v>
      </c>
      <c r="C509">
        <v>119.95833333333333</v>
      </c>
      <c r="D509">
        <v>2879</v>
      </c>
      <c r="E509">
        <v>0.41720008943229914</v>
      </c>
      <c r="F509">
        <v>39.27535389829427</v>
      </c>
      <c r="G509">
        <v>1.4491145864268813E-4</v>
      </c>
      <c r="H509">
        <v>1.364201246901503E-2</v>
      </c>
      <c r="I509">
        <v>5</v>
      </c>
      <c r="J509" t="b">
        <v>1</v>
      </c>
      <c r="K509">
        <v>0.65</v>
      </c>
      <c r="L509">
        <v>1.3</v>
      </c>
      <c r="M509" t="b">
        <v>1</v>
      </c>
      <c r="N509">
        <v>200</v>
      </c>
      <c r="O509" t="b">
        <v>0</v>
      </c>
      <c r="P509" t="b">
        <v>0</v>
      </c>
      <c r="Q509">
        <v>0.7</v>
      </c>
      <c r="R509">
        <v>4430132.8898732662</v>
      </c>
      <c r="S509">
        <v>4265160.5010668039</v>
      </c>
      <c r="T509">
        <v>3755212.580044508</v>
      </c>
      <c r="U509">
        <v>3628918.5588260293</v>
      </c>
      <c r="V509">
        <v>8695293.3909400702</v>
      </c>
      <c r="W509">
        <v>7384131.1388705373</v>
      </c>
      <c r="X509">
        <v>72485.946989427466</v>
      </c>
      <c r="Y509">
        <v>61555.799698816569</v>
      </c>
      <c r="Z509">
        <v>3566.9378349685667</v>
      </c>
      <c r="AA509">
        <v>1846.0327847176345</v>
      </c>
      <c r="AB509">
        <v>37552.125800445079</v>
      </c>
      <c r="AC509">
        <v>36289.18558826029</v>
      </c>
      <c r="AD509">
        <v>73841.311388705362</v>
      </c>
      <c r="AE509">
        <v>1.1775648654406328</v>
      </c>
      <c r="AF509" s="1" t="s">
        <v>4871</v>
      </c>
      <c r="AG509" s="1" t="s">
        <v>4872</v>
      </c>
      <c r="AH509" s="1" t="s">
        <v>4873</v>
      </c>
      <c r="AI509" s="1" t="str">
        <f>_xlfn.TEXTAFTER(_xlfn.TEXTBEFORE(batch_summary[[#This Row],[video]],"_",1),"-",3)</f>
        <v>16</v>
      </c>
      <c r="AJ509" s="1" t="str">
        <f>_xlfn.TEXTBEFORE(_xlfn.TEXTAFTER(batch_summary[[#This Row],[video]],"_",1),"_",1)</f>
        <v>20260414</v>
      </c>
      <c r="AK509" s="1" t="str">
        <f>_xlfn.TEXTBEFORE(_xlfn.TEXTAFTER(batch_summary[[#This Row],[video]],"_",2),".",1)</f>
        <v>090000</v>
      </c>
    </row>
    <row r="510" spans="1:37" x14ac:dyDescent="0.2">
      <c r="A510" s="1" t="s">
        <v>4874</v>
      </c>
      <c r="B510" s="1" t="s">
        <v>4875</v>
      </c>
      <c r="C510">
        <v>119.95833333333333</v>
      </c>
      <c r="D510">
        <v>2879</v>
      </c>
      <c r="E510">
        <v>0.37831254582852125</v>
      </c>
      <c r="F510">
        <v>37.963233147747815</v>
      </c>
      <c r="G510">
        <v>1.3140414929785387E-4</v>
      </c>
      <c r="H510">
        <v>1.3186256737668571E-2</v>
      </c>
      <c r="I510">
        <v>5</v>
      </c>
      <c r="J510" t="b">
        <v>1</v>
      </c>
      <c r="K510">
        <v>0.65</v>
      </c>
      <c r="L510">
        <v>1.3</v>
      </c>
      <c r="M510" t="b">
        <v>1</v>
      </c>
      <c r="N510">
        <v>200</v>
      </c>
      <c r="O510" t="b">
        <v>0</v>
      </c>
      <c r="P510" t="b">
        <v>0</v>
      </c>
      <c r="Q510">
        <v>0.7</v>
      </c>
      <c r="R510">
        <v>11682104.149097919</v>
      </c>
      <c r="S510">
        <v>11076614.374618113</v>
      </c>
      <c r="T510">
        <v>10519829.867265522</v>
      </c>
      <c r="U510">
        <v>9964462.1755072474</v>
      </c>
      <c r="V510">
        <v>22758718.523716033</v>
      </c>
      <c r="W510">
        <v>20484292.04277277</v>
      </c>
      <c r="X510">
        <v>189721.86334462828</v>
      </c>
      <c r="Y510">
        <v>170761.72595572993</v>
      </c>
      <c r="Z510">
        <v>8128.9553472900388</v>
      </c>
      <c r="AA510">
        <v>5121.0730106931924</v>
      </c>
      <c r="AB510">
        <v>105198.29867265522</v>
      </c>
      <c r="AC510">
        <v>99644.621755072469</v>
      </c>
      <c r="AD510">
        <v>204842.92042772769</v>
      </c>
      <c r="AE510">
        <v>1.1110327111229465</v>
      </c>
      <c r="AF510" s="1" t="s">
        <v>4876</v>
      </c>
      <c r="AG510" s="1" t="s">
        <v>4877</v>
      </c>
      <c r="AH510" s="1" t="s">
        <v>4878</v>
      </c>
      <c r="AI510" s="1" t="str">
        <f>_xlfn.TEXTAFTER(_xlfn.TEXTBEFORE(batch_summary[[#This Row],[video]],"_",1),"-",3)</f>
        <v>16</v>
      </c>
      <c r="AJ510" s="1" t="str">
        <f>_xlfn.TEXTBEFORE(_xlfn.TEXTAFTER(batch_summary[[#This Row],[video]],"_",1),"_",1)</f>
        <v>20260414</v>
      </c>
      <c r="AK510" s="1" t="str">
        <f>_xlfn.TEXTBEFORE(_xlfn.TEXTAFTER(batch_summary[[#This Row],[video]],"_",2),".",1)</f>
        <v>100000</v>
      </c>
    </row>
    <row r="511" spans="1:37" x14ac:dyDescent="0.2">
      <c r="A511" s="1" t="s">
        <v>4879</v>
      </c>
      <c r="B511" s="1" t="s">
        <v>4880</v>
      </c>
      <c r="C511">
        <v>119.95833333333333</v>
      </c>
      <c r="D511">
        <v>2879</v>
      </c>
      <c r="E511">
        <v>0.40321417152881622</v>
      </c>
      <c r="F511">
        <v>39.118515573441982</v>
      </c>
      <c r="G511">
        <v>1.4005355037471909E-4</v>
      </c>
      <c r="H511">
        <v>1.3587535801820766E-2</v>
      </c>
      <c r="I511">
        <v>5</v>
      </c>
      <c r="J511" t="b">
        <v>1</v>
      </c>
      <c r="K511">
        <v>0.65</v>
      </c>
      <c r="L511">
        <v>1.3</v>
      </c>
      <c r="M511" t="b">
        <v>1</v>
      </c>
      <c r="N511">
        <v>200</v>
      </c>
      <c r="O511" t="b">
        <v>0</v>
      </c>
      <c r="P511" t="b">
        <v>0</v>
      </c>
      <c r="Q511">
        <v>0.7</v>
      </c>
      <c r="R511">
        <v>9417329.7504997253</v>
      </c>
      <c r="S511">
        <v>9284681.8532522917</v>
      </c>
      <c r="T511">
        <v>8532685.0382860899</v>
      </c>
      <c r="U511">
        <v>8355986.5349063277</v>
      </c>
      <c r="V511">
        <v>18702011.603752017</v>
      </c>
      <c r="W511">
        <v>16888671.573192418</v>
      </c>
      <c r="X511">
        <v>155904.23011116651</v>
      </c>
      <c r="Y511">
        <v>140787.81443439319</v>
      </c>
      <c r="Z511">
        <v>7041.1382846832275</v>
      </c>
      <c r="AA511">
        <v>4222.167893298104</v>
      </c>
      <c r="AB511">
        <v>85326.850382860895</v>
      </c>
      <c r="AC511">
        <v>83559.865349063271</v>
      </c>
      <c r="AD511">
        <v>168886.71573192417</v>
      </c>
      <c r="AE511">
        <v>1.1073701991717297</v>
      </c>
      <c r="AF511" s="1" t="s">
        <v>4881</v>
      </c>
      <c r="AG511" s="1" t="s">
        <v>4882</v>
      </c>
      <c r="AH511" s="1" t="s">
        <v>4883</v>
      </c>
      <c r="AI511" s="1" t="str">
        <f>_xlfn.TEXTAFTER(_xlfn.TEXTBEFORE(batch_summary[[#This Row],[video]],"_",1),"-",3)</f>
        <v>16</v>
      </c>
      <c r="AJ511" s="1" t="str">
        <f>_xlfn.TEXTBEFORE(_xlfn.TEXTAFTER(batch_summary[[#This Row],[video]],"_",1),"_",1)</f>
        <v>20260414</v>
      </c>
      <c r="AK511" s="1" t="str">
        <f>_xlfn.TEXTBEFORE(_xlfn.TEXTAFTER(batch_summary[[#This Row],[video]],"_",2),".",1)</f>
        <v>110000</v>
      </c>
    </row>
    <row r="512" spans="1:37" x14ac:dyDescent="0.2">
      <c r="A512" s="1" t="s">
        <v>4884</v>
      </c>
      <c r="B512" s="1" t="s">
        <v>4885</v>
      </c>
      <c r="C512">
        <v>119.95833333333333</v>
      </c>
      <c r="D512">
        <v>2879</v>
      </c>
      <c r="E512">
        <v>0.40410410147160292</v>
      </c>
      <c r="F512">
        <v>38.918558067642152</v>
      </c>
      <c r="G512">
        <v>1.4036266115720838E-4</v>
      </c>
      <c r="H512">
        <v>1.3518081996402276E-2</v>
      </c>
      <c r="I512">
        <v>5</v>
      </c>
      <c r="J512" t="b">
        <v>1</v>
      </c>
      <c r="K512">
        <v>0.65</v>
      </c>
      <c r="L512">
        <v>1.3</v>
      </c>
      <c r="M512" t="b">
        <v>1</v>
      </c>
      <c r="N512">
        <v>200</v>
      </c>
      <c r="O512" t="b">
        <v>0</v>
      </c>
      <c r="P512" t="b">
        <v>0</v>
      </c>
      <c r="Q512">
        <v>0.7</v>
      </c>
      <c r="R512">
        <v>8942898.4582603574</v>
      </c>
      <c r="S512">
        <v>8182555.0078905821</v>
      </c>
      <c r="T512">
        <v>8080746.9054673314</v>
      </c>
      <c r="U512">
        <v>7316961.7865182757</v>
      </c>
      <c r="V512">
        <v>17125453.466150939</v>
      </c>
      <c r="W512">
        <v>15397708.691985607</v>
      </c>
      <c r="X512">
        <v>142761.68224648232</v>
      </c>
      <c r="Y512">
        <v>128358.80813048093</v>
      </c>
      <c r="Z512">
        <v>7413.128126831054</v>
      </c>
      <c r="AA512">
        <v>3849.4271729964021</v>
      </c>
      <c r="AB512">
        <v>80807.469054673318</v>
      </c>
      <c r="AC512">
        <v>73169.61786518275</v>
      </c>
      <c r="AD512">
        <v>153977.08691985608</v>
      </c>
      <c r="AE512">
        <v>1.1122079140946868</v>
      </c>
      <c r="AF512" s="1" t="s">
        <v>4886</v>
      </c>
      <c r="AG512" s="1" t="s">
        <v>4887</v>
      </c>
      <c r="AH512" s="1" t="s">
        <v>4888</v>
      </c>
      <c r="AI512" s="1" t="str">
        <f>_xlfn.TEXTAFTER(_xlfn.TEXTBEFORE(batch_summary[[#This Row],[video]],"_",1),"-",3)</f>
        <v>16</v>
      </c>
      <c r="AJ512" s="1" t="str">
        <f>_xlfn.TEXTBEFORE(_xlfn.TEXTAFTER(batch_summary[[#This Row],[video]],"_",1),"_",1)</f>
        <v>20260414</v>
      </c>
      <c r="AK512" s="1" t="str">
        <f>_xlfn.TEXTBEFORE(_xlfn.TEXTAFTER(batch_summary[[#This Row],[video]],"_",2),".",1)</f>
        <v>120000</v>
      </c>
    </row>
    <row r="513" spans="1:37" x14ac:dyDescent="0.2">
      <c r="A513" s="1" t="s">
        <v>4889</v>
      </c>
      <c r="B513" s="1" t="s">
        <v>4890</v>
      </c>
      <c r="C513">
        <v>119.95833333333333</v>
      </c>
      <c r="D513">
        <v>2879</v>
      </c>
      <c r="E513">
        <v>0.39409475214779377</v>
      </c>
      <c r="F513">
        <v>38.403342564590275</v>
      </c>
      <c r="G513">
        <v>1.3688598546293635E-4</v>
      </c>
      <c r="H513">
        <v>1.3339125586867064E-2</v>
      </c>
      <c r="I513">
        <v>5</v>
      </c>
      <c r="J513" t="b">
        <v>1</v>
      </c>
      <c r="K513">
        <v>0.65</v>
      </c>
      <c r="L513">
        <v>1.3</v>
      </c>
      <c r="M513" t="b">
        <v>1</v>
      </c>
      <c r="N513">
        <v>200</v>
      </c>
      <c r="O513" t="b">
        <v>0</v>
      </c>
      <c r="P513" t="b">
        <v>0</v>
      </c>
      <c r="Q513">
        <v>0.7</v>
      </c>
      <c r="R513">
        <v>10765510.133956432</v>
      </c>
      <c r="S513">
        <v>9690504.3424093723</v>
      </c>
      <c r="T513">
        <v>9766642.8342273235</v>
      </c>
      <c r="U513">
        <v>8726879.5487340689</v>
      </c>
      <c r="V513">
        <v>20456014.476365805</v>
      </c>
      <c r="W513">
        <v>18493522.382961392</v>
      </c>
      <c r="X513">
        <v>170525.997718923</v>
      </c>
      <c r="Y513">
        <v>154166.21646094945</v>
      </c>
      <c r="Z513">
        <v>7441.7026901245117</v>
      </c>
      <c r="AA513">
        <v>4623.3805957403483</v>
      </c>
      <c r="AB513">
        <v>97666.428342273241</v>
      </c>
      <c r="AC513">
        <v>87268.795487340685</v>
      </c>
      <c r="AD513">
        <v>184935.22382961394</v>
      </c>
      <c r="AE513">
        <v>1.1061178099426052</v>
      </c>
      <c r="AF513" s="1" t="s">
        <v>4891</v>
      </c>
      <c r="AG513" s="1" t="s">
        <v>4892</v>
      </c>
      <c r="AH513" s="1" t="s">
        <v>4893</v>
      </c>
      <c r="AI513" s="1" t="str">
        <f>_xlfn.TEXTAFTER(_xlfn.TEXTBEFORE(batch_summary[[#This Row],[video]],"_",1),"-",3)</f>
        <v>16</v>
      </c>
      <c r="AJ513" s="1" t="str">
        <f>_xlfn.TEXTBEFORE(_xlfn.TEXTAFTER(batch_summary[[#This Row],[video]],"_",1),"_",1)</f>
        <v>20260414</v>
      </c>
      <c r="AK513" s="1" t="str">
        <f>_xlfn.TEXTBEFORE(_xlfn.TEXTAFTER(batch_summary[[#This Row],[video]],"_",2),".",1)</f>
        <v>130000</v>
      </c>
    </row>
    <row r="514" spans="1:37" x14ac:dyDescent="0.2">
      <c r="A514" s="1" t="s">
        <v>4894</v>
      </c>
      <c r="B514" s="1" t="s">
        <v>4895</v>
      </c>
      <c r="C514">
        <v>119.95833333333333</v>
      </c>
      <c r="D514">
        <v>2879</v>
      </c>
      <c r="E514">
        <v>0.37725609447807074</v>
      </c>
      <c r="F514">
        <v>37.698672492988408</v>
      </c>
      <c r="G514">
        <v>1.3103719849880886E-4</v>
      </c>
      <c r="H514">
        <v>1.3094363491833417E-2</v>
      </c>
      <c r="I514">
        <v>5</v>
      </c>
      <c r="J514" t="b">
        <v>1</v>
      </c>
      <c r="K514">
        <v>0.65</v>
      </c>
      <c r="L514">
        <v>1.3</v>
      </c>
      <c r="M514" t="b">
        <v>1</v>
      </c>
      <c r="N514">
        <v>200</v>
      </c>
      <c r="O514" t="b">
        <v>0</v>
      </c>
      <c r="P514" t="b">
        <v>0</v>
      </c>
      <c r="Q514">
        <v>0.7</v>
      </c>
      <c r="R514">
        <v>13843489.618955612</v>
      </c>
      <c r="S514">
        <v>12397512.740275979</v>
      </c>
      <c r="T514">
        <v>12769054.909553528</v>
      </c>
      <c r="U514">
        <v>11347705.667043209</v>
      </c>
      <c r="V514">
        <v>26241002.359231591</v>
      </c>
      <c r="W514">
        <v>24116760.576596737</v>
      </c>
      <c r="X514">
        <v>218750.97485986739</v>
      </c>
      <c r="Y514">
        <v>201042.81133668695</v>
      </c>
      <c r="Z514">
        <v>8094.4467080688473</v>
      </c>
      <c r="AA514">
        <v>6029.1901441491846</v>
      </c>
      <c r="AB514">
        <v>127690.54909553527</v>
      </c>
      <c r="AC514">
        <v>113477.0566704321</v>
      </c>
      <c r="AD514">
        <v>241167.60576596737</v>
      </c>
      <c r="AE514">
        <v>1.0880815553933163</v>
      </c>
      <c r="AF514" s="1" t="s">
        <v>4896</v>
      </c>
      <c r="AG514" s="1" t="s">
        <v>4897</v>
      </c>
      <c r="AH514" s="1" t="s">
        <v>4898</v>
      </c>
      <c r="AI514" s="1" t="str">
        <f>_xlfn.TEXTAFTER(_xlfn.TEXTBEFORE(batch_summary[[#This Row],[video]],"_",1),"-",3)</f>
        <v>16</v>
      </c>
      <c r="AJ514" s="1" t="str">
        <f>_xlfn.TEXTBEFORE(_xlfn.TEXTAFTER(batch_summary[[#This Row],[video]],"_",1),"_",1)</f>
        <v>20260414</v>
      </c>
      <c r="AK514" s="1" t="str">
        <f>_xlfn.TEXTBEFORE(_xlfn.TEXTAFTER(batch_summary[[#This Row],[video]],"_",2),".",1)</f>
        <v>140000</v>
      </c>
    </row>
    <row r="515" spans="1:37" x14ac:dyDescent="0.2">
      <c r="A515" s="1" t="s">
        <v>4899</v>
      </c>
      <c r="B515" s="1" t="s">
        <v>4900</v>
      </c>
      <c r="C515">
        <v>119.95833333333333</v>
      </c>
      <c r="D515">
        <v>2879</v>
      </c>
      <c r="E515">
        <v>0.36667291354387999</v>
      </c>
      <c r="F515">
        <v>36.948463389649987</v>
      </c>
      <c r="G515">
        <v>1.2736120651055227E-4</v>
      </c>
      <c r="H515">
        <v>1.2833783740760676E-2</v>
      </c>
      <c r="I515">
        <v>5</v>
      </c>
      <c r="J515" t="b">
        <v>1</v>
      </c>
      <c r="K515">
        <v>0.65</v>
      </c>
      <c r="L515">
        <v>1.3</v>
      </c>
      <c r="M515" t="b">
        <v>1</v>
      </c>
      <c r="N515">
        <v>200</v>
      </c>
      <c r="O515" t="b">
        <v>0</v>
      </c>
      <c r="P515" t="b">
        <v>0</v>
      </c>
      <c r="Q515">
        <v>0.7</v>
      </c>
      <c r="R515">
        <v>17061295.392959595</v>
      </c>
      <c r="S515">
        <v>16325342.087702751</v>
      </c>
      <c r="T515">
        <v>16119779.202112913</v>
      </c>
      <c r="U515">
        <v>15331394.9789837</v>
      </c>
      <c r="V515">
        <v>33386637.480662346</v>
      </c>
      <c r="W515">
        <v>31451174.181096613</v>
      </c>
      <c r="X515">
        <v>278318.61741434399</v>
      </c>
      <c r="Y515">
        <v>262184.15434050671</v>
      </c>
      <c r="Z515">
        <v>9792.6470654296863</v>
      </c>
      <c r="AA515">
        <v>7862.793545274154</v>
      </c>
      <c r="AB515">
        <v>161197.79202112913</v>
      </c>
      <c r="AC515">
        <v>153313.949789837</v>
      </c>
      <c r="AD515">
        <v>314511.74181096617</v>
      </c>
      <c r="AE515">
        <v>1.0615386658832286</v>
      </c>
      <c r="AF515" s="1" t="s">
        <v>4901</v>
      </c>
      <c r="AG515" s="1" t="s">
        <v>4902</v>
      </c>
      <c r="AH515" s="1" t="s">
        <v>4903</v>
      </c>
      <c r="AI515" s="1" t="str">
        <f>_xlfn.TEXTAFTER(_xlfn.TEXTBEFORE(batch_summary[[#This Row],[video]],"_",1),"-",3)</f>
        <v>16</v>
      </c>
      <c r="AJ515" s="1" t="str">
        <f>_xlfn.TEXTBEFORE(_xlfn.TEXTAFTER(batch_summary[[#This Row],[video]],"_",1),"_",1)</f>
        <v>20260414</v>
      </c>
      <c r="AK515" s="1" t="str">
        <f>_xlfn.TEXTBEFORE(_xlfn.TEXTAFTER(batch_summary[[#This Row],[video]],"_",2),".",1)</f>
        <v>150000</v>
      </c>
    </row>
    <row r="516" spans="1:37" x14ac:dyDescent="0.2">
      <c r="A516" s="1" t="s">
        <v>4904</v>
      </c>
      <c r="B516" s="1" t="s">
        <v>4905</v>
      </c>
      <c r="C516">
        <v>119.95833333333333</v>
      </c>
      <c r="D516">
        <v>2879</v>
      </c>
      <c r="E516">
        <v>0.36603489890694618</v>
      </c>
      <c r="F516">
        <v>37.718413981609046</v>
      </c>
      <c r="G516">
        <v>1.2713959670265584E-4</v>
      </c>
      <c r="H516">
        <v>1.3101220556307415E-2</v>
      </c>
      <c r="I516">
        <v>5</v>
      </c>
      <c r="J516" t="b">
        <v>1</v>
      </c>
      <c r="K516">
        <v>0.65</v>
      </c>
      <c r="L516">
        <v>1.3</v>
      </c>
      <c r="M516" t="b">
        <v>1</v>
      </c>
      <c r="N516">
        <v>200</v>
      </c>
      <c r="O516" t="b">
        <v>0</v>
      </c>
      <c r="P516" t="b">
        <v>0</v>
      </c>
      <c r="Q516">
        <v>0.7</v>
      </c>
      <c r="R516">
        <v>14671248.125386715</v>
      </c>
      <c r="S516">
        <v>14762789.682523727</v>
      </c>
      <c r="T516">
        <v>13649983.925600052</v>
      </c>
      <c r="U516">
        <v>13741226.854270518</v>
      </c>
      <c r="V516">
        <v>29434037.807910442</v>
      </c>
      <c r="W516">
        <v>27391210.77987057</v>
      </c>
      <c r="X516">
        <v>245368.84591519646</v>
      </c>
      <c r="Y516">
        <v>228339.37433723296</v>
      </c>
      <c r="Z516">
        <v>10296.939519653321</v>
      </c>
      <c r="AA516">
        <v>6847.8026949676423</v>
      </c>
      <c r="AB516">
        <v>136499.83925600053</v>
      </c>
      <c r="AC516">
        <v>137412.26854270519</v>
      </c>
      <c r="AD516">
        <v>273912.10779870569</v>
      </c>
      <c r="AE516">
        <v>1.0745796541984598</v>
      </c>
      <c r="AF516" s="1" t="s">
        <v>4906</v>
      </c>
      <c r="AG516" s="1" t="s">
        <v>4907</v>
      </c>
      <c r="AH516" s="1" t="s">
        <v>4908</v>
      </c>
      <c r="AI516" s="1" t="str">
        <f>_xlfn.TEXTAFTER(_xlfn.TEXTBEFORE(batch_summary[[#This Row],[video]],"_",1),"-",3)</f>
        <v>16</v>
      </c>
      <c r="AJ516" s="1" t="str">
        <f>_xlfn.TEXTBEFORE(_xlfn.TEXTAFTER(batch_summary[[#This Row],[video]],"_",1),"_",1)</f>
        <v>20260414</v>
      </c>
      <c r="AK516" s="1" t="str">
        <f>_xlfn.TEXTBEFORE(_xlfn.TEXTAFTER(batch_summary[[#This Row],[video]],"_",2),".",1)</f>
        <v>160000</v>
      </c>
    </row>
    <row r="517" spans="1:37" x14ac:dyDescent="0.2">
      <c r="A517" s="1" t="s">
        <v>4909</v>
      </c>
      <c r="B517" s="1" t="s">
        <v>4910</v>
      </c>
      <c r="C517">
        <v>119.95833333333333</v>
      </c>
      <c r="D517">
        <v>2879</v>
      </c>
      <c r="E517">
        <v>0.3185149859637022</v>
      </c>
      <c r="F517">
        <v>38.373035688884556</v>
      </c>
      <c r="G517">
        <v>1.10633895784544E-4</v>
      </c>
      <c r="H517">
        <v>1.3328598710970668E-2</v>
      </c>
      <c r="I517">
        <v>5</v>
      </c>
      <c r="J517" t="b">
        <v>1</v>
      </c>
      <c r="K517">
        <v>0.65</v>
      </c>
      <c r="L517">
        <v>1.3</v>
      </c>
      <c r="M517" t="b">
        <v>1</v>
      </c>
      <c r="N517">
        <v>200</v>
      </c>
      <c r="O517" t="b">
        <v>0</v>
      </c>
      <c r="P517" t="b">
        <v>0</v>
      </c>
      <c r="Q517">
        <v>0.7</v>
      </c>
      <c r="R517">
        <v>16323514.797977448</v>
      </c>
      <c r="S517">
        <v>15107089.788520813</v>
      </c>
      <c r="T517">
        <v>15298301.643722534</v>
      </c>
      <c r="U517">
        <v>14112561.400746346</v>
      </c>
      <c r="V517">
        <v>31430604.58649826</v>
      </c>
      <c r="W517">
        <v>29410863.04446888</v>
      </c>
      <c r="X517">
        <v>262012.68151301087</v>
      </c>
      <c r="Y517">
        <v>245175.65580661799</v>
      </c>
      <c r="Z517">
        <v>10634.532288818358</v>
      </c>
      <c r="AA517">
        <v>7352.7157611172206</v>
      </c>
      <c r="AB517">
        <v>152983.01643722533</v>
      </c>
      <c r="AC517">
        <v>141125.61400746345</v>
      </c>
      <c r="AD517">
        <v>294108.63044468878</v>
      </c>
      <c r="AE517">
        <v>1.0686733177117433</v>
      </c>
      <c r="AF517" s="1" t="s">
        <v>4911</v>
      </c>
      <c r="AG517" s="1" t="s">
        <v>4912</v>
      </c>
      <c r="AH517" s="1" t="s">
        <v>4913</v>
      </c>
      <c r="AI517" s="1" t="str">
        <f>_xlfn.TEXTAFTER(_xlfn.TEXTBEFORE(batch_summary[[#This Row],[video]],"_",1),"-",3)</f>
        <v>16</v>
      </c>
      <c r="AJ517" s="1" t="str">
        <f>_xlfn.TEXTBEFORE(_xlfn.TEXTAFTER(batch_summary[[#This Row],[video]],"_",1),"_",1)</f>
        <v>20260414</v>
      </c>
      <c r="AK517" s="1" t="str">
        <f>_xlfn.TEXTBEFORE(_xlfn.TEXTAFTER(batch_summary[[#This Row],[video]],"_",2),".",1)</f>
        <v>170000</v>
      </c>
    </row>
    <row r="518" spans="1:37" x14ac:dyDescent="0.2">
      <c r="A518" s="1" t="s">
        <v>4914</v>
      </c>
      <c r="B518" s="1" t="s">
        <v>4915</v>
      </c>
      <c r="C518">
        <v>119.95833333333333</v>
      </c>
      <c r="D518">
        <v>2879</v>
      </c>
      <c r="E518">
        <v>0.35390514694154263</v>
      </c>
      <c r="F518">
        <v>38.260465021245182</v>
      </c>
      <c r="G518">
        <v>1.2292641435968831E-4</v>
      </c>
      <c r="H518">
        <v>1.3289498096993811E-2</v>
      </c>
      <c r="I518">
        <v>5</v>
      </c>
      <c r="J518" t="b">
        <v>1</v>
      </c>
      <c r="K518">
        <v>0.65</v>
      </c>
      <c r="L518">
        <v>1.3</v>
      </c>
      <c r="M518" t="b">
        <v>1</v>
      </c>
      <c r="N518">
        <v>200</v>
      </c>
      <c r="O518" t="b">
        <v>0</v>
      </c>
      <c r="P518" t="b">
        <v>0</v>
      </c>
      <c r="Q518">
        <v>0.7</v>
      </c>
      <c r="R518">
        <v>13426572.153563023</v>
      </c>
      <c r="S518">
        <v>12555530.315285683</v>
      </c>
      <c r="T518">
        <v>12431439.509748697</v>
      </c>
      <c r="U518">
        <v>11579210.287543654</v>
      </c>
      <c r="V518">
        <v>25982102.468848705</v>
      </c>
      <c r="W518">
        <v>24010649.797292352</v>
      </c>
      <c r="X518">
        <v>216592.72638151058</v>
      </c>
      <c r="Y518">
        <v>200158.24770233291</v>
      </c>
      <c r="Z518">
        <v>8306.7263898277288</v>
      </c>
      <c r="AA518">
        <v>6002.6624493230875</v>
      </c>
      <c r="AB518">
        <v>124314.39509748697</v>
      </c>
      <c r="AC518">
        <v>115792.10287543654</v>
      </c>
      <c r="AD518">
        <v>240106.49797292351</v>
      </c>
      <c r="AE518">
        <v>1.0821074268376807</v>
      </c>
      <c r="AF518" s="1" t="s">
        <v>4916</v>
      </c>
      <c r="AG518" s="1" t="s">
        <v>4917</v>
      </c>
      <c r="AH518" s="1" t="s">
        <v>4918</v>
      </c>
      <c r="AI518" s="1" t="str">
        <f>_xlfn.TEXTAFTER(_xlfn.TEXTBEFORE(batch_summary[[#This Row],[video]],"_",1),"-",3)</f>
        <v>16</v>
      </c>
      <c r="AJ518" s="1" t="str">
        <f>_xlfn.TEXTBEFORE(_xlfn.TEXTAFTER(batch_summary[[#This Row],[video]],"_",1),"_",1)</f>
        <v>20260414</v>
      </c>
      <c r="AK518" s="1" t="str">
        <f>_xlfn.TEXTBEFORE(_xlfn.TEXTAFTER(batch_summary[[#This Row],[video]],"_",2),".",1)</f>
        <v>180000</v>
      </c>
    </row>
    <row r="519" spans="1:37" x14ac:dyDescent="0.2">
      <c r="A519" s="1" t="s">
        <v>34</v>
      </c>
      <c r="B519" s="1" t="s">
        <v>35</v>
      </c>
      <c r="C519">
        <v>119.95833333333333</v>
      </c>
      <c r="D519">
        <v>2879</v>
      </c>
      <c r="E519">
        <v>0.33834889996796846</v>
      </c>
      <c r="F519">
        <v>44.08666723780334</v>
      </c>
      <c r="G519">
        <v>1.1752306355261149E-4</v>
      </c>
      <c r="H519">
        <v>1.5313187647726064E-2</v>
      </c>
      <c r="I519">
        <v>5</v>
      </c>
      <c r="J519" t="b">
        <v>1</v>
      </c>
      <c r="K519">
        <v>0.65</v>
      </c>
      <c r="L519">
        <v>1.3</v>
      </c>
      <c r="M519" t="b">
        <v>1</v>
      </c>
      <c r="N519">
        <v>200</v>
      </c>
      <c r="O519" t="b">
        <v>0</v>
      </c>
      <c r="P519" t="b">
        <v>0</v>
      </c>
      <c r="Q519">
        <v>0.7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s="1" t="s">
        <v>36</v>
      </c>
      <c r="AG519" s="1" t="s">
        <v>37</v>
      </c>
      <c r="AH519" s="1" t="s">
        <v>38</v>
      </c>
      <c r="AI519" s="1" t="str">
        <f>_xlfn.TEXTAFTER(_xlfn.TEXTBEFORE(batch_summary[[#This Row],[video]],"_",1),"-",3)</f>
        <v>20</v>
      </c>
      <c r="AJ519" s="1" t="str">
        <f>_xlfn.TEXTBEFORE(_xlfn.TEXTAFTER(batch_summary[[#This Row],[video]],"_",1),"_",1)</f>
        <v>20260309</v>
      </c>
      <c r="AK519" s="1" t="str">
        <f>_xlfn.TEXTBEFORE(_xlfn.TEXTAFTER(batch_summary[[#This Row],[video]],"_",2),".",1)</f>
        <v>060000</v>
      </c>
    </row>
    <row r="520" spans="1:37" x14ac:dyDescent="0.2">
      <c r="A520" s="1" t="s">
        <v>39</v>
      </c>
      <c r="B520" s="1" t="s">
        <v>40</v>
      </c>
      <c r="C520">
        <v>119.95833333333333</v>
      </c>
      <c r="D520">
        <v>2879</v>
      </c>
      <c r="E520">
        <v>0.33358623459935188</v>
      </c>
      <c r="F520">
        <v>43.909279773011804</v>
      </c>
      <c r="G520">
        <v>1.1586878589765608E-4</v>
      </c>
      <c r="H520">
        <v>1.5251573384165266E-2</v>
      </c>
      <c r="I520">
        <v>5</v>
      </c>
      <c r="J520" t="b">
        <v>1</v>
      </c>
      <c r="K520">
        <v>0.65</v>
      </c>
      <c r="L520">
        <v>1.3</v>
      </c>
      <c r="M520" t="b">
        <v>1</v>
      </c>
      <c r="N520">
        <v>200</v>
      </c>
      <c r="O520" t="b">
        <v>0</v>
      </c>
      <c r="P520" t="b">
        <v>0</v>
      </c>
      <c r="Q520">
        <v>0.7</v>
      </c>
      <c r="R520">
        <v>21697.296183884144</v>
      </c>
      <c r="S520">
        <v>19828.760938286781</v>
      </c>
      <c r="T520">
        <v>0</v>
      </c>
      <c r="U520">
        <v>668.37274169921875</v>
      </c>
      <c r="V520">
        <v>41526.057122170925</v>
      </c>
      <c r="W520">
        <v>668.37274169921875</v>
      </c>
      <c r="X520">
        <v>346.17067416884413</v>
      </c>
      <c r="Y520">
        <v>5.5717074681421499</v>
      </c>
      <c r="Z520">
        <v>6.6837274169921876</v>
      </c>
      <c r="AA520">
        <v>0.1670931854248047</v>
      </c>
      <c r="AB520">
        <v>0</v>
      </c>
      <c r="AC520">
        <v>6.6837274169921876</v>
      </c>
      <c r="AD520">
        <v>6.6837274169921876</v>
      </c>
      <c r="AE520">
        <v>62.130087795918058</v>
      </c>
      <c r="AF520" s="1" t="s">
        <v>41</v>
      </c>
      <c r="AG520" s="1" t="s">
        <v>42</v>
      </c>
      <c r="AH520" s="1" t="s">
        <v>43</v>
      </c>
      <c r="AI520" s="1" t="str">
        <f>_xlfn.TEXTAFTER(_xlfn.TEXTBEFORE(batch_summary[[#This Row],[video]],"_",1),"-",3)</f>
        <v>20</v>
      </c>
      <c r="AJ520" s="1" t="str">
        <f>_xlfn.TEXTBEFORE(_xlfn.TEXTAFTER(batch_summary[[#This Row],[video]],"_",1),"_",1)</f>
        <v>20260309</v>
      </c>
      <c r="AK520" s="1" t="str">
        <f>_xlfn.TEXTBEFORE(_xlfn.TEXTAFTER(batch_summary[[#This Row],[video]],"_",2),".",1)</f>
        <v>070000</v>
      </c>
    </row>
    <row r="521" spans="1:37" x14ac:dyDescent="0.2">
      <c r="A521" s="1" t="s">
        <v>44</v>
      </c>
      <c r="B521" s="1" t="s">
        <v>45</v>
      </c>
      <c r="C521">
        <v>119.95833333333333</v>
      </c>
      <c r="D521">
        <v>2879</v>
      </c>
      <c r="E521">
        <v>0.3341167327016592</v>
      </c>
      <c r="F521">
        <v>43.448678456246853</v>
      </c>
      <c r="G521">
        <v>1.1605305060842626E-4</v>
      </c>
      <c r="H521">
        <v>1.5091586820509501E-2</v>
      </c>
      <c r="I521">
        <v>5</v>
      </c>
      <c r="J521" t="b">
        <v>1</v>
      </c>
      <c r="K521">
        <v>0.65</v>
      </c>
      <c r="L521">
        <v>1.3</v>
      </c>
      <c r="M521" t="b">
        <v>1</v>
      </c>
      <c r="N521">
        <v>200</v>
      </c>
      <c r="O521" t="b">
        <v>0</v>
      </c>
      <c r="P521" t="b">
        <v>0</v>
      </c>
      <c r="Q521">
        <v>0.7</v>
      </c>
      <c r="R521">
        <v>8880.5598414540291</v>
      </c>
      <c r="S521">
        <v>7688.125768661499</v>
      </c>
      <c r="T521">
        <v>0</v>
      </c>
      <c r="U521">
        <v>0</v>
      </c>
      <c r="V521">
        <v>16568.685610115528</v>
      </c>
      <c r="W521">
        <v>0</v>
      </c>
      <c r="X521">
        <v>138.12033853517633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16568685610.115528</v>
      </c>
      <c r="AF521" s="1" t="s">
        <v>46</v>
      </c>
      <c r="AG521" s="1" t="s">
        <v>47</v>
      </c>
      <c r="AH521" s="1" t="s">
        <v>48</v>
      </c>
      <c r="AI521" s="1" t="str">
        <f>_xlfn.TEXTAFTER(_xlfn.TEXTBEFORE(batch_summary[[#This Row],[video]],"_",1),"-",3)</f>
        <v>20</v>
      </c>
      <c r="AJ521" s="1" t="str">
        <f>_xlfn.TEXTBEFORE(_xlfn.TEXTAFTER(batch_summary[[#This Row],[video]],"_",1),"_",1)</f>
        <v>20260309</v>
      </c>
      <c r="AK521" s="1" t="str">
        <f>_xlfn.TEXTBEFORE(_xlfn.TEXTAFTER(batch_summary[[#This Row],[video]],"_",2),".",1)</f>
        <v>080000</v>
      </c>
    </row>
    <row r="522" spans="1:37" x14ac:dyDescent="0.2">
      <c r="A522" s="1" t="s">
        <v>49</v>
      </c>
      <c r="B522" s="1" t="s">
        <v>50</v>
      </c>
      <c r="C522">
        <v>119.95833333333333</v>
      </c>
      <c r="D522">
        <v>2879</v>
      </c>
      <c r="E522">
        <v>0.31918398384004831</v>
      </c>
      <c r="F522">
        <v>43.489655275829136</v>
      </c>
      <c r="G522">
        <v>1.1086626739841901E-4</v>
      </c>
      <c r="H522">
        <v>1.5105819824879867E-2</v>
      </c>
      <c r="I522">
        <v>5</v>
      </c>
      <c r="J522" t="b">
        <v>1</v>
      </c>
      <c r="K522">
        <v>0.65</v>
      </c>
      <c r="L522">
        <v>1.3</v>
      </c>
      <c r="M522" t="b">
        <v>1</v>
      </c>
      <c r="N522">
        <v>200</v>
      </c>
      <c r="O522" t="b">
        <v>0</v>
      </c>
      <c r="P522" t="b">
        <v>0</v>
      </c>
      <c r="Q522">
        <v>0.7</v>
      </c>
      <c r="R522">
        <v>21186.994918823242</v>
      </c>
      <c r="S522">
        <v>14176.57646548748</v>
      </c>
      <c r="T522">
        <v>0</v>
      </c>
      <c r="U522">
        <v>0</v>
      </c>
      <c r="V522">
        <v>35363.571384310722</v>
      </c>
      <c r="W522">
        <v>0</v>
      </c>
      <c r="X522">
        <v>294.79878889317729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35363571384.310722</v>
      </c>
      <c r="AF522" s="1" t="s">
        <v>51</v>
      </c>
      <c r="AG522" s="1" t="s">
        <v>52</v>
      </c>
      <c r="AH522" s="1" t="s">
        <v>53</v>
      </c>
      <c r="AI522" s="1" t="str">
        <f>_xlfn.TEXTAFTER(_xlfn.TEXTBEFORE(batch_summary[[#This Row],[video]],"_",1),"-",3)</f>
        <v>20</v>
      </c>
      <c r="AJ522" s="1" t="str">
        <f>_xlfn.TEXTBEFORE(_xlfn.TEXTAFTER(batch_summary[[#This Row],[video]],"_",1),"_",1)</f>
        <v>20260309</v>
      </c>
      <c r="AK522" s="1" t="str">
        <f>_xlfn.TEXTBEFORE(_xlfn.TEXTAFTER(batch_summary[[#This Row],[video]],"_",2),".",1)</f>
        <v>090000</v>
      </c>
    </row>
    <row r="523" spans="1:37" x14ac:dyDescent="0.2">
      <c r="A523" s="1" t="s">
        <v>54</v>
      </c>
      <c r="B523" s="1" t="s">
        <v>55</v>
      </c>
      <c r="C523">
        <v>119.95833333333333</v>
      </c>
      <c r="D523">
        <v>2879</v>
      </c>
      <c r="E523">
        <v>0.32834448292851448</v>
      </c>
      <c r="F523">
        <v>43.423015465959907</v>
      </c>
      <c r="G523">
        <v>1.1404810105193279E-4</v>
      </c>
      <c r="H523">
        <v>1.5082672964904448E-2</v>
      </c>
      <c r="I523">
        <v>5</v>
      </c>
      <c r="J523" t="b">
        <v>1</v>
      </c>
      <c r="K523">
        <v>0.65</v>
      </c>
      <c r="L523">
        <v>1.3</v>
      </c>
      <c r="M523" t="b">
        <v>1</v>
      </c>
      <c r="N523">
        <v>200</v>
      </c>
      <c r="O523" t="b">
        <v>0</v>
      </c>
      <c r="P523" t="b">
        <v>0</v>
      </c>
      <c r="Q523">
        <v>0.7</v>
      </c>
      <c r="R523">
        <v>23188.373463153839</v>
      </c>
      <c r="S523">
        <v>18700.048158526421</v>
      </c>
      <c r="T523">
        <v>0</v>
      </c>
      <c r="U523">
        <v>0</v>
      </c>
      <c r="V523">
        <v>41888.42162168026</v>
      </c>
      <c r="W523">
        <v>0</v>
      </c>
      <c r="X523">
        <v>349.19142720400356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41888421621.68026</v>
      </c>
      <c r="AF523" s="1" t="s">
        <v>56</v>
      </c>
      <c r="AG523" s="1" t="s">
        <v>57</v>
      </c>
      <c r="AH523" s="1" t="s">
        <v>58</v>
      </c>
      <c r="AI523" s="1" t="str">
        <f>_xlfn.TEXTAFTER(_xlfn.TEXTBEFORE(batch_summary[[#This Row],[video]],"_",1),"-",3)</f>
        <v>20</v>
      </c>
      <c r="AJ523" s="1" t="str">
        <f>_xlfn.TEXTBEFORE(_xlfn.TEXTAFTER(batch_summary[[#This Row],[video]],"_",1),"_",1)</f>
        <v>20260309</v>
      </c>
      <c r="AK523" s="1" t="str">
        <f>_xlfn.TEXTBEFORE(_xlfn.TEXTAFTER(batch_summary[[#This Row],[video]],"_",2),".",1)</f>
        <v>100000</v>
      </c>
    </row>
    <row r="524" spans="1:37" x14ac:dyDescent="0.2">
      <c r="A524" s="1" t="s">
        <v>59</v>
      </c>
      <c r="B524" s="1" t="s">
        <v>60</v>
      </c>
      <c r="C524">
        <v>119.95833333333333</v>
      </c>
      <c r="D524">
        <v>2879</v>
      </c>
      <c r="E524">
        <v>0.32774819899350405</v>
      </c>
      <c r="F524">
        <v>43.680979972705245</v>
      </c>
      <c r="G524">
        <v>1.1384098610403058E-4</v>
      </c>
      <c r="H524">
        <v>1.517227508603864E-2</v>
      </c>
      <c r="I524">
        <v>5</v>
      </c>
      <c r="J524" t="b">
        <v>1</v>
      </c>
      <c r="K524">
        <v>0.65</v>
      </c>
      <c r="L524">
        <v>1.3</v>
      </c>
      <c r="M524" t="b">
        <v>1</v>
      </c>
      <c r="N524">
        <v>200</v>
      </c>
      <c r="O524" t="b">
        <v>0</v>
      </c>
      <c r="P524" t="b">
        <v>0</v>
      </c>
      <c r="Q524">
        <v>0.7</v>
      </c>
      <c r="R524">
        <v>118805.12927377224</v>
      </c>
      <c r="S524">
        <v>93904.859407782555</v>
      </c>
      <c r="T524">
        <v>82198.642498493195</v>
      </c>
      <c r="U524">
        <v>60264.305875778198</v>
      </c>
      <c r="V524">
        <v>212709.98868155479</v>
      </c>
      <c r="W524">
        <v>142462.94837427139</v>
      </c>
      <c r="X524">
        <v>1773.1989330869453</v>
      </c>
      <c r="Y524">
        <v>1187.6035988129606</v>
      </c>
      <c r="Z524">
        <v>544.51338314533234</v>
      </c>
      <c r="AA524">
        <v>35.615737093567844</v>
      </c>
      <c r="AB524">
        <v>821.986424984932</v>
      </c>
      <c r="AC524">
        <v>602.643058757782</v>
      </c>
      <c r="AD524">
        <v>1424.629483742714</v>
      </c>
      <c r="AE524">
        <v>1.4930898953651721</v>
      </c>
      <c r="AF524" s="1" t="s">
        <v>61</v>
      </c>
      <c r="AG524" s="1" t="s">
        <v>62</v>
      </c>
      <c r="AH524" s="1" t="s">
        <v>63</v>
      </c>
      <c r="AI524" s="1" t="str">
        <f>_xlfn.TEXTAFTER(_xlfn.TEXTBEFORE(batch_summary[[#This Row],[video]],"_",1),"-",3)</f>
        <v>20</v>
      </c>
      <c r="AJ524" s="1" t="str">
        <f>_xlfn.TEXTBEFORE(_xlfn.TEXTAFTER(batch_summary[[#This Row],[video]],"_",1),"_",1)</f>
        <v>20260309</v>
      </c>
      <c r="AK524" s="1" t="str">
        <f>_xlfn.TEXTBEFORE(_xlfn.TEXTAFTER(batch_summary[[#This Row],[video]],"_",2),".",1)</f>
        <v>110000</v>
      </c>
    </row>
    <row r="525" spans="1:37" x14ac:dyDescent="0.2">
      <c r="A525" s="1" t="s">
        <v>64</v>
      </c>
      <c r="B525" s="1" t="s">
        <v>65</v>
      </c>
      <c r="C525">
        <v>119.95833333333333</v>
      </c>
      <c r="D525">
        <v>2879</v>
      </c>
      <c r="E525">
        <v>0.33982567209750414</v>
      </c>
      <c r="F525">
        <v>44.556735614314675</v>
      </c>
      <c r="G525">
        <v>1.1803600975946653E-4</v>
      </c>
      <c r="H525">
        <v>1.5476462526681027E-2</v>
      </c>
      <c r="I525">
        <v>5</v>
      </c>
      <c r="J525" t="b">
        <v>1</v>
      </c>
      <c r="K525">
        <v>0.65</v>
      </c>
      <c r="L525">
        <v>1.3</v>
      </c>
      <c r="M525" t="b">
        <v>1</v>
      </c>
      <c r="N525">
        <v>200</v>
      </c>
      <c r="O525" t="b">
        <v>0</v>
      </c>
      <c r="P525" t="b">
        <v>0</v>
      </c>
      <c r="Q525">
        <v>0.7</v>
      </c>
      <c r="R525">
        <v>1971927.590595305</v>
      </c>
      <c r="S525">
        <v>1965794.7628547549</v>
      </c>
      <c r="T525">
        <v>1624241.1827450991</v>
      </c>
      <c r="U525">
        <v>1608574.4816339612</v>
      </c>
      <c r="V525">
        <v>3937722.3534500599</v>
      </c>
      <c r="W525">
        <v>3232815.6643790603</v>
      </c>
      <c r="X525">
        <v>32825.750775547567</v>
      </c>
      <c r="Y525">
        <v>26949.487997602449</v>
      </c>
      <c r="Z525">
        <v>3372.9817422294618</v>
      </c>
      <c r="AA525">
        <v>808.20391609476508</v>
      </c>
      <c r="AB525">
        <v>16242.411827450991</v>
      </c>
      <c r="AC525">
        <v>16085.744816339611</v>
      </c>
      <c r="AD525">
        <v>32328.1566437906</v>
      </c>
      <c r="AE525">
        <v>1.2180472882626896</v>
      </c>
      <c r="AF525" s="1" t="s">
        <v>66</v>
      </c>
      <c r="AG525" s="1" t="s">
        <v>67</v>
      </c>
      <c r="AH525" s="1" t="s">
        <v>68</v>
      </c>
      <c r="AI525" s="1" t="str">
        <f>_xlfn.TEXTAFTER(_xlfn.TEXTBEFORE(batch_summary[[#This Row],[video]],"_",1),"-",3)</f>
        <v>20</v>
      </c>
      <c r="AJ525" s="1" t="str">
        <f>_xlfn.TEXTBEFORE(_xlfn.TEXTAFTER(batch_summary[[#This Row],[video]],"_",1),"_",1)</f>
        <v>20260309</v>
      </c>
      <c r="AK525" s="1" t="str">
        <f>_xlfn.TEXTBEFORE(_xlfn.TEXTAFTER(batch_summary[[#This Row],[video]],"_",2),".",1)</f>
        <v>120000</v>
      </c>
    </row>
    <row r="526" spans="1:37" x14ac:dyDescent="0.2">
      <c r="A526" s="1" t="s">
        <v>69</v>
      </c>
      <c r="B526" s="1" t="s">
        <v>70</v>
      </c>
      <c r="C526">
        <v>119.95833333333333</v>
      </c>
      <c r="D526">
        <v>2879</v>
      </c>
      <c r="E526">
        <v>0.33099603746086359</v>
      </c>
      <c r="F526">
        <v>44.022447619587183</v>
      </c>
      <c r="G526">
        <v>1.1496909950012629E-4</v>
      </c>
      <c r="H526">
        <v>1.5290881423962203E-2</v>
      </c>
      <c r="I526">
        <v>5</v>
      </c>
      <c r="J526" t="b">
        <v>1</v>
      </c>
      <c r="K526">
        <v>0.65</v>
      </c>
      <c r="L526">
        <v>1.3</v>
      </c>
      <c r="M526" t="b">
        <v>1</v>
      </c>
      <c r="N526">
        <v>200</v>
      </c>
      <c r="O526" t="b">
        <v>0</v>
      </c>
      <c r="P526" t="b">
        <v>0</v>
      </c>
      <c r="Q526">
        <v>0.7</v>
      </c>
      <c r="R526">
        <v>1151256.7423627377</v>
      </c>
      <c r="S526">
        <v>1030752.5328971148</v>
      </c>
      <c r="T526">
        <v>1012575.4932225347</v>
      </c>
      <c r="U526">
        <v>871000.87596911192</v>
      </c>
      <c r="V526">
        <v>2182009.2752598524</v>
      </c>
      <c r="W526">
        <v>1883576.3691916466</v>
      </c>
      <c r="X526">
        <v>18189.726504423918</v>
      </c>
      <c r="Y526">
        <v>15701.921799444084</v>
      </c>
      <c r="Z526">
        <v>2248.2063925933835</v>
      </c>
      <c r="AA526">
        <v>470.89409229791164</v>
      </c>
      <c r="AB526">
        <v>10125.754932225347</v>
      </c>
      <c r="AC526">
        <v>8710.0087596911198</v>
      </c>
      <c r="AD526">
        <v>18835.763691916465</v>
      </c>
      <c r="AE526">
        <v>1.1584395042056517</v>
      </c>
      <c r="AF526" s="1" t="s">
        <v>71</v>
      </c>
      <c r="AG526" s="1" t="s">
        <v>72</v>
      </c>
      <c r="AH526" s="1" t="s">
        <v>73</v>
      </c>
      <c r="AI526" s="1" t="str">
        <f>_xlfn.TEXTAFTER(_xlfn.TEXTBEFORE(batch_summary[[#This Row],[video]],"_",1),"-",3)</f>
        <v>20</v>
      </c>
      <c r="AJ526" s="1" t="str">
        <f>_xlfn.TEXTBEFORE(_xlfn.TEXTAFTER(batch_summary[[#This Row],[video]],"_",1),"_",1)</f>
        <v>20260309</v>
      </c>
      <c r="AK526" s="1" t="str">
        <f>_xlfn.TEXTBEFORE(_xlfn.TEXTAFTER(batch_summary[[#This Row],[video]],"_",2),".",1)</f>
        <v>130000</v>
      </c>
    </row>
    <row r="527" spans="1:37" x14ac:dyDescent="0.2">
      <c r="A527" s="1" t="s">
        <v>74</v>
      </c>
      <c r="B527" s="1" t="s">
        <v>75</v>
      </c>
      <c r="C527">
        <v>119.95833333333333</v>
      </c>
      <c r="D527">
        <v>2879</v>
      </c>
      <c r="E527">
        <v>0.28379161283373833</v>
      </c>
      <c r="F527">
        <v>43.78099303971976</v>
      </c>
      <c r="G527">
        <v>9.8572981185737521E-5</v>
      </c>
      <c r="H527">
        <v>1.5207013907509469E-2</v>
      </c>
      <c r="I527">
        <v>5</v>
      </c>
      <c r="J527" t="b">
        <v>1</v>
      </c>
      <c r="K527">
        <v>0.65</v>
      </c>
      <c r="L527">
        <v>1.3</v>
      </c>
      <c r="M527" t="b">
        <v>1</v>
      </c>
      <c r="N527">
        <v>200</v>
      </c>
      <c r="O527" t="b">
        <v>0</v>
      </c>
      <c r="P527" t="b">
        <v>0</v>
      </c>
      <c r="Q527">
        <v>0.7</v>
      </c>
      <c r="R527">
        <v>14958208.49643898</v>
      </c>
      <c r="S527">
        <v>20250725.1771999</v>
      </c>
      <c r="T527">
        <v>13964518.959285259</v>
      </c>
      <c r="U527">
        <v>19085033.225101769</v>
      </c>
      <c r="V527">
        <v>35208933.67363888</v>
      </c>
      <c r="W527">
        <v>33049552.184387028</v>
      </c>
      <c r="X527">
        <v>293509.69370174821</v>
      </c>
      <c r="Y527">
        <v>275508.59757738403</v>
      </c>
      <c r="Z527">
        <v>14547.95981689453</v>
      </c>
      <c r="AA527">
        <v>8262.3880460967575</v>
      </c>
      <c r="AB527">
        <v>139645.18959285261</v>
      </c>
      <c r="AC527">
        <v>190850.33225101768</v>
      </c>
      <c r="AD527">
        <v>330495.52184387029</v>
      </c>
      <c r="AE527">
        <v>1.0653376928438978</v>
      </c>
      <c r="AF527" s="1" t="s">
        <v>76</v>
      </c>
      <c r="AG527" s="1" t="s">
        <v>77</v>
      </c>
      <c r="AH527" s="1" t="s">
        <v>78</v>
      </c>
      <c r="AI527" s="1" t="str">
        <f>_xlfn.TEXTAFTER(_xlfn.TEXTBEFORE(batch_summary[[#This Row],[video]],"_",1),"-",3)</f>
        <v>20</v>
      </c>
      <c r="AJ527" s="1" t="str">
        <f>_xlfn.TEXTBEFORE(_xlfn.TEXTAFTER(batch_summary[[#This Row],[video]],"_",1),"_",1)</f>
        <v>20260309</v>
      </c>
      <c r="AK527" s="1" t="str">
        <f>_xlfn.TEXTBEFORE(_xlfn.TEXTAFTER(batch_summary[[#This Row],[video]],"_",2),".",1)</f>
        <v>140000</v>
      </c>
    </row>
    <row r="528" spans="1:37" x14ac:dyDescent="0.2">
      <c r="A528" s="1" t="s">
        <v>79</v>
      </c>
      <c r="B528" s="1" t="s">
        <v>80</v>
      </c>
      <c r="C528">
        <v>119.95833333333333</v>
      </c>
      <c r="D528">
        <v>2879</v>
      </c>
      <c r="E528">
        <v>0.34376524854451418</v>
      </c>
      <c r="F528">
        <v>44.994095124304295</v>
      </c>
      <c r="G528">
        <v>1.1940439338121368E-4</v>
      </c>
      <c r="H528">
        <v>1.5628376215458248E-2</v>
      </c>
      <c r="I528">
        <v>5</v>
      </c>
      <c r="J528" t="b">
        <v>1</v>
      </c>
      <c r="K528">
        <v>0.65</v>
      </c>
      <c r="L528">
        <v>1.3</v>
      </c>
      <c r="M528" t="b">
        <v>1</v>
      </c>
      <c r="N528">
        <v>200</v>
      </c>
      <c r="O528" t="b">
        <v>0</v>
      </c>
      <c r="P528" t="b">
        <v>0</v>
      </c>
      <c r="Q528">
        <v>0.7</v>
      </c>
      <c r="R528">
        <v>3675829.9278909564</v>
      </c>
      <c r="S528">
        <v>3427939.0548017025</v>
      </c>
      <c r="T528">
        <v>3275871.4451724291</v>
      </c>
      <c r="U528">
        <v>2960878.3392452002</v>
      </c>
      <c r="V528">
        <v>7103768.9826926589</v>
      </c>
      <c r="W528">
        <v>6236749.7844176292</v>
      </c>
      <c r="X528">
        <v>59218.636882467465</v>
      </c>
      <c r="Y528">
        <v>51990.967289344604</v>
      </c>
      <c r="Z528">
        <v>4438.5421245718007</v>
      </c>
      <c r="AA528">
        <v>1559.1874461044074</v>
      </c>
      <c r="AB528">
        <v>32758.714451724292</v>
      </c>
      <c r="AC528">
        <v>29608.783392452002</v>
      </c>
      <c r="AD528">
        <v>62367.497844176294</v>
      </c>
      <c r="AE528">
        <v>1.1390177942429656</v>
      </c>
      <c r="AF528" s="1" t="s">
        <v>81</v>
      </c>
      <c r="AG528" s="1" t="s">
        <v>82</v>
      </c>
      <c r="AH528" s="1" t="s">
        <v>83</v>
      </c>
      <c r="AI528" s="1" t="str">
        <f>_xlfn.TEXTAFTER(_xlfn.TEXTBEFORE(batch_summary[[#This Row],[video]],"_",1),"-",3)</f>
        <v>20</v>
      </c>
      <c r="AJ528" s="1" t="str">
        <f>_xlfn.TEXTBEFORE(_xlfn.TEXTAFTER(batch_summary[[#This Row],[video]],"_",1),"_",1)</f>
        <v>20260309</v>
      </c>
      <c r="AK528" s="1" t="str">
        <f>_xlfn.TEXTBEFORE(_xlfn.TEXTAFTER(batch_summary[[#This Row],[video]],"_",2),".",1)</f>
        <v>150000</v>
      </c>
    </row>
    <row r="529" spans="1:37" x14ac:dyDescent="0.2">
      <c r="A529" s="1" t="s">
        <v>84</v>
      </c>
      <c r="B529" s="1" t="s">
        <v>85</v>
      </c>
      <c r="C529">
        <v>119.95833333333333</v>
      </c>
      <c r="D529">
        <v>2879</v>
      </c>
      <c r="E529">
        <v>0.29059908166527748</v>
      </c>
      <c r="F529">
        <v>43.752460112795234</v>
      </c>
      <c r="G529">
        <v>1.0093750665692167E-4</v>
      </c>
      <c r="H529">
        <v>1.5197103199998344E-2</v>
      </c>
      <c r="I529">
        <v>5</v>
      </c>
      <c r="J529" t="b">
        <v>1</v>
      </c>
      <c r="K529">
        <v>0.65</v>
      </c>
      <c r="L529">
        <v>1.3</v>
      </c>
      <c r="M529" t="b">
        <v>1</v>
      </c>
      <c r="N529">
        <v>200</v>
      </c>
      <c r="O529" t="b">
        <v>0</v>
      </c>
      <c r="P529" t="b">
        <v>0</v>
      </c>
      <c r="Q529">
        <v>0.7</v>
      </c>
      <c r="R529">
        <v>11198643.514095783</v>
      </c>
      <c r="S529">
        <v>11062957.436814189</v>
      </c>
      <c r="T529">
        <v>10291226.270287454</v>
      </c>
      <c r="U529">
        <v>10130489.643333137</v>
      </c>
      <c r="V529">
        <v>22261600.950909972</v>
      </c>
      <c r="W529">
        <v>20421715.913620591</v>
      </c>
      <c r="X529">
        <v>185577.7779860505</v>
      </c>
      <c r="Y529">
        <v>170240.0770847149</v>
      </c>
      <c r="Z529">
        <v>7932.8951231384281</v>
      </c>
      <c r="AA529">
        <v>5105.428978405148</v>
      </c>
      <c r="AB529">
        <v>102912.26270287455</v>
      </c>
      <c r="AC529">
        <v>101304.89643333136</v>
      </c>
      <c r="AD529">
        <v>204217.15913620591</v>
      </c>
      <c r="AE529">
        <v>1.0900945368680914</v>
      </c>
      <c r="AF529" s="1" t="s">
        <v>86</v>
      </c>
      <c r="AG529" s="1" t="s">
        <v>87</v>
      </c>
      <c r="AH529" s="1" t="s">
        <v>88</v>
      </c>
      <c r="AI529" s="1" t="str">
        <f>_xlfn.TEXTAFTER(_xlfn.TEXTBEFORE(batch_summary[[#This Row],[video]],"_",1),"-",3)</f>
        <v>20</v>
      </c>
      <c r="AJ529" s="1" t="str">
        <f>_xlfn.TEXTBEFORE(_xlfn.TEXTAFTER(batch_summary[[#This Row],[video]],"_",1),"_",1)</f>
        <v>20260309</v>
      </c>
      <c r="AK529" s="1" t="str">
        <f>_xlfn.TEXTBEFORE(_xlfn.TEXTAFTER(batch_summary[[#This Row],[video]],"_",2),".",1)</f>
        <v>160000</v>
      </c>
    </row>
    <row r="530" spans="1:37" x14ac:dyDescent="0.2">
      <c r="A530" s="1" t="s">
        <v>89</v>
      </c>
      <c r="B530" s="1" t="s">
        <v>90</v>
      </c>
      <c r="C530">
        <v>119.95833333333333</v>
      </c>
      <c r="D530">
        <v>2879</v>
      </c>
      <c r="E530">
        <v>0.32651884574443102</v>
      </c>
      <c r="F530">
        <v>43.630164651200175</v>
      </c>
      <c r="G530">
        <v>1.134139790706603E-4</v>
      </c>
      <c r="H530">
        <v>1.5154624748593323E-2</v>
      </c>
      <c r="I530">
        <v>5</v>
      </c>
      <c r="J530" t="b">
        <v>1</v>
      </c>
      <c r="K530">
        <v>0.65</v>
      </c>
      <c r="L530">
        <v>1.3</v>
      </c>
      <c r="M530" t="b">
        <v>1</v>
      </c>
      <c r="N530">
        <v>200</v>
      </c>
      <c r="O530" t="b">
        <v>0</v>
      </c>
      <c r="P530" t="b">
        <v>0</v>
      </c>
      <c r="Q530">
        <v>0.7</v>
      </c>
      <c r="R530">
        <v>264079.04451918602</v>
      </c>
      <c r="S530">
        <v>205272.247597754</v>
      </c>
      <c r="T530">
        <v>196185.92461013794</v>
      </c>
      <c r="U530">
        <v>154798.60174441338</v>
      </c>
      <c r="V530">
        <v>469351.29211694002</v>
      </c>
      <c r="W530">
        <v>350984.52635455132</v>
      </c>
      <c r="X530">
        <v>3912.6193160147832</v>
      </c>
      <c r="Y530">
        <v>2925.8869859358219</v>
      </c>
      <c r="Z530">
        <v>1905.4820191550257</v>
      </c>
      <c r="AA530">
        <v>87.746131588637837</v>
      </c>
      <c r="AB530">
        <v>1961.8592461013793</v>
      </c>
      <c r="AC530">
        <v>1547.9860174441337</v>
      </c>
      <c r="AD530">
        <v>3509.8452635455133</v>
      </c>
      <c r="AE530">
        <v>1.3372421200210378</v>
      </c>
      <c r="AF530" s="1" t="s">
        <v>91</v>
      </c>
      <c r="AG530" s="1" t="s">
        <v>92</v>
      </c>
      <c r="AH530" s="1" t="s">
        <v>93</v>
      </c>
      <c r="AI530" s="1" t="str">
        <f>_xlfn.TEXTAFTER(_xlfn.TEXTBEFORE(batch_summary[[#This Row],[video]],"_",1),"-",3)</f>
        <v>20</v>
      </c>
      <c r="AJ530" s="1" t="str">
        <f>_xlfn.TEXTBEFORE(_xlfn.TEXTAFTER(batch_summary[[#This Row],[video]],"_",1),"_",1)</f>
        <v>20260309</v>
      </c>
      <c r="AK530" s="1" t="str">
        <f>_xlfn.TEXTBEFORE(_xlfn.TEXTAFTER(batch_summary[[#This Row],[video]],"_",2),".",1)</f>
        <v>170000</v>
      </c>
    </row>
    <row r="531" spans="1:37" x14ac:dyDescent="0.2">
      <c r="A531" s="1" t="s">
        <v>94</v>
      </c>
      <c r="B531" s="1" t="s">
        <v>95</v>
      </c>
      <c r="C531">
        <v>119.95833333333333</v>
      </c>
      <c r="D531">
        <v>2879</v>
      </c>
      <c r="E531">
        <v>0.33312379848212004</v>
      </c>
      <c r="F531">
        <v>43.570607637055218</v>
      </c>
      <c r="G531">
        <v>1.1570816202921849E-4</v>
      </c>
      <c r="H531">
        <v>1.5133938046910461E-2</v>
      </c>
      <c r="I531">
        <v>5</v>
      </c>
      <c r="J531" t="b">
        <v>1</v>
      </c>
      <c r="K531">
        <v>0.65</v>
      </c>
      <c r="L531">
        <v>1.3</v>
      </c>
      <c r="M531" t="b">
        <v>1</v>
      </c>
      <c r="N531">
        <v>200</v>
      </c>
      <c r="O531" t="b">
        <v>0</v>
      </c>
      <c r="P531" t="b">
        <v>0</v>
      </c>
      <c r="Q531">
        <v>0.7</v>
      </c>
      <c r="R531">
        <v>28532.562073111534</v>
      </c>
      <c r="S531">
        <v>25665.04388743639</v>
      </c>
      <c r="T531">
        <v>560.243408203125</v>
      </c>
      <c r="U531">
        <v>918.74920654296875</v>
      </c>
      <c r="V531">
        <v>54197.605960547924</v>
      </c>
      <c r="W531">
        <v>1478.9926147460938</v>
      </c>
      <c r="X531">
        <v>451.80359258532485</v>
      </c>
      <c r="Y531">
        <v>12.329219435188</v>
      </c>
      <c r="Z531">
        <v>5.6024340820312499</v>
      </c>
      <c r="AA531">
        <v>0.36974815368652347</v>
      </c>
      <c r="AB531">
        <v>5.6024340820312499</v>
      </c>
      <c r="AC531">
        <v>9.1874920654296872</v>
      </c>
      <c r="AD531">
        <v>14.789926147460937</v>
      </c>
      <c r="AE531">
        <v>36.644946986332521</v>
      </c>
      <c r="AF531" s="1" t="s">
        <v>96</v>
      </c>
      <c r="AG531" s="1" t="s">
        <v>97</v>
      </c>
      <c r="AH531" s="1" t="s">
        <v>98</v>
      </c>
      <c r="AI531" s="1" t="str">
        <f>_xlfn.TEXTAFTER(_xlfn.TEXTBEFORE(batch_summary[[#This Row],[video]],"_",1),"-",3)</f>
        <v>20</v>
      </c>
      <c r="AJ531" s="1" t="str">
        <f>_xlfn.TEXTBEFORE(_xlfn.TEXTAFTER(batch_summary[[#This Row],[video]],"_",1),"_",1)</f>
        <v>20260309</v>
      </c>
      <c r="AK531" s="1" t="str">
        <f>_xlfn.TEXTBEFORE(_xlfn.TEXTAFTER(batch_summary[[#This Row],[video]],"_",2),".",1)</f>
        <v>180000</v>
      </c>
    </row>
    <row r="532" spans="1:37" x14ac:dyDescent="0.2">
      <c r="A532" s="1" t="s">
        <v>99</v>
      </c>
      <c r="B532" s="1" t="s">
        <v>100</v>
      </c>
      <c r="C532">
        <v>119.95833333333333</v>
      </c>
      <c r="D532">
        <v>2879</v>
      </c>
      <c r="E532">
        <v>0.33910028543323278</v>
      </c>
      <c r="F532">
        <v>43.826207196339965</v>
      </c>
      <c r="G532">
        <v>1.1778405190456158E-4</v>
      </c>
      <c r="H532">
        <v>1.5222718720507109E-2</v>
      </c>
      <c r="I532">
        <v>5</v>
      </c>
      <c r="J532" t="b">
        <v>1</v>
      </c>
      <c r="K532">
        <v>0.65</v>
      </c>
      <c r="L532">
        <v>1.3</v>
      </c>
      <c r="M532" t="b">
        <v>1</v>
      </c>
      <c r="N532">
        <v>200</v>
      </c>
      <c r="O532" t="b">
        <v>0</v>
      </c>
      <c r="P532" t="b">
        <v>0</v>
      </c>
      <c r="Q532">
        <v>0.7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s="1" t="s">
        <v>101</v>
      </c>
      <c r="AG532" s="1" t="s">
        <v>102</v>
      </c>
      <c r="AH532" s="1" t="s">
        <v>103</v>
      </c>
      <c r="AI532" s="1" t="str">
        <f>_xlfn.TEXTAFTER(_xlfn.TEXTBEFORE(batch_summary[[#This Row],[video]],"_",1),"-",3)</f>
        <v>20</v>
      </c>
      <c r="AJ532" s="1" t="str">
        <f>_xlfn.TEXTBEFORE(_xlfn.TEXTAFTER(batch_summary[[#This Row],[video]],"_",1),"_",1)</f>
        <v>20260309</v>
      </c>
      <c r="AK532" s="1" t="str">
        <f>_xlfn.TEXTBEFORE(_xlfn.TEXTAFTER(batch_summary[[#This Row],[video]],"_",2),".",1)</f>
        <v>190000</v>
      </c>
    </row>
    <row r="533" spans="1:37" x14ac:dyDescent="0.2">
      <c r="A533" s="1" t="s">
        <v>104</v>
      </c>
      <c r="B533" s="1" t="s">
        <v>105</v>
      </c>
      <c r="C533">
        <v>119.95833333333333</v>
      </c>
      <c r="D533">
        <v>2879</v>
      </c>
      <c r="E533">
        <v>0.34003830421715975</v>
      </c>
      <c r="F533">
        <v>44.093377899378538</v>
      </c>
      <c r="G533">
        <v>1.1810986600109751E-4</v>
      </c>
      <c r="H533">
        <v>1.5315518547891122E-2</v>
      </c>
      <c r="I533">
        <v>5</v>
      </c>
      <c r="J533" t="b">
        <v>1</v>
      </c>
      <c r="K533">
        <v>0.65</v>
      </c>
      <c r="L533">
        <v>1.3</v>
      </c>
      <c r="M533" t="b">
        <v>1</v>
      </c>
      <c r="N533">
        <v>200</v>
      </c>
      <c r="O533" t="b">
        <v>0</v>
      </c>
      <c r="P533" t="b">
        <v>0</v>
      </c>
      <c r="Q533">
        <v>0.7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s="1" t="s">
        <v>106</v>
      </c>
      <c r="AG533" s="1" t="s">
        <v>107</v>
      </c>
      <c r="AH533" s="1" t="s">
        <v>108</v>
      </c>
      <c r="AI533" s="1" t="str">
        <f>_xlfn.TEXTAFTER(_xlfn.TEXTBEFORE(batch_summary[[#This Row],[video]],"_",1),"-",3)</f>
        <v>20</v>
      </c>
      <c r="AJ533" s="1" t="str">
        <f>_xlfn.TEXTBEFORE(_xlfn.TEXTAFTER(batch_summary[[#This Row],[video]],"_",1),"_",1)</f>
        <v>20260310</v>
      </c>
      <c r="AK533" s="1" t="str">
        <f>_xlfn.TEXTBEFORE(_xlfn.TEXTAFTER(batch_summary[[#This Row],[video]],"_",2),".",1)</f>
        <v>060000</v>
      </c>
    </row>
    <row r="534" spans="1:37" x14ac:dyDescent="0.2">
      <c r="A534" s="1" t="s">
        <v>109</v>
      </c>
      <c r="B534" s="1" t="s">
        <v>110</v>
      </c>
      <c r="C534">
        <v>119.95833333333333</v>
      </c>
      <c r="D534">
        <v>2879</v>
      </c>
      <c r="E534">
        <v>0.31683789752423763</v>
      </c>
      <c r="F534">
        <v>43.493357004597783</v>
      </c>
      <c r="G534">
        <v>1.1005137114422982E-4</v>
      </c>
      <c r="H534">
        <v>1.5107105593816528E-2</v>
      </c>
      <c r="I534">
        <v>5</v>
      </c>
      <c r="J534" t="b">
        <v>1</v>
      </c>
      <c r="K534">
        <v>0.65</v>
      </c>
      <c r="L534">
        <v>1.3</v>
      </c>
      <c r="M534" t="b">
        <v>1</v>
      </c>
      <c r="N534">
        <v>200</v>
      </c>
      <c r="O534" t="b">
        <v>0</v>
      </c>
      <c r="P534" t="b">
        <v>0</v>
      </c>
      <c r="Q534">
        <v>0.7</v>
      </c>
      <c r="R534">
        <v>14756.068532586098</v>
      </c>
      <c r="S534">
        <v>13477.196409881115</v>
      </c>
      <c r="T534">
        <v>0</v>
      </c>
      <c r="U534">
        <v>0</v>
      </c>
      <c r="V534">
        <v>28233.264942467213</v>
      </c>
      <c r="W534">
        <v>0</v>
      </c>
      <c r="X534">
        <v>235.35892970448529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28233264942.467213</v>
      </c>
      <c r="AF534" s="1" t="s">
        <v>111</v>
      </c>
      <c r="AG534" s="1" t="s">
        <v>112</v>
      </c>
      <c r="AH534" s="1" t="s">
        <v>113</v>
      </c>
      <c r="AI534" s="1" t="str">
        <f>_xlfn.TEXTAFTER(_xlfn.TEXTBEFORE(batch_summary[[#This Row],[video]],"_",1),"-",3)</f>
        <v>20</v>
      </c>
      <c r="AJ534" s="1" t="str">
        <f>_xlfn.TEXTBEFORE(_xlfn.TEXTAFTER(batch_summary[[#This Row],[video]],"_",1),"_",1)</f>
        <v>20260310</v>
      </c>
      <c r="AK534" s="1" t="str">
        <f>_xlfn.TEXTBEFORE(_xlfn.TEXTAFTER(batch_summary[[#This Row],[video]],"_",2),".",1)</f>
        <v>070000</v>
      </c>
    </row>
    <row r="535" spans="1:37" x14ac:dyDescent="0.2">
      <c r="A535" s="1" t="s">
        <v>114</v>
      </c>
      <c r="B535" s="1" t="s">
        <v>115</v>
      </c>
      <c r="C535">
        <v>119.95833333333333</v>
      </c>
      <c r="D535">
        <v>2879</v>
      </c>
      <c r="E535">
        <v>0.31676237937062979</v>
      </c>
      <c r="F535">
        <v>43.282257303595543</v>
      </c>
      <c r="G535">
        <v>1.1002514045523786E-4</v>
      </c>
      <c r="H535">
        <v>1.5033781626813318E-2</v>
      </c>
      <c r="I535">
        <v>5</v>
      </c>
      <c r="J535" t="b">
        <v>1</v>
      </c>
      <c r="K535">
        <v>0.65</v>
      </c>
      <c r="L535">
        <v>1.3</v>
      </c>
      <c r="M535" t="b">
        <v>1</v>
      </c>
      <c r="N535">
        <v>200</v>
      </c>
      <c r="O535" t="b">
        <v>0</v>
      </c>
      <c r="P535" t="b">
        <v>0</v>
      </c>
      <c r="Q535">
        <v>0.7</v>
      </c>
      <c r="R535">
        <v>15842.554861187935</v>
      </c>
      <c r="S535">
        <v>13833.245343565941</v>
      </c>
      <c r="T535">
        <v>0</v>
      </c>
      <c r="U535">
        <v>396.45193481445312</v>
      </c>
      <c r="V535">
        <v>29675.800204753876</v>
      </c>
      <c r="W535">
        <v>396.45193481445312</v>
      </c>
      <c r="X535">
        <v>247.38423234251235</v>
      </c>
      <c r="Y535">
        <v>3.3049136629200677</v>
      </c>
      <c r="Z535">
        <v>3.9645193481445311</v>
      </c>
      <c r="AA535">
        <v>9.911298370361328E-2</v>
      </c>
      <c r="AB535">
        <v>0</v>
      </c>
      <c r="AC535">
        <v>3.9645193481445311</v>
      </c>
      <c r="AD535">
        <v>3.9645193481445311</v>
      </c>
      <c r="AE535">
        <v>74.85346292645211</v>
      </c>
      <c r="AF535" s="1" t="s">
        <v>116</v>
      </c>
      <c r="AG535" s="1" t="s">
        <v>117</v>
      </c>
      <c r="AH535" s="1" t="s">
        <v>118</v>
      </c>
      <c r="AI535" s="1" t="str">
        <f>_xlfn.TEXTAFTER(_xlfn.TEXTBEFORE(batch_summary[[#This Row],[video]],"_",1),"-",3)</f>
        <v>20</v>
      </c>
      <c r="AJ535" s="1" t="str">
        <f>_xlfn.TEXTBEFORE(_xlfn.TEXTAFTER(batch_summary[[#This Row],[video]],"_",1),"_",1)</f>
        <v>20260310</v>
      </c>
      <c r="AK535" s="1" t="str">
        <f>_xlfn.TEXTBEFORE(_xlfn.TEXTAFTER(batch_summary[[#This Row],[video]],"_",2),".",1)</f>
        <v>080000</v>
      </c>
    </row>
    <row r="536" spans="1:37" x14ac:dyDescent="0.2">
      <c r="A536" s="1" t="s">
        <v>119</v>
      </c>
      <c r="B536" s="1" t="s">
        <v>120</v>
      </c>
      <c r="C536">
        <v>119.95833333333333</v>
      </c>
      <c r="D536">
        <v>2879</v>
      </c>
      <c r="E536">
        <v>0.33456967677921057</v>
      </c>
      <c r="F536">
        <v>43.277393039315939</v>
      </c>
      <c r="G536">
        <v>1.1621037748496372E-4</v>
      </c>
      <c r="H536">
        <v>1.5032092059505363E-2</v>
      </c>
      <c r="I536">
        <v>5</v>
      </c>
      <c r="J536" t="b">
        <v>1</v>
      </c>
      <c r="K536">
        <v>0.65</v>
      </c>
      <c r="L536">
        <v>1.3</v>
      </c>
      <c r="M536" t="b">
        <v>1</v>
      </c>
      <c r="N536">
        <v>200</v>
      </c>
      <c r="O536" t="b">
        <v>0</v>
      </c>
      <c r="P536" t="b">
        <v>0</v>
      </c>
      <c r="Q536">
        <v>0.7</v>
      </c>
      <c r="R536">
        <v>55246.017511606216</v>
      </c>
      <c r="S536">
        <v>62277.516447901726</v>
      </c>
      <c r="T536">
        <v>25964.591323852539</v>
      </c>
      <c r="U536">
        <v>36904.146606445312</v>
      </c>
      <c r="V536">
        <v>117523.53395950794</v>
      </c>
      <c r="W536">
        <v>62868.737930297852</v>
      </c>
      <c r="X536">
        <v>979.70295763396689</v>
      </c>
      <c r="Y536">
        <v>524.08812446236493</v>
      </c>
      <c r="Z536">
        <v>458.06507553100585</v>
      </c>
      <c r="AA536">
        <v>15.717184482574464</v>
      </c>
      <c r="AB536">
        <v>259.6459132385254</v>
      </c>
      <c r="AC536">
        <v>369.04146606445312</v>
      </c>
      <c r="AD536">
        <v>628.68737930297857</v>
      </c>
      <c r="AE536">
        <v>1.8693477526112501</v>
      </c>
      <c r="AF536" s="1" t="s">
        <v>121</v>
      </c>
      <c r="AG536" s="1" t="s">
        <v>122</v>
      </c>
      <c r="AH536" s="1" t="s">
        <v>123</v>
      </c>
      <c r="AI536" s="1" t="str">
        <f>_xlfn.TEXTAFTER(_xlfn.TEXTBEFORE(batch_summary[[#This Row],[video]],"_",1),"-",3)</f>
        <v>20</v>
      </c>
      <c r="AJ536" s="1" t="str">
        <f>_xlfn.TEXTBEFORE(_xlfn.TEXTAFTER(batch_summary[[#This Row],[video]],"_",1),"_",1)</f>
        <v>20260310</v>
      </c>
      <c r="AK536" s="1" t="str">
        <f>_xlfn.TEXTBEFORE(_xlfn.TEXTAFTER(batch_summary[[#This Row],[video]],"_",2),".",1)</f>
        <v>090000</v>
      </c>
    </row>
    <row r="537" spans="1:37" x14ac:dyDescent="0.2">
      <c r="A537" s="1" t="s">
        <v>124</v>
      </c>
      <c r="B537" s="1" t="s">
        <v>125</v>
      </c>
      <c r="C537">
        <v>119.95833333333333</v>
      </c>
      <c r="D537">
        <v>2879</v>
      </c>
      <c r="E537">
        <v>0.32234500907361507</v>
      </c>
      <c r="F537">
        <v>43.525937074795365</v>
      </c>
      <c r="G537">
        <v>1.1196422684043594E-4</v>
      </c>
      <c r="H537">
        <v>1.5118422047514889E-2</v>
      </c>
      <c r="I537">
        <v>5</v>
      </c>
      <c r="J537" t="b">
        <v>1</v>
      </c>
      <c r="K537">
        <v>0.65</v>
      </c>
      <c r="L537">
        <v>1.3</v>
      </c>
      <c r="M537" t="b">
        <v>1</v>
      </c>
      <c r="N537">
        <v>200</v>
      </c>
      <c r="O537" t="b">
        <v>0</v>
      </c>
      <c r="P537" t="b">
        <v>0</v>
      </c>
      <c r="Q537">
        <v>0.7</v>
      </c>
      <c r="R537">
        <v>32508.114427566528</v>
      </c>
      <c r="S537">
        <v>32472.90559899807</v>
      </c>
      <c r="T537">
        <v>5396.7834777832031</v>
      </c>
      <c r="U537">
        <v>1261.1588134765625</v>
      </c>
      <c r="V537">
        <v>64981.020026564598</v>
      </c>
      <c r="W537">
        <v>6657.9422912597656</v>
      </c>
      <c r="X537">
        <v>541.69658931488379</v>
      </c>
      <c r="Y537">
        <v>55.502123997997352</v>
      </c>
      <c r="Z537">
        <v>66.579422912597664</v>
      </c>
      <c r="AA537">
        <v>1.6644855728149417</v>
      </c>
      <c r="AB537">
        <v>53.967834777832032</v>
      </c>
      <c r="AC537">
        <v>12.611588134765626</v>
      </c>
      <c r="AD537">
        <v>66.579422912597664</v>
      </c>
      <c r="AE537">
        <v>9.7599253919440905</v>
      </c>
      <c r="AF537" s="1" t="s">
        <v>126</v>
      </c>
      <c r="AG537" s="1" t="s">
        <v>127</v>
      </c>
      <c r="AH537" s="1" t="s">
        <v>128</v>
      </c>
      <c r="AI537" s="1" t="str">
        <f>_xlfn.TEXTAFTER(_xlfn.TEXTBEFORE(batch_summary[[#This Row],[video]],"_",1),"-",3)</f>
        <v>20</v>
      </c>
      <c r="AJ537" s="1" t="str">
        <f>_xlfn.TEXTBEFORE(_xlfn.TEXTAFTER(batch_summary[[#This Row],[video]],"_",1),"_",1)</f>
        <v>20260310</v>
      </c>
      <c r="AK537" s="1" t="str">
        <f>_xlfn.TEXTBEFORE(_xlfn.TEXTAFTER(batch_summary[[#This Row],[video]],"_",2),".",1)</f>
        <v>100000</v>
      </c>
    </row>
    <row r="538" spans="1:37" x14ac:dyDescent="0.2">
      <c r="A538" s="1" t="s">
        <v>129</v>
      </c>
      <c r="B538" s="1" t="s">
        <v>130</v>
      </c>
      <c r="C538">
        <v>119.95833333333333</v>
      </c>
      <c r="D538">
        <v>2879</v>
      </c>
      <c r="E538">
        <v>0.33743031322956085</v>
      </c>
      <c r="F538">
        <v>43.82070373184979</v>
      </c>
      <c r="G538">
        <v>1.1720399903770784E-4</v>
      </c>
      <c r="H538">
        <v>1.5220807131590757E-2</v>
      </c>
      <c r="I538">
        <v>5</v>
      </c>
      <c r="J538" t="b">
        <v>1</v>
      </c>
      <c r="K538">
        <v>0.65</v>
      </c>
      <c r="L538">
        <v>1.3</v>
      </c>
      <c r="M538" t="b">
        <v>1</v>
      </c>
      <c r="N538">
        <v>200</v>
      </c>
      <c r="O538" t="b">
        <v>0</v>
      </c>
      <c r="P538" t="b">
        <v>0</v>
      </c>
      <c r="Q538">
        <v>0.7</v>
      </c>
      <c r="R538">
        <v>188895.21741753817</v>
      </c>
      <c r="S538">
        <v>255810.51591193676</v>
      </c>
      <c r="T538">
        <v>141967.18781042099</v>
      </c>
      <c r="U538">
        <v>203767.32471466064</v>
      </c>
      <c r="V538">
        <v>444705.73332947493</v>
      </c>
      <c r="W538">
        <v>345734.51252508163</v>
      </c>
      <c r="X538">
        <v>3707.1683223019795</v>
      </c>
      <c r="Y538">
        <v>2882.1216744015142</v>
      </c>
      <c r="Z538">
        <v>1104.2391217803954</v>
      </c>
      <c r="AA538">
        <v>86.43362813127041</v>
      </c>
      <c r="AB538">
        <v>1419.67187810421</v>
      </c>
      <c r="AC538">
        <v>2037.6732471466064</v>
      </c>
      <c r="AD538">
        <v>3457.3451252508166</v>
      </c>
      <c r="AE538">
        <v>1.2862636422425815</v>
      </c>
      <c r="AF538" s="1" t="s">
        <v>131</v>
      </c>
      <c r="AG538" s="1" t="s">
        <v>132</v>
      </c>
      <c r="AH538" s="1" t="s">
        <v>133</v>
      </c>
      <c r="AI538" s="1" t="str">
        <f>_xlfn.TEXTAFTER(_xlfn.TEXTBEFORE(batch_summary[[#This Row],[video]],"_",1),"-",3)</f>
        <v>20</v>
      </c>
      <c r="AJ538" s="1" t="str">
        <f>_xlfn.TEXTBEFORE(_xlfn.TEXTAFTER(batch_summary[[#This Row],[video]],"_",1),"_",1)</f>
        <v>20260310</v>
      </c>
      <c r="AK538" s="1" t="str">
        <f>_xlfn.TEXTBEFORE(_xlfn.TEXTAFTER(batch_summary[[#This Row],[video]],"_",2),".",1)</f>
        <v>110000</v>
      </c>
    </row>
    <row r="539" spans="1:37" x14ac:dyDescent="0.2">
      <c r="A539" s="1" t="s">
        <v>134</v>
      </c>
      <c r="B539" s="1" t="s">
        <v>135</v>
      </c>
      <c r="C539">
        <v>119.95833333333333</v>
      </c>
      <c r="D539">
        <v>2879</v>
      </c>
      <c r="E539">
        <v>0.2902083732187748</v>
      </c>
      <c r="F539">
        <v>44.038428392261267</v>
      </c>
      <c r="G539">
        <v>1.0080179688043585E-4</v>
      </c>
      <c r="H539">
        <v>1.5296432230726386E-2</v>
      </c>
      <c r="I539">
        <v>5</v>
      </c>
      <c r="J539" t="b">
        <v>1</v>
      </c>
      <c r="K539">
        <v>0.65</v>
      </c>
      <c r="L539">
        <v>1.3</v>
      </c>
      <c r="M539" t="b">
        <v>1</v>
      </c>
      <c r="N539">
        <v>200</v>
      </c>
      <c r="O539" t="b">
        <v>0</v>
      </c>
      <c r="P539" t="b">
        <v>0</v>
      </c>
      <c r="Q539">
        <v>0.7</v>
      </c>
      <c r="R539">
        <v>10044246.909863055</v>
      </c>
      <c r="S539">
        <v>13606953.157722294</v>
      </c>
      <c r="T539">
        <v>9225707.8374714851</v>
      </c>
      <c r="U539">
        <v>12554784.609936059</v>
      </c>
      <c r="V539">
        <v>23651200.067585349</v>
      </c>
      <c r="W539">
        <v>21780492.447407544</v>
      </c>
      <c r="X539">
        <v>197161.79285239612</v>
      </c>
      <c r="Y539">
        <v>181567.14787696459</v>
      </c>
      <c r="Z539">
        <v>10666.25992553711</v>
      </c>
      <c r="AA539">
        <v>5445.1231118518863</v>
      </c>
      <c r="AB539">
        <v>92257.078374714853</v>
      </c>
      <c r="AC539">
        <v>125547.84609936058</v>
      </c>
      <c r="AD539">
        <v>217804.92447407544</v>
      </c>
      <c r="AE539">
        <v>1.0858891333469582</v>
      </c>
      <c r="AF539" s="1" t="s">
        <v>136</v>
      </c>
      <c r="AG539" s="1" t="s">
        <v>137</v>
      </c>
      <c r="AH539" s="1" t="s">
        <v>138</v>
      </c>
      <c r="AI539" s="1" t="str">
        <f>_xlfn.TEXTAFTER(_xlfn.TEXTBEFORE(batch_summary[[#This Row],[video]],"_",1),"-",3)</f>
        <v>20</v>
      </c>
      <c r="AJ539" s="1" t="str">
        <f>_xlfn.TEXTBEFORE(_xlfn.TEXTAFTER(batch_summary[[#This Row],[video]],"_",1),"_",1)</f>
        <v>20260310</v>
      </c>
      <c r="AK539" s="1" t="str">
        <f>_xlfn.TEXTBEFORE(_xlfn.TEXTAFTER(batch_summary[[#This Row],[video]],"_",2),".",1)</f>
        <v>120000</v>
      </c>
    </row>
    <row r="540" spans="1:37" x14ac:dyDescent="0.2">
      <c r="A540" s="1" t="s">
        <v>139</v>
      </c>
      <c r="B540" s="1" t="s">
        <v>140</v>
      </c>
      <c r="C540">
        <v>119.95833333333333</v>
      </c>
      <c r="D540">
        <v>2879</v>
      </c>
      <c r="E540">
        <v>0.27954233437776566</v>
      </c>
      <c r="F540">
        <v>43.307341907173395</v>
      </c>
      <c r="G540">
        <v>9.709702479255494E-5</v>
      </c>
      <c r="H540">
        <v>1.504249458394352E-2</v>
      </c>
      <c r="I540">
        <v>5</v>
      </c>
      <c r="J540" t="b">
        <v>1</v>
      </c>
      <c r="K540">
        <v>0.65</v>
      </c>
      <c r="L540">
        <v>1.3</v>
      </c>
      <c r="M540" t="b">
        <v>1</v>
      </c>
      <c r="N540">
        <v>200</v>
      </c>
      <c r="O540" t="b">
        <v>0</v>
      </c>
      <c r="P540" t="b">
        <v>0</v>
      </c>
      <c r="Q540">
        <v>0.7</v>
      </c>
      <c r="R540">
        <v>14606910.084114075</v>
      </c>
      <c r="S540">
        <v>12968990.078292847</v>
      </c>
      <c r="T540">
        <v>13046787.280018568</v>
      </c>
      <c r="U540">
        <v>11358550.97108674</v>
      </c>
      <c r="V540">
        <v>27575900.162406921</v>
      </c>
      <c r="W540">
        <v>24405338.251105309</v>
      </c>
      <c r="X540">
        <v>229878.98711280519</v>
      </c>
      <c r="Y540">
        <v>203448.4605858032</v>
      </c>
      <c r="Z540">
        <v>9799.2073037719729</v>
      </c>
      <c r="AA540">
        <v>6101.3345627763274</v>
      </c>
      <c r="AB540">
        <v>130467.87280018568</v>
      </c>
      <c r="AC540">
        <v>113585.50971086741</v>
      </c>
      <c r="AD540">
        <v>244053.38251105309</v>
      </c>
      <c r="AE540">
        <v>1.1299126395495878</v>
      </c>
      <c r="AF540" s="1" t="s">
        <v>141</v>
      </c>
      <c r="AG540" s="1" t="s">
        <v>142</v>
      </c>
      <c r="AH540" s="1" t="s">
        <v>143</v>
      </c>
      <c r="AI540" s="1" t="str">
        <f>_xlfn.TEXTAFTER(_xlfn.TEXTBEFORE(batch_summary[[#This Row],[video]],"_",1),"-",3)</f>
        <v>20</v>
      </c>
      <c r="AJ540" s="1" t="str">
        <f>_xlfn.TEXTBEFORE(_xlfn.TEXTAFTER(batch_summary[[#This Row],[video]],"_",1),"_",1)</f>
        <v>20260310</v>
      </c>
      <c r="AK540" s="1" t="str">
        <f>_xlfn.TEXTBEFORE(_xlfn.TEXTAFTER(batch_summary[[#This Row],[video]],"_",2),".",1)</f>
        <v>130000</v>
      </c>
    </row>
    <row r="541" spans="1:37" x14ac:dyDescent="0.2">
      <c r="A541" s="1" t="s">
        <v>144</v>
      </c>
      <c r="B541" s="1" t="s">
        <v>145</v>
      </c>
      <c r="C541">
        <v>119.95833333333333</v>
      </c>
      <c r="D541">
        <v>2879</v>
      </c>
      <c r="E541">
        <v>0.27841264568269253</v>
      </c>
      <c r="F541">
        <v>43.492931740358472</v>
      </c>
      <c r="G541">
        <v>9.6704635527159613E-5</v>
      </c>
      <c r="H541">
        <v>1.5106957881333266E-2</v>
      </c>
      <c r="I541">
        <v>5</v>
      </c>
      <c r="J541" t="b">
        <v>1</v>
      </c>
      <c r="K541">
        <v>0.65</v>
      </c>
      <c r="L541">
        <v>1.3</v>
      </c>
      <c r="M541" t="b">
        <v>1</v>
      </c>
      <c r="N541">
        <v>200</v>
      </c>
      <c r="O541" t="b">
        <v>0</v>
      </c>
      <c r="P541" t="b">
        <v>0</v>
      </c>
      <c r="Q541">
        <v>0.7</v>
      </c>
      <c r="R541">
        <v>13271310.165922999</v>
      </c>
      <c r="S541">
        <v>19594835.323952436</v>
      </c>
      <c r="T541">
        <v>12295314.499169827</v>
      </c>
      <c r="U541">
        <v>18528081.626201153</v>
      </c>
      <c r="V541">
        <v>32866145.489875436</v>
      </c>
      <c r="W541">
        <v>30823396.125370979</v>
      </c>
      <c r="X541">
        <v>273979.67758145556</v>
      </c>
      <c r="Y541">
        <v>256950.85342441942</v>
      </c>
      <c r="Z541">
        <v>12497.480183105468</v>
      </c>
      <c r="AA541">
        <v>7705.8490313427446</v>
      </c>
      <c r="AB541">
        <v>122953.14499169827</v>
      </c>
      <c r="AC541">
        <v>185280.81626201153</v>
      </c>
      <c r="AD541">
        <v>308233.9612537098</v>
      </c>
      <c r="AE541">
        <v>1.0662726896217336</v>
      </c>
      <c r="AF541" s="1" t="s">
        <v>146</v>
      </c>
      <c r="AG541" s="1" t="s">
        <v>147</v>
      </c>
      <c r="AH541" s="1" t="s">
        <v>148</v>
      </c>
      <c r="AI541" s="1" t="str">
        <f>_xlfn.TEXTAFTER(_xlfn.TEXTBEFORE(batch_summary[[#This Row],[video]],"_",1),"-",3)</f>
        <v>20</v>
      </c>
      <c r="AJ541" s="1" t="str">
        <f>_xlfn.TEXTBEFORE(_xlfn.TEXTAFTER(batch_summary[[#This Row],[video]],"_",1),"_",1)</f>
        <v>20260310</v>
      </c>
      <c r="AK541" s="1" t="str">
        <f>_xlfn.TEXTBEFORE(_xlfn.TEXTAFTER(batch_summary[[#This Row],[video]],"_",2),".",1)</f>
        <v>140000</v>
      </c>
    </row>
    <row r="542" spans="1:37" x14ac:dyDescent="0.2">
      <c r="A542" s="1" t="s">
        <v>149</v>
      </c>
      <c r="B542" s="1" t="s">
        <v>150</v>
      </c>
      <c r="C542">
        <v>119.95833333333333</v>
      </c>
      <c r="D542">
        <v>2879</v>
      </c>
      <c r="E542">
        <v>0.27542841527611017</v>
      </c>
      <c r="F542">
        <v>43.349040814675391</v>
      </c>
      <c r="G542">
        <v>9.5668084500211942E-5</v>
      </c>
      <c r="H542">
        <v>1.505697840037353E-2</v>
      </c>
      <c r="I542">
        <v>5</v>
      </c>
      <c r="J542" t="b">
        <v>1</v>
      </c>
      <c r="K542">
        <v>0.65</v>
      </c>
      <c r="L542">
        <v>1.3</v>
      </c>
      <c r="M542" t="b">
        <v>1</v>
      </c>
      <c r="N542">
        <v>200</v>
      </c>
      <c r="O542" t="b">
        <v>0</v>
      </c>
      <c r="P542" t="b">
        <v>0</v>
      </c>
      <c r="Q542">
        <v>0.7</v>
      </c>
      <c r="R542">
        <v>18939311.390663147</v>
      </c>
      <c r="S542">
        <v>22237128.321434021</v>
      </c>
      <c r="T542">
        <v>17745314.006789207</v>
      </c>
      <c r="U542">
        <v>21034179.029510498</v>
      </c>
      <c r="V542">
        <v>41176439.712097168</v>
      </c>
      <c r="W542">
        <v>38779493.036299706</v>
      </c>
      <c r="X542">
        <v>343256.18377573189</v>
      </c>
      <c r="Y542">
        <v>323274.69012545777</v>
      </c>
      <c r="Z542">
        <v>12230.84797966957</v>
      </c>
      <c r="AA542">
        <v>9694.873259074926</v>
      </c>
      <c r="AB542">
        <v>177453.14006789206</v>
      </c>
      <c r="AC542">
        <v>210341.79029510499</v>
      </c>
      <c r="AD542">
        <v>387794.93036299705</v>
      </c>
      <c r="AE542">
        <v>1.0618096444312408</v>
      </c>
      <c r="AF542" s="1" t="s">
        <v>151</v>
      </c>
      <c r="AG542" s="1" t="s">
        <v>152</v>
      </c>
      <c r="AH542" s="1" t="s">
        <v>153</v>
      </c>
      <c r="AI542" s="1" t="str">
        <f>_xlfn.TEXTAFTER(_xlfn.TEXTBEFORE(batch_summary[[#This Row],[video]],"_",1),"-",3)</f>
        <v>20</v>
      </c>
      <c r="AJ542" s="1" t="str">
        <f>_xlfn.TEXTBEFORE(_xlfn.TEXTAFTER(batch_summary[[#This Row],[video]],"_",1),"_",1)</f>
        <v>20260310</v>
      </c>
      <c r="AK542" s="1" t="str">
        <f>_xlfn.TEXTBEFORE(_xlfn.TEXTAFTER(batch_summary[[#This Row],[video]],"_",2),".",1)</f>
        <v>150000</v>
      </c>
    </row>
    <row r="543" spans="1:37" x14ac:dyDescent="0.2">
      <c r="A543" s="1" t="s">
        <v>154</v>
      </c>
      <c r="B543" s="1" t="s">
        <v>155</v>
      </c>
      <c r="C543">
        <v>119.95833333333333</v>
      </c>
      <c r="D543">
        <v>2879</v>
      </c>
      <c r="E543">
        <v>0.32813955191522837</v>
      </c>
      <c r="F543">
        <v>44.621254324913025</v>
      </c>
      <c r="G543">
        <v>1.1397691973436206E-4</v>
      </c>
      <c r="H543">
        <v>1.5498872638038563E-2</v>
      </c>
      <c r="I543">
        <v>5</v>
      </c>
      <c r="J543" t="b">
        <v>1</v>
      </c>
      <c r="K543">
        <v>0.65</v>
      </c>
      <c r="L543">
        <v>1.3</v>
      </c>
      <c r="M543" t="b">
        <v>1</v>
      </c>
      <c r="N543">
        <v>200</v>
      </c>
      <c r="O543" t="b">
        <v>0</v>
      </c>
      <c r="P543" t="b">
        <v>0</v>
      </c>
      <c r="Q543">
        <v>0.7</v>
      </c>
      <c r="R543">
        <v>6118453.0836468935</v>
      </c>
      <c r="S543">
        <v>4736021.701399684</v>
      </c>
      <c r="T543">
        <v>5502878.1948617697</v>
      </c>
      <c r="U543">
        <v>4169631.7425405383</v>
      </c>
      <c r="V543">
        <v>10854474.785046577</v>
      </c>
      <c r="W543">
        <v>9672509.937402308</v>
      </c>
      <c r="X543">
        <v>90485.375075066986</v>
      </c>
      <c r="Y543">
        <v>80632.24678626447</v>
      </c>
      <c r="Z543">
        <v>5274.0751547241216</v>
      </c>
      <c r="AA543">
        <v>2418.1274843505771</v>
      </c>
      <c r="AB543">
        <v>55028.781948617696</v>
      </c>
      <c r="AC543">
        <v>41696.317425405381</v>
      </c>
      <c r="AD543">
        <v>96725.099374023077</v>
      </c>
      <c r="AE543">
        <v>1.1221983596081684</v>
      </c>
      <c r="AF543" s="1" t="s">
        <v>156</v>
      </c>
      <c r="AG543" s="1" t="s">
        <v>157</v>
      </c>
      <c r="AH543" s="1" t="s">
        <v>158</v>
      </c>
      <c r="AI543" s="1" t="str">
        <f>_xlfn.TEXTAFTER(_xlfn.TEXTBEFORE(batch_summary[[#This Row],[video]],"_",1),"-",3)</f>
        <v>20</v>
      </c>
      <c r="AJ543" s="1" t="str">
        <f>_xlfn.TEXTBEFORE(_xlfn.TEXTAFTER(batch_summary[[#This Row],[video]],"_",1),"_",1)</f>
        <v>20260310</v>
      </c>
      <c r="AK543" s="1" t="str">
        <f>_xlfn.TEXTBEFORE(_xlfn.TEXTAFTER(batch_summary[[#This Row],[video]],"_",2),".",1)</f>
        <v>160000</v>
      </c>
    </row>
    <row r="544" spans="1:37" x14ac:dyDescent="0.2">
      <c r="A544" s="1" t="s">
        <v>159</v>
      </c>
      <c r="B544" s="1" t="s">
        <v>160</v>
      </c>
      <c r="C544">
        <v>119.95833333333333</v>
      </c>
      <c r="D544">
        <v>2879</v>
      </c>
      <c r="E544">
        <v>0.33660086896270514</v>
      </c>
      <c r="F544">
        <v>44.096202984452248</v>
      </c>
      <c r="G544">
        <v>1.1691589752091183E-4</v>
      </c>
      <c r="H544">
        <v>1.5316499820928186E-2</v>
      </c>
      <c r="I544">
        <v>5</v>
      </c>
      <c r="J544" t="b">
        <v>1</v>
      </c>
      <c r="K544">
        <v>0.65</v>
      </c>
      <c r="L544">
        <v>1.3</v>
      </c>
      <c r="M544" t="b">
        <v>1</v>
      </c>
      <c r="N544">
        <v>200</v>
      </c>
      <c r="O544" t="b">
        <v>0</v>
      </c>
      <c r="P544" t="b">
        <v>0</v>
      </c>
      <c r="Q544">
        <v>0.7</v>
      </c>
      <c r="R544">
        <v>1189603.7043415308</v>
      </c>
      <c r="S544">
        <v>1254237.9311061502</v>
      </c>
      <c r="T544">
        <v>1043817.1697078943</v>
      </c>
      <c r="U544">
        <v>1070942.3687329292</v>
      </c>
      <c r="V544">
        <v>2443841.635447681</v>
      </c>
      <c r="W544">
        <v>2114759.5384408236</v>
      </c>
      <c r="X544">
        <v>20372.420719258196</v>
      </c>
      <c r="Y544">
        <v>17629.117374984289</v>
      </c>
      <c r="Z544">
        <v>3204.1317619657516</v>
      </c>
      <c r="AA544">
        <v>528.68988461020592</v>
      </c>
      <c r="AB544">
        <v>10438.171697078944</v>
      </c>
      <c r="AC544">
        <v>10709.423687329292</v>
      </c>
      <c r="AD544">
        <v>21147.595384408236</v>
      </c>
      <c r="AE544">
        <v>1.1556120641732555</v>
      </c>
      <c r="AF544" s="1" t="s">
        <v>161</v>
      </c>
      <c r="AG544" s="1" t="s">
        <v>162</v>
      </c>
      <c r="AH544" s="1" t="s">
        <v>163</v>
      </c>
      <c r="AI544" s="1" t="str">
        <f>_xlfn.TEXTAFTER(_xlfn.TEXTBEFORE(batch_summary[[#This Row],[video]],"_",1),"-",3)</f>
        <v>20</v>
      </c>
      <c r="AJ544" s="1" t="str">
        <f>_xlfn.TEXTBEFORE(_xlfn.TEXTAFTER(batch_summary[[#This Row],[video]],"_",1),"_",1)</f>
        <v>20260310</v>
      </c>
      <c r="AK544" s="1" t="str">
        <f>_xlfn.TEXTBEFORE(_xlfn.TEXTAFTER(batch_summary[[#This Row],[video]],"_",2),".",1)</f>
        <v>170000</v>
      </c>
    </row>
    <row r="545" spans="1:37" x14ac:dyDescent="0.2">
      <c r="A545" s="1" t="s">
        <v>164</v>
      </c>
      <c r="B545" s="1" t="s">
        <v>165</v>
      </c>
      <c r="C545">
        <v>119.95833333333333</v>
      </c>
      <c r="D545">
        <v>2879</v>
      </c>
      <c r="E545">
        <v>0.32891129422932863</v>
      </c>
      <c r="F545">
        <v>43.5082579376176</v>
      </c>
      <c r="G545">
        <v>1.1424497889174319E-4</v>
      </c>
      <c r="H545">
        <v>1.5112281326022091E-2</v>
      </c>
      <c r="I545">
        <v>5</v>
      </c>
      <c r="J545" t="b">
        <v>1</v>
      </c>
      <c r="K545">
        <v>0.65</v>
      </c>
      <c r="L545">
        <v>1.3</v>
      </c>
      <c r="M545" t="b">
        <v>1</v>
      </c>
      <c r="N545">
        <v>200</v>
      </c>
      <c r="O545" t="b">
        <v>0</v>
      </c>
      <c r="P545" t="b">
        <v>0</v>
      </c>
      <c r="Q545">
        <v>0.7</v>
      </c>
      <c r="R545">
        <v>105896.25287824869</v>
      </c>
      <c r="S545">
        <v>43076.790446162224</v>
      </c>
      <c r="T545">
        <v>65371.852966308594</v>
      </c>
      <c r="U545">
        <v>7473.921875</v>
      </c>
      <c r="V545">
        <v>148973.04332441092</v>
      </c>
      <c r="W545">
        <v>72845.774841308594</v>
      </c>
      <c r="X545">
        <v>1241.8732336873436</v>
      </c>
      <c r="Y545">
        <v>607.25897748919988</v>
      </c>
      <c r="Z545">
        <v>718.12387664794926</v>
      </c>
      <c r="AA545">
        <v>18.211443710327149</v>
      </c>
      <c r="AB545">
        <v>653.71852966308597</v>
      </c>
      <c r="AC545">
        <v>74.739218750000006</v>
      </c>
      <c r="AD545">
        <v>728.45774841308594</v>
      </c>
      <c r="AE545">
        <v>2.0450471375854304</v>
      </c>
      <c r="AF545" s="1" t="s">
        <v>166</v>
      </c>
      <c r="AG545" s="1" t="s">
        <v>167</v>
      </c>
      <c r="AH545" s="1" t="s">
        <v>168</v>
      </c>
      <c r="AI545" s="1" t="str">
        <f>_xlfn.TEXTAFTER(_xlfn.TEXTBEFORE(batch_summary[[#This Row],[video]],"_",1),"-",3)</f>
        <v>20</v>
      </c>
      <c r="AJ545" s="1" t="str">
        <f>_xlfn.TEXTBEFORE(_xlfn.TEXTAFTER(batch_summary[[#This Row],[video]],"_",1),"_",1)</f>
        <v>20260310</v>
      </c>
      <c r="AK545" s="1" t="str">
        <f>_xlfn.TEXTBEFORE(_xlfn.TEXTAFTER(batch_summary[[#This Row],[video]],"_",2),".",1)</f>
        <v>180000</v>
      </c>
    </row>
    <row r="546" spans="1:37" x14ac:dyDescent="0.2">
      <c r="A546" s="1" t="s">
        <v>169</v>
      </c>
      <c r="B546" s="1" t="s">
        <v>170</v>
      </c>
      <c r="C546">
        <v>119.95833333333333</v>
      </c>
      <c r="D546">
        <v>2879</v>
      </c>
      <c r="E546">
        <v>0.34532530605792999</v>
      </c>
      <c r="F546">
        <v>44.133799859322608</v>
      </c>
      <c r="G546">
        <v>1.1994626816878429E-4</v>
      </c>
      <c r="H546">
        <v>1.5329558825745956E-2</v>
      </c>
      <c r="I546">
        <v>5</v>
      </c>
      <c r="J546" t="b">
        <v>1</v>
      </c>
      <c r="K546">
        <v>0.65</v>
      </c>
      <c r="L546">
        <v>1.3</v>
      </c>
      <c r="M546" t="b">
        <v>1</v>
      </c>
      <c r="N546">
        <v>200</v>
      </c>
      <c r="O546" t="b">
        <v>0</v>
      </c>
      <c r="P546" t="b">
        <v>0</v>
      </c>
      <c r="Q546">
        <v>0.7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s="1" t="s">
        <v>171</v>
      </c>
      <c r="AG546" s="1" t="s">
        <v>172</v>
      </c>
      <c r="AH546" s="1" t="s">
        <v>173</v>
      </c>
      <c r="AI546" s="1" t="str">
        <f>_xlfn.TEXTAFTER(_xlfn.TEXTBEFORE(batch_summary[[#This Row],[video]],"_",1),"-",3)</f>
        <v>20</v>
      </c>
      <c r="AJ546" s="1" t="str">
        <f>_xlfn.TEXTBEFORE(_xlfn.TEXTAFTER(batch_summary[[#This Row],[video]],"_",1),"_",1)</f>
        <v>20260310</v>
      </c>
      <c r="AK546" s="1" t="str">
        <f>_xlfn.TEXTBEFORE(_xlfn.TEXTAFTER(batch_summary[[#This Row],[video]],"_",2),".",1)</f>
        <v>190000</v>
      </c>
    </row>
    <row r="547" spans="1:37" x14ac:dyDescent="0.2">
      <c r="A547" s="1" t="s">
        <v>174</v>
      </c>
      <c r="B547" s="1" t="s">
        <v>175</v>
      </c>
      <c r="C547">
        <v>119.95833333333333</v>
      </c>
      <c r="D547">
        <v>2879</v>
      </c>
      <c r="E547">
        <v>0.34678546991199255</v>
      </c>
      <c r="F547">
        <v>43.879159371368587</v>
      </c>
      <c r="G547">
        <v>1.2045344561027876E-4</v>
      </c>
      <c r="H547">
        <v>1.5241111278696973E-2</v>
      </c>
      <c r="I547">
        <v>5</v>
      </c>
      <c r="J547" t="b">
        <v>1</v>
      </c>
      <c r="K547">
        <v>0.65</v>
      </c>
      <c r="L547">
        <v>1.3</v>
      </c>
      <c r="M547" t="b">
        <v>1</v>
      </c>
      <c r="N547">
        <v>200</v>
      </c>
      <c r="O547" t="b">
        <v>0</v>
      </c>
      <c r="P547" t="b">
        <v>0</v>
      </c>
      <c r="Q547">
        <v>0.7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s="1" t="s">
        <v>176</v>
      </c>
      <c r="AG547" s="1" t="s">
        <v>177</v>
      </c>
      <c r="AH547" s="1" t="s">
        <v>178</v>
      </c>
      <c r="AI547" s="1" t="str">
        <f>_xlfn.TEXTAFTER(_xlfn.TEXTBEFORE(batch_summary[[#This Row],[video]],"_",1),"-",3)</f>
        <v>20</v>
      </c>
      <c r="AJ547" s="1" t="str">
        <f>_xlfn.TEXTBEFORE(_xlfn.TEXTAFTER(batch_summary[[#This Row],[video]],"_",1),"_",1)</f>
        <v>20260311</v>
      </c>
      <c r="AK547" s="1" t="str">
        <f>_xlfn.TEXTBEFORE(_xlfn.TEXTAFTER(batch_summary[[#This Row],[video]],"_",2),".",1)</f>
        <v>060000</v>
      </c>
    </row>
    <row r="548" spans="1:37" x14ac:dyDescent="0.2">
      <c r="A548" s="1" t="s">
        <v>179</v>
      </c>
      <c r="B548" s="1" t="s">
        <v>180</v>
      </c>
      <c r="C548">
        <v>119.95833333333333</v>
      </c>
      <c r="D548">
        <v>2879</v>
      </c>
      <c r="E548">
        <v>0.32386788818985224</v>
      </c>
      <c r="F548">
        <v>43.677311555482447</v>
      </c>
      <c r="G548">
        <v>1.1249318797841342E-4</v>
      </c>
      <c r="H548">
        <v>1.5171000887628499E-2</v>
      </c>
      <c r="I548">
        <v>5</v>
      </c>
      <c r="J548" t="b">
        <v>1</v>
      </c>
      <c r="K548">
        <v>0.65</v>
      </c>
      <c r="L548">
        <v>1.3</v>
      </c>
      <c r="M548" t="b">
        <v>1</v>
      </c>
      <c r="N548">
        <v>200</v>
      </c>
      <c r="O548" t="b">
        <v>0</v>
      </c>
      <c r="P548" t="b">
        <v>0</v>
      </c>
      <c r="Q548">
        <v>0.7</v>
      </c>
      <c r="R548">
        <v>12655.200394630432</v>
      </c>
      <c r="S548">
        <v>15397.080409169197</v>
      </c>
      <c r="T548">
        <v>0</v>
      </c>
      <c r="U548">
        <v>0</v>
      </c>
      <c r="V548">
        <v>28052.280803799629</v>
      </c>
      <c r="W548">
        <v>0</v>
      </c>
      <c r="X548">
        <v>233.85020468606848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28052280803.799629</v>
      </c>
      <c r="AF548" s="1" t="s">
        <v>181</v>
      </c>
      <c r="AG548" s="1" t="s">
        <v>182</v>
      </c>
      <c r="AH548" s="1" t="s">
        <v>183</v>
      </c>
      <c r="AI548" s="1" t="str">
        <f>_xlfn.TEXTAFTER(_xlfn.TEXTBEFORE(batch_summary[[#This Row],[video]],"_",1),"-",3)</f>
        <v>20</v>
      </c>
      <c r="AJ548" s="1" t="str">
        <f>_xlfn.TEXTBEFORE(_xlfn.TEXTAFTER(batch_summary[[#This Row],[video]],"_",1),"_",1)</f>
        <v>20260311</v>
      </c>
      <c r="AK548" s="1" t="str">
        <f>_xlfn.TEXTBEFORE(_xlfn.TEXTAFTER(batch_summary[[#This Row],[video]],"_",2),".",1)</f>
        <v>070000</v>
      </c>
    </row>
    <row r="549" spans="1:37" x14ac:dyDescent="0.2">
      <c r="A549" s="1" t="s">
        <v>184</v>
      </c>
      <c r="B549" s="1" t="s">
        <v>185</v>
      </c>
      <c r="C549">
        <v>119.95833333333333</v>
      </c>
      <c r="D549">
        <v>2879</v>
      </c>
      <c r="E549">
        <v>0.32499009650200605</v>
      </c>
      <c r="F549">
        <v>43.300970337353647</v>
      </c>
      <c r="G549">
        <v>1.1288297898645574E-4</v>
      </c>
      <c r="H549">
        <v>1.5040281464867539E-2</v>
      </c>
      <c r="I549">
        <v>5</v>
      </c>
      <c r="J549" t="b">
        <v>1</v>
      </c>
      <c r="K549">
        <v>0.65</v>
      </c>
      <c r="L549">
        <v>1.3</v>
      </c>
      <c r="M549" t="b">
        <v>1</v>
      </c>
      <c r="N549">
        <v>200</v>
      </c>
      <c r="O549" t="b">
        <v>0</v>
      </c>
      <c r="P549" t="b">
        <v>0</v>
      </c>
      <c r="Q549">
        <v>0.7</v>
      </c>
      <c r="R549">
        <v>14467.171530604362</v>
      </c>
      <c r="S549">
        <v>14643.924076020718</v>
      </c>
      <c r="T549">
        <v>0</v>
      </c>
      <c r="U549">
        <v>339.1519775390625</v>
      </c>
      <c r="V549">
        <v>29111.09560662508</v>
      </c>
      <c r="W549">
        <v>339.1519775390625</v>
      </c>
      <c r="X549">
        <v>242.67672614067453</v>
      </c>
      <c r="Y549">
        <v>2.8272481628820771</v>
      </c>
      <c r="Z549">
        <v>3.3915197753906252</v>
      </c>
      <c r="AA549">
        <v>8.4787994384765628E-2</v>
      </c>
      <c r="AB549">
        <v>0</v>
      </c>
      <c r="AC549">
        <v>3.3915197753906252</v>
      </c>
      <c r="AD549">
        <v>3.3915197753906252</v>
      </c>
      <c r="AE549">
        <v>85.834957584088244</v>
      </c>
      <c r="AF549" s="1" t="s">
        <v>186</v>
      </c>
      <c r="AG549" s="1" t="s">
        <v>187</v>
      </c>
      <c r="AH549" s="1" t="s">
        <v>188</v>
      </c>
      <c r="AI549" s="1" t="str">
        <f>_xlfn.TEXTAFTER(_xlfn.TEXTBEFORE(batch_summary[[#This Row],[video]],"_",1),"-",3)</f>
        <v>20</v>
      </c>
      <c r="AJ549" s="1" t="str">
        <f>_xlfn.TEXTBEFORE(_xlfn.TEXTAFTER(batch_summary[[#This Row],[video]],"_",1),"_",1)</f>
        <v>20260311</v>
      </c>
      <c r="AK549" s="1" t="str">
        <f>_xlfn.TEXTBEFORE(_xlfn.TEXTAFTER(batch_summary[[#This Row],[video]],"_",2),".",1)</f>
        <v>080000</v>
      </c>
    </row>
    <row r="550" spans="1:37" x14ac:dyDescent="0.2">
      <c r="A550" s="1" t="s">
        <v>189</v>
      </c>
      <c r="B550" s="1" t="s">
        <v>190</v>
      </c>
      <c r="C550">
        <v>119.95833333333333</v>
      </c>
      <c r="D550">
        <v>2879</v>
      </c>
      <c r="E550">
        <v>0.32948734518140554</v>
      </c>
      <c r="F550">
        <v>43.391807266511023</v>
      </c>
      <c r="G550">
        <v>1.1444506605814712E-4</v>
      </c>
      <c r="H550">
        <v>1.5071833020670727E-2</v>
      </c>
      <c r="I550">
        <v>5</v>
      </c>
      <c r="J550" t="b">
        <v>1</v>
      </c>
      <c r="K550">
        <v>0.65</v>
      </c>
      <c r="L550">
        <v>1.3</v>
      </c>
      <c r="M550" t="b">
        <v>1</v>
      </c>
      <c r="N550">
        <v>200</v>
      </c>
      <c r="O550" t="b">
        <v>0</v>
      </c>
      <c r="P550" t="b">
        <v>0</v>
      </c>
      <c r="Q550">
        <v>0.7</v>
      </c>
      <c r="R550">
        <v>137455.10752987862</v>
      </c>
      <c r="S550">
        <v>98950.360541343689</v>
      </c>
      <c r="T550">
        <v>105805.47229003906</v>
      </c>
      <c r="U550">
        <v>68251.948425292969</v>
      </c>
      <c r="V550">
        <v>236405.46807122231</v>
      </c>
      <c r="W550">
        <v>174057.42071533203</v>
      </c>
      <c r="X550">
        <v>1970.729848457567</v>
      </c>
      <c r="Y550">
        <v>1450.9823192664012</v>
      </c>
      <c r="Z550">
        <v>1048.894306488037</v>
      </c>
      <c r="AA550">
        <v>43.514355178833014</v>
      </c>
      <c r="AB550">
        <v>1058.0547229003905</v>
      </c>
      <c r="AC550">
        <v>682.51948425292971</v>
      </c>
      <c r="AD550">
        <v>1740.5742071533202</v>
      </c>
      <c r="AE550">
        <v>1.3582039024803167</v>
      </c>
      <c r="AF550" s="1" t="s">
        <v>191</v>
      </c>
      <c r="AG550" s="1" t="s">
        <v>192</v>
      </c>
      <c r="AH550" s="1" t="s">
        <v>193</v>
      </c>
      <c r="AI550" s="1" t="str">
        <f>_xlfn.TEXTAFTER(_xlfn.TEXTBEFORE(batch_summary[[#This Row],[video]],"_",1),"-",3)</f>
        <v>20</v>
      </c>
      <c r="AJ550" s="1" t="str">
        <f>_xlfn.TEXTBEFORE(_xlfn.TEXTAFTER(batch_summary[[#This Row],[video]],"_",1),"_",1)</f>
        <v>20260311</v>
      </c>
      <c r="AK550" s="1" t="str">
        <f>_xlfn.TEXTBEFORE(_xlfn.TEXTAFTER(batch_summary[[#This Row],[video]],"_",2),".",1)</f>
        <v>090000</v>
      </c>
    </row>
    <row r="551" spans="1:37" x14ac:dyDescent="0.2">
      <c r="A551" s="1" t="s">
        <v>194</v>
      </c>
      <c r="B551" s="1" t="s">
        <v>195</v>
      </c>
      <c r="C551">
        <v>119.95833333333333</v>
      </c>
      <c r="D551">
        <v>2879</v>
      </c>
      <c r="E551">
        <v>0.33840509690344334</v>
      </c>
      <c r="F551">
        <v>44.221086625009775</v>
      </c>
      <c r="G551">
        <v>1.1754258315506889E-4</v>
      </c>
      <c r="H551">
        <v>1.5359877257731773E-2</v>
      </c>
      <c r="I551">
        <v>5</v>
      </c>
      <c r="J551" t="b">
        <v>1</v>
      </c>
      <c r="K551">
        <v>0.65</v>
      </c>
      <c r="L551">
        <v>1.3</v>
      </c>
      <c r="M551" t="b">
        <v>1</v>
      </c>
      <c r="N551">
        <v>200</v>
      </c>
      <c r="O551" t="b">
        <v>0</v>
      </c>
      <c r="P551" t="b">
        <v>0</v>
      </c>
      <c r="Q551">
        <v>0.7</v>
      </c>
      <c r="R551">
        <v>740435.54124635458</v>
      </c>
      <c r="S551">
        <v>896097.43133860826</v>
      </c>
      <c r="T551">
        <v>552399.66689729691</v>
      </c>
      <c r="U551">
        <v>716627.39917731285</v>
      </c>
      <c r="V551">
        <v>1636532.9725849628</v>
      </c>
      <c r="W551">
        <v>1269027.0660746098</v>
      </c>
      <c r="X551">
        <v>13642.511754789548</v>
      </c>
      <c r="Y551">
        <v>10578.898779364583</v>
      </c>
      <c r="Z551">
        <v>1445.3395596241951</v>
      </c>
      <c r="AA551">
        <v>317.25676651865246</v>
      </c>
      <c r="AB551">
        <v>5523.996668972969</v>
      </c>
      <c r="AC551">
        <v>7166.2739917731287</v>
      </c>
      <c r="AD551">
        <v>12690.270660746097</v>
      </c>
      <c r="AE551">
        <v>1.2895965864992405</v>
      </c>
      <c r="AF551" s="1" t="s">
        <v>196</v>
      </c>
      <c r="AG551" s="1" t="s">
        <v>197</v>
      </c>
      <c r="AH551" s="1" t="s">
        <v>198</v>
      </c>
      <c r="AI551" s="1" t="str">
        <f>_xlfn.TEXTAFTER(_xlfn.TEXTBEFORE(batch_summary[[#This Row],[video]],"_",1),"-",3)</f>
        <v>20</v>
      </c>
      <c r="AJ551" s="1" t="str">
        <f>_xlfn.TEXTBEFORE(_xlfn.TEXTAFTER(batch_summary[[#This Row],[video]],"_",1),"_",1)</f>
        <v>20260311</v>
      </c>
      <c r="AK551" s="1" t="str">
        <f>_xlfn.TEXTBEFORE(_xlfn.TEXTAFTER(batch_summary[[#This Row],[video]],"_",2),".",1)</f>
        <v>100000</v>
      </c>
    </row>
    <row r="552" spans="1:37" x14ac:dyDescent="0.2">
      <c r="A552" s="1" t="s">
        <v>199</v>
      </c>
      <c r="B552" s="1" t="s">
        <v>200</v>
      </c>
      <c r="C552">
        <v>119.95833333333333</v>
      </c>
      <c r="D552">
        <v>2879</v>
      </c>
      <c r="E552">
        <v>0.33522735722362995</v>
      </c>
      <c r="F552">
        <v>43.907668003812432</v>
      </c>
      <c r="G552">
        <v>1.1643881807003471E-4</v>
      </c>
      <c r="H552">
        <v>1.5251013547694488E-2</v>
      </c>
      <c r="I552">
        <v>5</v>
      </c>
      <c r="J552" t="b">
        <v>1</v>
      </c>
      <c r="K552">
        <v>0.65</v>
      </c>
      <c r="L552">
        <v>1.3</v>
      </c>
      <c r="M552" t="b">
        <v>1</v>
      </c>
      <c r="N552">
        <v>200</v>
      </c>
      <c r="O552" t="b">
        <v>0</v>
      </c>
      <c r="P552" t="b">
        <v>0</v>
      </c>
      <c r="Q552">
        <v>0.7</v>
      </c>
      <c r="R552">
        <v>398162.61015105247</v>
      </c>
      <c r="S552">
        <v>297773.20936870575</v>
      </c>
      <c r="T552">
        <v>333926.39205932617</v>
      </c>
      <c r="U552">
        <v>225690.26144123077</v>
      </c>
      <c r="V552">
        <v>695935.81951975822</v>
      </c>
      <c r="W552">
        <v>559616.65350055695</v>
      </c>
      <c r="X552">
        <v>5801.4795652914891</v>
      </c>
      <c r="Y552">
        <v>4665.0919360935632</v>
      </c>
      <c r="Z552">
        <v>2114.5500168704984</v>
      </c>
      <c r="AA552">
        <v>139.90416337513923</v>
      </c>
      <c r="AB552">
        <v>3339.2639205932619</v>
      </c>
      <c r="AC552">
        <v>2256.9026144123077</v>
      </c>
      <c r="AD552">
        <v>5596.16653500557</v>
      </c>
      <c r="AE552">
        <v>1.2435938336832673</v>
      </c>
      <c r="AF552" s="1" t="s">
        <v>201</v>
      </c>
      <c r="AG552" s="1" t="s">
        <v>202</v>
      </c>
      <c r="AH552" s="1" t="s">
        <v>203</v>
      </c>
      <c r="AI552" s="1" t="str">
        <f>_xlfn.TEXTAFTER(_xlfn.TEXTBEFORE(batch_summary[[#This Row],[video]],"_",1),"-",3)</f>
        <v>20</v>
      </c>
      <c r="AJ552" s="1" t="str">
        <f>_xlfn.TEXTBEFORE(_xlfn.TEXTAFTER(batch_summary[[#This Row],[video]],"_",1),"_",1)</f>
        <v>20260311</v>
      </c>
      <c r="AK552" s="1" t="str">
        <f>_xlfn.TEXTBEFORE(_xlfn.TEXTAFTER(batch_summary[[#This Row],[video]],"_",2),".",1)</f>
        <v>110000</v>
      </c>
    </row>
    <row r="553" spans="1:37" x14ac:dyDescent="0.2">
      <c r="A553" s="1" t="s">
        <v>204</v>
      </c>
      <c r="B553" s="1" t="s">
        <v>205</v>
      </c>
      <c r="C553">
        <v>119.95833333333333</v>
      </c>
      <c r="D553">
        <v>2879</v>
      </c>
      <c r="E553">
        <v>0.27701445389539003</v>
      </c>
      <c r="F553">
        <v>43.566168525256217</v>
      </c>
      <c r="G553">
        <v>9.6218983638551598E-5</v>
      </c>
      <c r="H553">
        <v>1.5132396153267181E-2</v>
      </c>
      <c r="I553">
        <v>5</v>
      </c>
      <c r="J553" t="b">
        <v>1</v>
      </c>
      <c r="K553">
        <v>0.65</v>
      </c>
      <c r="L553">
        <v>1.3</v>
      </c>
      <c r="M553" t="b">
        <v>1</v>
      </c>
      <c r="N553">
        <v>200</v>
      </c>
      <c r="O553" t="b">
        <v>0</v>
      </c>
      <c r="P553" t="b">
        <v>0</v>
      </c>
      <c r="Q553">
        <v>0.7</v>
      </c>
      <c r="R553">
        <v>18162907.091733217</v>
      </c>
      <c r="S553">
        <v>20289872.324550867</v>
      </c>
      <c r="T553">
        <v>16903976.627510071</v>
      </c>
      <c r="U553">
        <v>18950519.324689567</v>
      </c>
      <c r="V553">
        <v>38452779.416284084</v>
      </c>
      <c r="W553">
        <v>35854495.952199638</v>
      </c>
      <c r="X553">
        <v>320551.13094505662</v>
      </c>
      <c r="Y553">
        <v>298891.24795164686</v>
      </c>
      <c r="Z553">
        <v>12838.251691589356</v>
      </c>
      <c r="AA553">
        <v>8963.6239880499088</v>
      </c>
      <c r="AB553">
        <v>169039.7662751007</v>
      </c>
      <c r="AC553">
        <v>189505.19324689568</v>
      </c>
      <c r="AD553">
        <v>358544.95952199638</v>
      </c>
      <c r="AE553">
        <v>1.0724674380459402</v>
      </c>
      <c r="AF553" s="1" t="s">
        <v>206</v>
      </c>
      <c r="AG553" s="1" t="s">
        <v>207</v>
      </c>
      <c r="AH553" s="1" t="s">
        <v>208</v>
      </c>
      <c r="AI553" s="1" t="str">
        <f>_xlfn.TEXTAFTER(_xlfn.TEXTBEFORE(batch_summary[[#This Row],[video]],"_",1),"-",3)</f>
        <v>20</v>
      </c>
      <c r="AJ553" s="1" t="str">
        <f>_xlfn.TEXTBEFORE(_xlfn.TEXTAFTER(batch_summary[[#This Row],[video]],"_",1),"_",1)</f>
        <v>20260311</v>
      </c>
      <c r="AK553" s="1" t="str">
        <f>_xlfn.TEXTBEFORE(_xlfn.TEXTAFTER(batch_summary[[#This Row],[video]],"_",2),".",1)</f>
        <v>120000</v>
      </c>
    </row>
    <row r="554" spans="1:37" x14ac:dyDescent="0.2">
      <c r="A554" s="1" t="s">
        <v>209</v>
      </c>
      <c r="B554" s="1" t="s">
        <v>210</v>
      </c>
      <c r="C554">
        <v>119.95833333333333</v>
      </c>
      <c r="D554">
        <v>2879</v>
      </c>
      <c r="E554">
        <v>0.28365231119096279</v>
      </c>
      <c r="F554">
        <v>43.49770506285131</v>
      </c>
      <c r="G554">
        <v>9.8524595759278492E-5</v>
      </c>
      <c r="H554">
        <v>1.5108615860663879E-2</v>
      </c>
      <c r="I554">
        <v>5</v>
      </c>
      <c r="J554" t="b">
        <v>1</v>
      </c>
      <c r="K554">
        <v>0.65</v>
      </c>
      <c r="L554">
        <v>1.3</v>
      </c>
      <c r="M554" t="b">
        <v>1</v>
      </c>
      <c r="N554">
        <v>200</v>
      </c>
      <c r="O554" t="b">
        <v>0</v>
      </c>
      <c r="P554" t="b">
        <v>0</v>
      </c>
      <c r="Q554">
        <v>0.7</v>
      </c>
      <c r="R554">
        <v>18265886.488962173</v>
      </c>
      <c r="S554">
        <v>18488505.7162323</v>
      </c>
      <c r="T554">
        <v>17011567.198464155</v>
      </c>
      <c r="U554">
        <v>17178870.451362908</v>
      </c>
      <c r="V554">
        <v>36754392.205194473</v>
      </c>
      <c r="W554">
        <v>34190437.649827063</v>
      </c>
      <c r="X554">
        <v>306392.98816417763</v>
      </c>
      <c r="Y554">
        <v>285019.2787759116</v>
      </c>
      <c r="Z554">
        <v>13298.020649414062</v>
      </c>
      <c r="AA554">
        <v>8547.6094124567662</v>
      </c>
      <c r="AB554">
        <v>170115.67198464155</v>
      </c>
      <c r="AC554">
        <v>171788.70451362908</v>
      </c>
      <c r="AD554">
        <v>341904.37649827066</v>
      </c>
      <c r="AE554">
        <v>1.0749903988251632</v>
      </c>
      <c r="AF554" s="1" t="s">
        <v>211</v>
      </c>
      <c r="AG554" s="1" t="s">
        <v>212</v>
      </c>
      <c r="AH554" s="1" t="s">
        <v>213</v>
      </c>
      <c r="AI554" s="1" t="str">
        <f>_xlfn.TEXTAFTER(_xlfn.TEXTBEFORE(batch_summary[[#This Row],[video]],"_",1),"-",3)</f>
        <v>20</v>
      </c>
      <c r="AJ554" s="1" t="str">
        <f>_xlfn.TEXTBEFORE(_xlfn.TEXTAFTER(batch_summary[[#This Row],[video]],"_",1),"_",1)</f>
        <v>20260311</v>
      </c>
      <c r="AK554" s="1" t="str">
        <f>_xlfn.TEXTBEFORE(_xlfn.TEXTAFTER(batch_summary[[#This Row],[video]],"_",2),".",1)</f>
        <v>130000</v>
      </c>
    </row>
    <row r="555" spans="1:37" x14ac:dyDescent="0.2">
      <c r="A555" s="1" t="s">
        <v>214</v>
      </c>
      <c r="B555" s="1" t="s">
        <v>215</v>
      </c>
      <c r="C555">
        <v>119.95833333333333</v>
      </c>
      <c r="D555">
        <v>2879</v>
      </c>
      <c r="E555">
        <v>0.28475020546466112</v>
      </c>
      <c r="F555">
        <v>43.436240365728736</v>
      </c>
      <c r="G555">
        <v>9.8905941460458884E-5</v>
      </c>
      <c r="H555">
        <v>1.5087266538981847E-2</v>
      </c>
      <c r="I555">
        <v>5</v>
      </c>
      <c r="J555" t="b">
        <v>1</v>
      </c>
      <c r="K555">
        <v>0.65</v>
      </c>
      <c r="L555">
        <v>1.3</v>
      </c>
      <c r="M555" t="b">
        <v>1</v>
      </c>
      <c r="N555">
        <v>200</v>
      </c>
      <c r="O555" t="b">
        <v>0</v>
      </c>
      <c r="P555" t="b">
        <v>0</v>
      </c>
      <c r="Q555">
        <v>0.7</v>
      </c>
      <c r="R555">
        <v>25387540.0859375</v>
      </c>
      <c r="S555">
        <v>25318897.126525879</v>
      </c>
      <c r="T555">
        <v>24484298.502990723</v>
      </c>
      <c r="U555">
        <v>24396392.012702942</v>
      </c>
      <c r="V555">
        <v>50706437.212463379</v>
      </c>
      <c r="W555">
        <v>48880690.515693665</v>
      </c>
      <c r="X555">
        <v>422700.41441442206</v>
      </c>
      <c r="Y555">
        <v>407480.57394117682</v>
      </c>
      <c r="Z555">
        <v>15466.619791259765</v>
      </c>
      <c r="AA555">
        <v>12220.172628923416</v>
      </c>
      <c r="AB555">
        <v>244842.98502990723</v>
      </c>
      <c r="AC555">
        <v>243963.92012702941</v>
      </c>
      <c r="AD555">
        <v>488806.90515693661</v>
      </c>
      <c r="AE555">
        <v>1.0373510823498604</v>
      </c>
      <c r="AF555" s="1" t="s">
        <v>216</v>
      </c>
      <c r="AG555" s="1" t="s">
        <v>217</v>
      </c>
      <c r="AH555" s="1" t="s">
        <v>218</v>
      </c>
      <c r="AI555" s="1" t="str">
        <f>_xlfn.TEXTAFTER(_xlfn.TEXTBEFORE(batch_summary[[#This Row],[video]],"_",1),"-",3)</f>
        <v>20</v>
      </c>
      <c r="AJ555" s="1" t="str">
        <f>_xlfn.TEXTBEFORE(_xlfn.TEXTAFTER(batch_summary[[#This Row],[video]],"_",1),"_",1)</f>
        <v>20260311</v>
      </c>
      <c r="AK555" s="1" t="str">
        <f>_xlfn.TEXTBEFORE(_xlfn.TEXTAFTER(batch_summary[[#This Row],[video]],"_",2),".",1)</f>
        <v>140000</v>
      </c>
    </row>
    <row r="556" spans="1:37" x14ac:dyDescent="0.2">
      <c r="A556" s="1" t="s">
        <v>219</v>
      </c>
      <c r="B556" s="1" t="s">
        <v>220</v>
      </c>
      <c r="C556">
        <v>119.95833333333333</v>
      </c>
      <c r="D556">
        <v>2879</v>
      </c>
      <c r="E556">
        <v>0.28136561717838049</v>
      </c>
      <c r="F556">
        <v>43.67985968478024</v>
      </c>
      <c r="G556">
        <v>9.7730328995616707E-5</v>
      </c>
      <c r="H556">
        <v>1.51718859620633E-2</v>
      </c>
      <c r="I556">
        <v>5</v>
      </c>
      <c r="J556" t="b">
        <v>1</v>
      </c>
      <c r="K556">
        <v>0.65</v>
      </c>
      <c r="L556">
        <v>1.3</v>
      </c>
      <c r="M556" t="b">
        <v>1</v>
      </c>
      <c r="N556">
        <v>200</v>
      </c>
      <c r="O556" t="b">
        <v>0</v>
      </c>
      <c r="P556" t="b">
        <v>0</v>
      </c>
      <c r="Q556">
        <v>0.7</v>
      </c>
      <c r="R556">
        <v>15799509.248706102</v>
      </c>
      <c r="S556">
        <v>14418570.812782764</v>
      </c>
      <c r="T556">
        <v>14754762.010737479</v>
      </c>
      <c r="U556">
        <v>13398299.26304549</v>
      </c>
      <c r="V556">
        <v>30218080.061488867</v>
      </c>
      <c r="W556">
        <v>28153061.273782969</v>
      </c>
      <c r="X556">
        <v>251904.80079045947</v>
      </c>
      <c r="Y556">
        <v>234690.33364737453</v>
      </c>
      <c r="Z556">
        <v>9946.8904272460932</v>
      </c>
      <c r="AA556">
        <v>7038.2653184457422</v>
      </c>
      <c r="AB556">
        <v>147547.62010737479</v>
      </c>
      <c r="AC556">
        <v>133982.99263045489</v>
      </c>
      <c r="AD556">
        <v>281530.61273782968</v>
      </c>
      <c r="AE556">
        <v>1.0733497067201325</v>
      </c>
      <c r="AF556" s="1" t="s">
        <v>221</v>
      </c>
      <c r="AG556" s="1" t="s">
        <v>222</v>
      </c>
      <c r="AH556" s="1" t="s">
        <v>223</v>
      </c>
      <c r="AI556" s="1" t="str">
        <f>_xlfn.TEXTAFTER(_xlfn.TEXTBEFORE(batch_summary[[#This Row],[video]],"_",1),"-",3)</f>
        <v>20</v>
      </c>
      <c r="AJ556" s="1" t="str">
        <f>_xlfn.TEXTBEFORE(_xlfn.TEXTAFTER(batch_summary[[#This Row],[video]],"_",1),"_",1)</f>
        <v>20260311</v>
      </c>
      <c r="AK556" s="1" t="str">
        <f>_xlfn.TEXTBEFORE(_xlfn.TEXTAFTER(batch_summary[[#This Row],[video]],"_",2),".",1)</f>
        <v>150000</v>
      </c>
    </row>
    <row r="557" spans="1:37" x14ac:dyDescent="0.2">
      <c r="A557" s="1" t="s">
        <v>224</v>
      </c>
      <c r="B557" s="1" t="s">
        <v>225</v>
      </c>
      <c r="C557">
        <v>119.95833333333333</v>
      </c>
      <c r="D557">
        <v>2879</v>
      </c>
      <c r="E557">
        <v>0.32583854719996452</v>
      </c>
      <c r="F557">
        <v>44.873772296123207</v>
      </c>
      <c r="G557">
        <v>1.131776822507692E-4</v>
      </c>
      <c r="H557">
        <v>1.5586582944120599E-2</v>
      </c>
      <c r="I557">
        <v>5</v>
      </c>
      <c r="J557" t="b">
        <v>1</v>
      </c>
      <c r="K557">
        <v>0.65</v>
      </c>
      <c r="L557">
        <v>1.3</v>
      </c>
      <c r="M557" t="b">
        <v>1</v>
      </c>
      <c r="N557">
        <v>200</v>
      </c>
      <c r="O557" t="b">
        <v>0</v>
      </c>
      <c r="P557" t="b">
        <v>0</v>
      </c>
      <c r="Q557">
        <v>0.7</v>
      </c>
      <c r="R557">
        <v>9501524.8187835813</v>
      </c>
      <c r="S557">
        <v>4935176.2684056163</v>
      </c>
      <c r="T557">
        <v>8710506.1885842085</v>
      </c>
      <c r="U557">
        <v>4318186.4865849614</v>
      </c>
      <c r="V557">
        <v>14436701.087189198</v>
      </c>
      <c r="W557">
        <v>13028692.67516917</v>
      </c>
      <c r="X557">
        <v>120347.62976468939</v>
      </c>
      <c r="Y557">
        <v>108610.15081766588</v>
      </c>
      <c r="Z557">
        <v>6407.3370856499678</v>
      </c>
      <c r="AA557">
        <v>3257.173168792292</v>
      </c>
      <c r="AB557">
        <v>87105.061885842078</v>
      </c>
      <c r="AC557">
        <v>43181.864865849617</v>
      </c>
      <c r="AD557">
        <v>130286.9267516917</v>
      </c>
      <c r="AE557">
        <v>1.1080698153778308</v>
      </c>
      <c r="AF557" s="1" t="s">
        <v>226</v>
      </c>
      <c r="AG557" s="1" t="s">
        <v>227</v>
      </c>
      <c r="AH557" s="1" t="s">
        <v>228</v>
      </c>
      <c r="AI557" s="1" t="str">
        <f>_xlfn.TEXTAFTER(_xlfn.TEXTBEFORE(batch_summary[[#This Row],[video]],"_",1),"-",3)</f>
        <v>20</v>
      </c>
      <c r="AJ557" s="1" t="str">
        <f>_xlfn.TEXTBEFORE(_xlfn.TEXTAFTER(batch_summary[[#This Row],[video]],"_",1),"_",1)</f>
        <v>20260311</v>
      </c>
      <c r="AK557" s="1" t="str">
        <f>_xlfn.TEXTBEFORE(_xlfn.TEXTAFTER(batch_summary[[#This Row],[video]],"_",2),".",1)</f>
        <v>160000</v>
      </c>
    </row>
    <row r="558" spans="1:37" x14ac:dyDescent="0.2">
      <c r="A558" s="1" t="s">
        <v>229</v>
      </c>
      <c r="B558" s="1" t="s">
        <v>230</v>
      </c>
      <c r="C558">
        <v>119.95833333333333</v>
      </c>
      <c r="D558">
        <v>2879</v>
      </c>
      <c r="E558">
        <v>0.35202435031533241</v>
      </c>
      <c r="F558">
        <v>45.050559881143272</v>
      </c>
      <c r="G558">
        <v>1.2227313314183133E-4</v>
      </c>
      <c r="H558">
        <v>1.5647988843745492E-2</v>
      </c>
      <c r="I558">
        <v>5</v>
      </c>
      <c r="J558" t="b">
        <v>1</v>
      </c>
      <c r="K558">
        <v>0.65</v>
      </c>
      <c r="L558">
        <v>1.3</v>
      </c>
      <c r="M558" t="b">
        <v>1</v>
      </c>
      <c r="N558">
        <v>200</v>
      </c>
      <c r="O558" t="b">
        <v>0</v>
      </c>
      <c r="P558" t="b">
        <v>0</v>
      </c>
      <c r="Q558">
        <v>0.7</v>
      </c>
      <c r="R558">
        <v>4249190.9971368909</v>
      </c>
      <c r="S558">
        <v>2795506.4009979963</v>
      </c>
      <c r="T558">
        <v>3849515.6113328934</v>
      </c>
      <c r="U558">
        <v>2479401.5306272507</v>
      </c>
      <c r="V558">
        <v>7044697.3981348872</v>
      </c>
      <c r="W558">
        <v>6328917.141960144</v>
      </c>
      <c r="X558">
        <v>58726.202693726053</v>
      </c>
      <c r="Y558">
        <v>52759.295382786891</v>
      </c>
      <c r="Z558">
        <v>5399.0063339614871</v>
      </c>
      <c r="AA558">
        <v>1582.2292854900361</v>
      </c>
      <c r="AB558">
        <v>38495.156113328936</v>
      </c>
      <c r="AC558">
        <v>24794.015306272508</v>
      </c>
      <c r="AD558">
        <v>63289.171419601444</v>
      </c>
      <c r="AE558">
        <v>1.1130967968326186</v>
      </c>
      <c r="AF558" s="1" t="s">
        <v>231</v>
      </c>
      <c r="AG558" s="1" t="s">
        <v>232</v>
      </c>
      <c r="AH558" s="1" t="s">
        <v>233</v>
      </c>
      <c r="AI558" s="1" t="str">
        <f>_xlfn.TEXTAFTER(_xlfn.TEXTBEFORE(batch_summary[[#This Row],[video]],"_",1),"-",3)</f>
        <v>20</v>
      </c>
      <c r="AJ558" s="1" t="str">
        <f>_xlfn.TEXTBEFORE(_xlfn.TEXTAFTER(batch_summary[[#This Row],[video]],"_",1),"_",1)</f>
        <v>20260311</v>
      </c>
      <c r="AK558" s="1" t="str">
        <f>_xlfn.TEXTBEFORE(_xlfn.TEXTAFTER(batch_summary[[#This Row],[video]],"_",2),".",1)</f>
        <v>170000</v>
      </c>
    </row>
    <row r="559" spans="1:37" x14ac:dyDescent="0.2">
      <c r="A559" s="1" t="s">
        <v>234</v>
      </c>
      <c r="B559" s="1" t="s">
        <v>235</v>
      </c>
      <c r="C559">
        <v>119.95833333333333</v>
      </c>
      <c r="D559">
        <v>2879</v>
      </c>
      <c r="E559">
        <v>0.33986202348023653</v>
      </c>
      <c r="F559">
        <v>44.173137377947569</v>
      </c>
      <c r="G559">
        <v>1.1804863615152364E-4</v>
      </c>
      <c r="H559">
        <v>1.5343222430686894E-2</v>
      </c>
      <c r="I559">
        <v>5</v>
      </c>
      <c r="J559" t="b">
        <v>1</v>
      </c>
      <c r="K559">
        <v>0.65</v>
      </c>
      <c r="L559">
        <v>1.3</v>
      </c>
      <c r="M559" t="b">
        <v>1</v>
      </c>
      <c r="N559">
        <v>200</v>
      </c>
      <c r="O559" t="b">
        <v>0</v>
      </c>
      <c r="P559" t="b">
        <v>0</v>
      </c>
      <c r="Q559">
        <v>0.7</v>
      </c>
      <c r="R559">
        <v>608630.77757173777</v>
      </c>
      <c r="S559">
        <v>639363.77580803633</v>
      </c>
      <c r="T559">
        <v>535025.39602828026</v>
      </c>
      <c r="U559">
        <v>542415.61620759964</v>
      </c>
      <c r="V559">
        <v>1247994.5533797741</v>
      </c>
      <c r="W559">
        <v>1077441.0122358799</v>
      </c>
      <c r="X559">
        <v>10403.566961137401</v>
      </c>
      <c r="Y559">
        <v>8981.793780361626</v>
      </c>
      <c r="Z559">
        <v>2751.8108796691895</v>
      </c>
      <c r="AA559">
        <v>269.36025305896999</v>
      </c>
      <c r="AB559">
        <v>5350.2539602828028</v>
      </c>
      <c r="AC559">
        <v>5424.1561620759967</v>
      </c>
      <c r="AD559">
        <v>10774.4101223588</v>
      </c>
      <c r="AE559">
        <v>1.1582950149539655</v>
      </c>
      <c r="AF559" s="1" t="s">
        <v>236</v>
      </c>
      <c r="AG559" s="1" t="s">
        <v>237</v>
      </c>
      <c r="AH559" s="1" t="s">
        <v>238</v>
      </c>
      <c r="AI559" s="1" t="str">
        <f>_xlfn.TEXTAFTER(_xlfn.TEXTBEFORE(batch_summary[[#This Row],[video]],"_",1),"-",3)</f>
        <v>20</v>
      </c>
      <c r="AJ559" s="1" t="str">
        <f>_xlfn.TEXTBEFORE(_xlfn.TEXTAFTER(batch_summary[[#This Row],[video]],"_",1),"_",1)</f>
        <v>20260311</v>
      </c>
      <c r="AK559" s="1" t="str">
        <f>_xlfn.TEXTBEFORE(_xlfn.TEXTAFTER(batch_summary[[#This Row],[video]],"_",2),".",1)</f>
        <v>180000</v>
      </c>
    </row>
    <row r="560" spans="1:37" x14ac:dyDescent="0.2">
      <c r="A560" s="1" t="s">
        <v>239</v>
      </c>
      <c r="B560" s="1" t="s">
        <v>240</v>
      </c>
      <c r="C560">
        <v>119.95833333333333</v>
      </c>
      <c r="D560">
        <v>2879</v>
      </c>
      <c r="E560">
        <v>0.3287850534543395</v>
      </c>
      <c r="F560">
        <v>44.18782164528966</v>
      </c>
      <c r="G560">
        <v>1.14201130064029E-4</v>
      </c>
      <c r="H560">
        <v>1.5348322905623362E-2</v>
      </c>
      <c r="I560">
        <v>5</v>
      </c>
      <c r="J560" t="b">
        <v>1</v>
      </c>
      <c r="K560">
        <v>0.65</v>
      </c>
      <c r="L560">
        <v>1.3</v>
      </c>
      <c r="M560" t="b">
        <v>1</v>
      </c>
      <c r="N560">
        <v>200</v>
      </c>
      <c r="O560" t="b">
        <v>0</v>
      </c>
      <c r="P560" t="b">
        <v>0</v>
      </c>
      <c r="Q560">
        <v>0.7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s="1" t="s">
        <v>241</v>
      </c>
      <c r="AG560" s="1" t="s">
        <v>242</v>
      </c>
      <c r="AH560" s="1" t="s">
        <v>243</v>
      </c>
      <c r="AI560" s="1" t="str">
        <f>_xlfn.TEXTAFTER(_xlfn.TEXTBEFORE(batch_summary[[#This Row],[video]],"_",1),"-",3)</f>
        <v>20</v>
      </c>
      <c r="AJ560" s="1" t="str">
        <f>_xlfn.TEXTBEFORE(_xlfn.TEXTAFTER(batch_summary[[#This Row],[video]],"_",1),"_",1)</f>
        <v>20260311</v>
      </c>
      <c r="AK560" s="1" t="str">
        <f>_xlfn.TEXTBEFORE(_xlfn.TEXTAFTER(batch_summary[[#This Row],[video]],"_",2),".",1)</f>
        <v>190000</v>
      </c>
    </row>
    <row r="561" spans="1:37" x14ac:dyDescent="0.2">
      <c r="A561" s="1" t="s">
        <v>244</v>
      </c>
      <c r="B561" s="1" t="s">
        <v>245</v>
      </c>
      <c r="C561">
        <v>119.95833333333333</v>
      </c>
      <c r="D561">
        <v>2879</v>
      </c>
      <c r="E561">
        <v>0.32643011771142483</v>
      </c>
      <c r="F561">
        <v>43.761105924844742</v>
      </c>
      <c r="G561">
        <v>1.133831600248089E-4</v>
      </c>
      <c r="H561">
        <v>1.5200106260800535E-2</v>
      </c>
      <c r="I561">
        <v>5</v>
      </c>
      <c r="J561" t="b">
        <v>1</v>
      </c>
      <c r="K561">
        <v>0.65</v>
      </c>
      <c r="L561">
        <v>1.3</v>
      </c>
      <c r="M561" t="b">
        <v>1</v>
      </c>
      <c r="N561">
        <v>200</v>
      </c>
      <c r="O561" t="b">
        <v>0</v>
      </c>
      <c r="P561" t="b">
        <v>0</v>
      </c>
      <c r="Q561">
        <v>0.7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s="1" t="s">
        <v>246</v>
      </c>
      <c r="AG561" s="1" t="s">
        <v>247</v>
      </c>
      <c r="AH561" s="1" t="s">
        <v>248</v>
      </c>
      <c r="AI561" s="1" t="str">
        <f>_xlfn.TEXTAFTER(_xlfn.TEXTBEFORE(batch_summary[[#This Row],[video]],"_",1),"-",3)</f>
        <v>20</v>
      </c>
      <c r="AJ561" s="1" t="str">
        <f>_xlfn.TEXTBEFORE(_xlfn.TEXTAFTER(batch_summary[[#This Row],[video]],"_",1),"_",1)</f>
        <v>20260312</v>
      </c>
      <c r="AK561" s="1" t="str">
        <f>_xlfn.TEXTBEFORE(_xlfn.TEXTAFTER(batch_summary[[#This Row],[video]],"_",2),".",1)</f>
        <v>060000</v>
      </c>
    </row>
    <row r="562" spans="1:37" x14ac:dyDescent="0.2">
      <c r="A562" s="1" t="s">
        <v>249</v>
      </c>
      <c r="B562" s="1" t="s">
        <v>250</v>
      </c>
      <c r="C562">
        <v>119.95833333333333</v>
      </c>
      <c r="D562">
        <v>2879</v>
      </c>
      <c r="E562">
        <v>0.31975005846470594</v>
      </c>
      <c r="F562">
        <v>43.849991850554943</v>
      </c>
      <c r="G562">
        <v>1.1106288935905034E-4</v>
      </c>
      <c r="H562">
        <v>1.5230980149550171E-2</v>
      </c>
      <c r="I562">
        <v>5</v>
      </c>
      <c r="J562" t="b">
        <v>1</v>
      </c>
      <c r="K562">
        <v>0.65</v>
      </c>
      <c r="L562">
        <v>1.3</v>
      </c>
      <c r="M562" t="b">
        <v>1</v>
      </c>
      <c r="N562">
        <v>200</v>
      </c>
      <c r="O562" t="b">
        <v>0</v>
      </c>
      <c r="P562" t="b">
        <v>0</v>
      </c>
      <c r="Q562">
        <v>0.7</v>
      </c>
      <c r="R562">
        <v>14969.87010550499</v>
      </c>
      <c r="S562">
        <v>13120.274355769157</v>
      </c>
      <c r="T562">
        <v>0</v>
      </c>
      <c r="U562">
        <v>0</v>
      </c>
      <c r="V562">
        <v>28090.144461274147</v>
      </c>
      <c r="W562">
        <v>0</v>
      </c>
      <c r="X562">
        <v>234.16584476227146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28090144461.274147</v>
      </c>
      <c r="AF562" s="1" t="s">
        <v>251</v>
      </c>
      <c r="AG562" s="1" t="s">
        <v>252</v>
      </c>
      <c r="AH562" s="1" t="s">
        <v>253</v>
      </c>
      <c r="AI562" s="1" t="str">
        <f>_xlfn.TEXTAFTER(_xlfn.TEXTBEFORE(batch_summary[[#This Row],[video]],"_",1),"-",3)</f>
        <v>20</v>
      </c>
      <c r="AJ562" s="1" t="str">
        <f>_xlfn.TEXTBEFORE(_xlfn.TEXTAFTER(batch_summary[[#This Row],[video]],"_",1),"_",1)</f>
        <v>20260312</v>
      </c>
      <c r="AK562" s="1" t="str">
        <f>_xlfn.TEXTBEFORE(_xlfn.TEXTAFTER(batch_summary[[#This Row],[video]],"_",2),".",1)</f>
        <v>070000</v>
      </c>
    </row>
    <row r="563" spans="1:37" x14ac:dyDescent="0.2">
      <c r="A563" s="1" t="s">
        <v>254</v>
      </c>
      <c r="B563" s="1" t="s">
        <v>255</v>
      </c>
      <c r="C563">
        <v>119.95833333333333</v>
      </c>
      <c r="D563">
        <v>2879</v>
      </c>
      <c r="E563">
        <v>0.32559745572507381</v>
      </c>
      <c r="F563">
        <v>43.757224472239614</v>
      </c>
      <c r="G563">
        <v>1.130939408562257E-4</v>
      </c>
      <c r="H563">
        <v>1.5198758066078365E-2</v>
      </c>
      <c r="I563">
        <v>5</v>
      </c>
      <c r="J563" t="b">
        <v>1</v>
      </c>
      <c r="K563">
        <v>0.65</v>
      </c>
      <c r="L563">
        <v>1.3</v>
      </c>
      <c r="M563" t="b">
        <v>1</v>
      </c>
      <c r="N563">
        <v>200</v>
      </c>
      <c r="O563" t="b">
        <v>0</v>
      </c>
      <c r="P563" t="b">
        <v>0</v>
      </c>
      <c r="Q563">
        <v>0.7</v>
      </c>
      <c r="R563">
        <v>355228.72493523359</v>
      </c>
      <c r="S563">
        <v>286377.18776631355</v>
      </c>
      <c r="T563">
        <v>249356.49514389038</v>
      </c>
      <c r="U563">
        <v>190881.54479289055</v>
      </c>
      <c r="V563">
        <v>641605.91270154715</v>
      </c>
      <c r="W563">
        <v>440238.03993678093</v>
      </c>
      <c r="X563">
        <v>5348.5730826110221</v>
      </c>
      <c r="Y563">
        <v>3669.9246121857391</v>
      </c>
      <c r="Z563">
        <v>950.20091247558594</v>
      </c>
      <c r="AA563">
        <v>110.05950998419523</v>
      </c>
      <c r="AB563">
        <v>2493.5649514389038</v>
      </c>
      <c r="AC563">
        <v>1908.8154479289055</v>
      </c>
      <c r="AD563">
        <v>4402.3803993678093</v>
      </c>
      <c r="AE563">
        <v>1.4574067992708741</v>
      </c>
      <c r="AF563" s="1" t="s">
        <v>256</v>
      </c>
      <c r="AG563" s="1" t="s">
        <v>257</v>
      </c>
      <c r="AH563" s="1" t="s">
        <v>258</v>
      </c>
      <c r="AI563" s="1" t="str">
        <f>_xlfn.TEXTAFTER(_xlfn.TEXTBEFORE(batch_summary[[#This Row],[video]],"_",1),"-",3)</f>
        <v>20</v>
      </c>
      <c r="AJ563" s="1" t="str">
        <f>_xlfn.TEXTBEFORE(_xlfn.TEXTAFTER(batch_summary[[#This Row],[video]],"_",1),"_",1)</f>
        <v>20260312</v>
      </c>
      <c r="AK563" s="1" t="str">
        <f>_xlfn.TEXTBEFORE(_xlfn.TEXTAFTER(batch_summary[[#This Row],[video]],"_",2),".",1)</f>
        <v>080000</v>
      </c>
    </row>
    <row r="564" spans="1:37" x14ac:dyDescent="0.2">
      <c r="A564" s="1" t="s">
        <v>259</v>
      </c>
      <c r="B564" s="1" t="s">
        <v>260</v>
      </c>
      <c r="C564">
        <v>119.95833333333333</v>
      </c>
      <c r="D564">
        <v>2879</v>
      </c>
      <c r="E564">
        <v>0.31238061003386974</v>
      </c>
      <c r="F564">
        <v>43.596003035083413</v>
      </c>
      <c r="G564">
        <v>1.0850316430492176E-4</v>
      </c>
      <c r="H564">
        <v>1.5142758956263777E-2</v>
      </c>
      <c r="I564">
        <v>5</v>
      </c>
      <c r="J564" t="b">
        <v>1</v>
      </c>
      <c r="K564">
        <v>0.65</v>
      </c>
      <c r="L564">
        <v>1.3</v>
      </c>
      <c r="M564" t="b">
        <v>1</v>
      </c>
      <c r="N564">
        <v>200</v>
      </c>
      <c r="O564" t="b">
        <v>0</v>
      </c>
      <c r="P564" t="b">
        <v>0</v>
      </c>
      <c r="Q564">
        <v>0.7</v>
      </c>
      <c r="R564">
        <v>88315.110537111759</v>
      </c>
      <c r="S564">
        <v>104683.34494578838</v>
      </c>
      <c r="T564">
        <v>53522.412292480469</v>
      </c>
      <c r="U564">
        <v>60031.703338623047</v>
      </c>
      <c r="V564">
        <v>192998.45548290014</v>
      </c>
      <c r="W564">
        <v>113554.11563110352</v>
      </c>
      <c r="X564">
        <v>1608.8791009342144</v>
      </c>
      <c r="Y564">
        <v>946.61298198905331</v>
      </c>
      <c r="Z564">
        <v>404.6724945068359</v>
      </c>
      <c r="AA564">
        <v>28.388528907775878</v>
      </c>
      <c r="AB564">
        <v>535.22412292480465</v>
      </c>
      <c r="AC564">
        <v>600.31703338623049</v>
      </c>
      <c r="AD564">
        <v>1135.5411563110351</v>
      </c>
      <c r="AE564">
        <v>1.6996165608817095</v>
      </c>
      <c r="AF564" s="1" t="s">
        <v>261</v>
      </c>
      <c r="AG564" s="1" t="s">
        <v>262</v>
      </c>
      <c r="AH564" s="1" t="s">
        <v>263</v>
      </c>
      <c r="AI564" s="1" t="str">
        <f>_xlfn.TEXTAFTER(_xlfn.TEXTBEFORE(batch_summary[[#This Row],[video]],"_",1),"-",3)</f>
        <v>20</v>
      </c>
      <c r="AJ564" s="1" t="str">
        <f>_xlfn.TEXTBEFORE(_xlfn.TEXTAFTER(batch_summary[[#This Row],[video]],"_",1),"_",1)</f>
        <v>20260312</v>
      </c>
      <c r="AK564" s="1" t="str">
        <f>_xlfn.TEXTBEFORE(_xlfn.TEXTAFTER(batch_summary[[#This Row],[video]],"_",2),".",1)</f>
        <v>090000</v>
      </c>
    </row>
    <row r="565" spans="1:37" x14ac:dyDescent="0.2">
      <c r="A565" s="1" t="s">
        <v>264</v>
      </c>
      <c r="B565" s="1" t="s">
        <v>265</v>
      </c>
      <c r="C565">
        <v>119.95833333333333</v>
      </c>
      <c r="D565">
        <v>2879</v>
      </c>
      <c r="E565">
        <v>0.34129209257662296</v>
      </c>
      <c r="F565">
        <v>44.270037608221173</v>
      </c>
      <c r="G565">
        <v>1.1854536039479784E-4</v>
      </c>
      <c r="H565">
        <v>1.5376880030642992E-2</v>
      </c>
      <c r="I565">
        <v>5</v>
      </c>
      <c r="J565" t="b">
        <v>1</v>
      </c>
      <c r="K565">
        <v>0.65</v>
      </c>
      <c r="L565">
        <v>1.3</v>
      </c>
      <c r="M565" t="b">
        <v>1</v>
      </c>
      <c r="N565">
        <v>200</v>
      </c>
      <c r="O565" t="b">
        <v>0</v>
      </c>
      <c r="P565" t="b">
        <v>0</v>
      </c>
      <c r="Q565">
        <v>0.7</v>
      </c>
      <c r="R565">
        <v>774491.93148183823</v>
      </c>
      <c r="S565">
        <v>821850.20398676395</v>
      </c>
      <c r="T565">
        <v>633648.37519001961</v>
      </c>
      <c r="U565">
        <v>652532.05190604925</v>
      </c>
      <c r="V565">
        <v>1596342.1354686022</v>
      </c>
      <c r="W565">
        <v>1286180.4270960689</v>
      </c>
      <c r="X565">
        <v>13307.471778828223</v>
      </c>
      <c r="Y565">
        <v>10721.893105351044</v>
      </c>
      <c r="Z565">
        <v>1683.7996437311172</v>
      </c>
      <c r="AA565">
        <v>321.5451067740172</v>
      </c>
      <c r="AB565">
        <v>6336.4837519001958</v>
      </c>
      <c r="AC565">
        <v>6525.3205190604922</v>
      </c>
      <c r="AD565">
        <v>12861.804270960689</v>
      </c>
      <c r="AE565">
        <v>1.2411494544920223</v>
      </c>
      <c r="AF565" s="1" t="s">
        <v>266</v>
      </c>
      <c r="AG565" s="1" t="s">
        <v>267</v>
      </c>
      <c r="AH565" s="1" t="s">
        <v>268</v>
      </c>
      <c r="AI565" s="1" t="str">
        <f>_xlfn.TEXTAFTER(_xlfn.TEXTBEFORE(batch_summary[[#This Row],[video]],"_",1),"-",3)</f>
        <v>20</v>
      </c>
      <c r="AJ565" s="1" t="str">
        <f>_xlfn.TEXTBEFORE(_xlfn.TEXTAFTER(batch_summary[[#This Row],[video]],"_",1),"_",1)</f>
        <v>20260312</v>
      </c>
      <c r="AK565" s="1" t="str">
        <f>_xlfn.TEXTBEFORE(_xlfn.TEXTAFTER(batch_summary[[#This Row],[video]],"_",2),".",1)</f>
        <v>100000</v>
      </c>
    </row>
    <row r="566" spans="1:37" x14ac:dyDescent="0.2">
      <c r="A566" s="1" t="s">
        <v>269</v>
      </c>
      <c r="B566" s="1" t="s">
        <v>270</v>
      </c>
      <c r="C566">
        <v>119.95833333333333</v>
      </c>
      <c r="D566">
        <v>2879</v>
      </c>
      <c r="E566">
        <v>0.28950010053813457</v>
      </c>
      <c r="F566">
        <v>43.873453550040722</v>
      </c>
      <c r="G566">
        <v>1.0055578344499291E-4</v>
      </c>
      <c r="H566">
        <v>1.5239129402584482E-2</v>
      </c>
      <c r="I566">
        <v>5</v>
      </c>
      <c r="J566" t="b">
        <v>1</v>
      </c>
      <c r="K566">
        <v>0.65</v>
      </c>
      <c r="L566">
        <v>1.3</v>
      </c>
      <c r="M566" t="b">
        <v>1</v>
      </c>
      <c r="N566">
        <v>200</v>
      </c>
      <c r="O566" t="b">
        <v>0</v>
      </c>
      <c r="P566" t="b">
        <v>0</v>
      </c>
      <c r="Q566">
        <v>0.7</v>
      </c>
      <c r="R566">
        <v>14043487.01011461</v>
      </c>
      <c r="S566">
        <v>18735390.158533573</v>
      </c>
      <c r="T566">
        <v>13037329.693783104</v>
      </c>
      <c r="U566">
        <v>17521126.824722052</v>
      </c>
      <c r="V566">
        <v>32778877.168648183</v>
      </c>
      <c r="W566">
        <v>30558456.518505156</v>
      </c>
      <c r="X566">
        <v>273252.1889710165</v>
      </c>
      <c r="Y566">
        <v>254742.25649326982</v>
      </c>
      <c r="Z566">
        <v>11508.568009033203</v>
      </c>
      <c r="AA566">
        <v>7639.6141296262886</v>
      </c>
      <c r="AB566">
        <v>130373.29693783104</v>
      </c>
      <c r="AC566">
        <v>175211.26824722052</v>
      </c>
      <c r="AD566">
        <v>305584.56518505153</v>
      </c>
      <c r="AE566">
        <v>1.07266141366788</v>
      </c>
      <c r="AF566" s="1" t="s">
        <v>271</v>
      </c>
      <c r="AG566" s="1" t="s">
        <v>272</v>
      </c>
      <c r="AH566" s="1" t="s">
        <v>273</v>
      </c>
      <c r="AI566" s="1" t="str">
        <f>_xlfn.TEXTAFTER(_xlfn.TEXTBEFORE(batch_summary[[#This Row],[video]],"_",1),"-",3)</f>
        <v>20</v>
      </c>
      <c r="AJ566" s="1" t="str">
        <f>_xlfn.TEXTBEFORE(_xlfn.TEXTAFTER(batch_summary[[#This Row],[video]],"_",1),"_",1)</f>
        <v>20260312</v>
      </c>
      <c r="AK566" s="1" t="str">
        <f>_xlfn.TEXTBEFORE(_xlfn.TEXTAFTER(batch_summary[[#This Row],[video]],"_",2),".",1)</f>
        <v>110000</v>
      </c>
    </row>
    <row r="567" spans="1:37" x14ac:dyDescent="0.2">
      <c r="A567" s="1" t="s">
        <v>274</v>
      </c>
      <c r="B567" s="1" t="s">
        <v>275</v>
      </c>
      <c r="C567">
        <v>119.95833333333333</v>
      </c>
      <c r="D567">
        <v>2879</v>
      </c>
      <c r="E567">
        <v>0.34716768097132444</v>
      </c>
      <c r="F567">
        <v>44.928370660170913</v>
      </c>
      <c r="G567">
        <v>1.2058620388027941E-4</v>
      </c>
      <c r="H567">
        <v>1.560554729425874E-2</v>
      </c>
      <c r="I567">
        <v>5</v>
      </c>
      <c r="J567" t="b">
        <v>1</v>
      </c>
      <c r="K567">
        <v>0.65</v>
      </c>
      <c r="L567">
        <v>1.3</v>
      </c>
      <c r="M567" t="b">
        <v>1</v>
      </c>
      <c r="N567">
        <v>200</v>
      </c>
      <c r="O567" t="b">
        <v>0</v>
      </c>
      <c r="P567" t="b">
        <v>0</v>
      </c>
      <c r="Q567">
        <v>0.7</v>
      </c>
      <c r="R567">
        <v>5096015.5514642596</v>
      </c>
      <c r="S567">
        <v>5959910.2086609006</v>
      </c>
      <c r="T567">
        <v>4515094.4926133156</v>
      </c>
      <c r="U567">
        <v>5309696.4627173543</v>
      </c>
      <c r="V567">
        <v>11055925.76012516</v>
      </c>
      <c r="W567">
        <v>9824790.9553306699</v>
      </c>
      <c r="X567">
        <v>92164.716305315684</v>
      </c>
      <c r="Y567">
        <v>81901.696049995167</v>
      </c>
      <c r="Z567">
        <v>5660.7737573242184</v>
      </c>
      <c r="AA567">
        <v>2456.1977388326677</v>
      </c>
      <c r="AB567">
        <v>45150.944926133154</v>
      </c>
      <c r="AC567">
        <v>53096.96462717354</v>
      </c>
      <c r="AD567">
        <v>98247.909553306701</v>
      </c>
      <c r="AE567">
        <v>1.1253090076309979</v>
      </c>
      <c r="AF567" s="1" t="s">
        <v>276</v>
      </c>
      <c r="AG567" s="1" t="s">
        <v>277</v>
      </c>
      <c r="AH567" s="1" t="s">
        <v>278</v>
      </c>
      <c r="AI567" s="1" t="str">
        <f>_xlfn.TEXTAFTER(_xlfn.TEXTBEFORE(batch_summary[[#This Row],[video]],"_",1),"-",3)</f>
        <v>20</v>
      </c>
      <c r="AJ567" s="1" t="str">
        <f>_xlfn.TEXTBEFORE(_xlfn.TEXTAFTER(batch_summary[[#This Row],[video]],"_",1),"_",1)</f>
        <v>20260312</v>
      </c>
      <c r="AK567" s="1" t="str">
        <f>_xlfn.TEXTBEFORE(_xlfn.TEXTAFTER(batch_summary[[#This Row],[video]],"_",2),".",1)</f>
        <v>120000</v>
      </c>
    </row>
    <row r="568" spans="1:37" x14ac:dyDescent="0.2">
      <c r="A568" s="1" t="s">
        <v>279</v>
      </c>
      <c r="B568" s="1" t="s">
        <v>280</v>
      </c>
      <c r="C568">
        <v>119.95833333333333</v>
      </c>
      <c r="D568">
        <v>2879</v>
      </c>
      <c r="E568">
        <v>0.34413213562220335</v>
      </c>
      <c r="F568">
        <v>44.86665456648916</v>
      </c>
      <c r="G568">
        <v>1.1953182897610398E-4</v>
      </c>
      <c r="H568">
        <v>1.558411065178505E-2</v>
      </c>
      <c r="I568">
        <v>5</v>
      </c>
      <c r="J568" t="b">
        <v>1</v>
      </c>
      <c r="K568">
        <v>0.65</v>
      </c>
      <c r="L568">
        <v>1.3</v>
      </c>
      <c r="M568" t="b">
        <v>1</v>
      </c>
      <c r="N568">
        <v>200</v>
      </c>
      <c r="O568" t="b">
        <v>0</v>
      </c>
      <c r="P568" t="b">
        <v>0</v>
      </c>
      <c r="Q568">
        <v>0.7</v>
      </c>
      <c r="R568">
        <v>3843544.6818622947</v>
      </c>
      <c r="S568">
        <v>2774651.0425888896</v>
      </c>
      <c r="T568">
        <v>3469032.9673572183</v>
      </c>
      <c r="U568">
        <v>2396103.0072324276</v>
      </c>
      <c r="V568">
        <v>6618195.7244511843</v>
      </c>
      <c r="W568">
        <v>5865135.9745896459</v>
      </c>
      <c r="X568">
        <v>55170.787560551733</v>
      </c>
      <c r="Y568">
        <v>48893.109895849775</v>
      </c>
      <c r="Z568">
        <v>4232.875528488159</v>
      </c>
      <c r="AA568">
        <v>1466.2839936474115</v>
      </c>
      <c r="AB568">
        <v>34690.329673572181</v>
      </c>
      <c r="AC568">
        <v>23961.030072324276</v>
      </c>
      <c r="AD568">
        <v>58651.359745896458</v>
      </c>
      <c r="AE568">
        <v>1.1283959575914566</v>
      </c>
      <c r="AF568" s="1" t="s">
        <v>281</v>
      </c>
      <c r="AG568" s="1" t="s">
        <v>282</v>
      </c>
      <c r="AH568" s="1" t="s">
        <v>283</v>
      </c>
      <c r="AI568" s="1" t="str">
        <f>_xlfn.TEXTAFTER(_xlfn.TEXTBEFORE(batch_summary[[#This Row],[video]],"_",1),"-",3)</f>
        <v>20</v>
      </c>
      <c r="AJ568" s="1" t="str">
        <f>_xlfn.TEXTBEFORE(_xlfn.TEXTAFTER(batch_summary[[#This Row],[video]],"_",1),"_",1)</f>
        <v>20260312</v>
      </c>
      <c r="AK568" s="1" t="str">
        <f>_xlfn.TEXTBEFORE(_xlfn.TEXTAFTER(batch_summary[[#This Row],[video]],"_",2),".",1)</f>
        <v>130000</v>
      </c>
    </row>
    <row r="569" spans="1:37" x14ac:dyDescent="0.2">
      <c r="A569" s="1" t="s">
        <v>284</v>
      </c>
      <c r="B569" s="1" t="s">
        <v>285</v>
      </c>
      <c r="C569">
        <v>119.95833333333333</v>
      </c>
      <c r="D569">
        <v>2879</v>
      </c>
      <c r="E569">
        <v>0.33677401021122932</v>
      </c>
      <c r="F569">
        <v>44.649106197059155</v>
      </c>
      <c r="G569">
        <v>1.169760368917087E-4</v>
      </c>
      <c r="H569">
        <v>1.5508546786057365E-2</v>
      </c>
      <c r="I569">
        <v>5</v>
      </c>
      <c r="J569" t="b">
        <v>1</v>
      </c>
      <c r="K569">
        <v>0.65</v>
      </c>
      <c r="L569">
        <v>1.3</v>
      </c>
      <c r="M569" t="b">
        <v>1</v>
      </c>
      <c r="N569">
        <v>200</v>
      </c>
      <c r="O569" t="b">
        <v>0</v>
      </c>
      <c r="P569" t="b">
        <v>0</v>
      </c>
      <c r="Q569">
        <v>0.7</v>
      </c>
      <c r="R569">
        <v>2492659.099562943</v>
      </c>
      <c r="S569">
        <v>2447757.9905127883</v>
      </c>
      <c r="T569">
        <v>2083152.039986968</v>
      </c>
      <c r="U569">
        <v>2045020.4512465</v>
      </c>
      <c r="V569">
        <v>4940417.0900757313</v>
      </c>
      <c r="W569">
        <v>4128172.4912334681</v>
      </c>
      <c r="X569">
        <v>41184.44257096824</v>
      </c>
      <c r="Y569">
        <v>34413.38651948706</v>
      </c>
      <c r="Z569">
        <v>4136.9766540813453</v>
      </c>
      <c r="AA569">
        <v>1032.0431228083669</v>
      </c>
      <c r="AB569">
        <v>20831.520399869682</v>
      </c>
      <c r="AC569">
        <v>20450.204512464999</v>
      </c>
      <c r="AD569">
        <v>41281.724912334685</v>
      </c>
      <c r="AE569">
        <v>1.1967564583522454</v>
      </c>
      <c r="AF569" s="1" t="s">
        <v>286</v>
      </c>
      <c r="AG569" s="1" t="s">
        <v>287</v>
      </c>
      <c r="AH569" s="1" t="s">
        <v>288</v>
      </c>
      <c r="AI569" s="1" t="str">
        <f>_xlfn.TEXTAFTER(_xlfn.TEXTBEFORE(batch_summary[[#This Row],[video]],"_",1),"-",3)</f>
        <v>20</v>
      </c>
      <c r="AJ569" s="1" t="str">
        <f>_xlfn.TEXTBEFORE(_xlfn.TEXTAFTER(batch_summary[[#This Row],[video]],"_",1),"_",1)</f>
        <v>20260312</v>
      </c>
      <c r="AK569" s="1" t="str">
        <f>_xlfn.TEXTBEFORE(_xlfn.TEXTAFTER(batch_summary[[#This Row],[video]],"_",2),".",1)</f>
        <v>140000</v>
      </c>
    </row>
    <row r="570" spans="1:37" x14ac:dyDescent="0.2">
      <c r="A570" s="1" t="s">
        <v>289</v>
      </c>
      <c r="B570" s="1" t="s">
        <v>290</v>
      </c>
      <c r="C570">
        <v>119.95833333333333</v>
      </c>
      <c r="D570">
        <v>2879</v>
      </c>
      <c r="E570">
        <v>0.34145971387624741</v>
      </c>
      <c r="F570">
        <v>44.673337664455175</v>
      </c>
      <c r="G570">
        <v>1.1860358245093693E-4</v>
      </c>
      <c r="H570">
        <v>1.5516963412454038E-2</v>
      </c>
      <c r="I570">
        <v>5</v>
      </c>
      <c r="J570" t="b">
        <v>1</v>
      </c>
      <c r="K570">
        <v>0.65</v>
      </c>
      <c r="L570">
        <v>1.3</v>
      </c>
      <c r="M570" t="b">
        <v>1</v>
      </c>
      <c r="N570">
        <v>200</v>
      </c>
      <c r="O570" t="b">
        <v>0</v>
      </c>
      <c r="P570" t="b">
        <v>0</v>
      </c>
      <c r="Q570">
        <v>0.7</v>
      </c>
      <c r="R570">
        <v>1973543.7874723673</v>
      </c>
      <c r="S570">
        <v>1687556.0371818542</v>
      </c>
      <c r="T570">
        <v>1741546.6854875684</v>
      </c>
      <c r="U570">
        <v>1461440.5584288239</v>
      </c>
      <c r="V570">
        <v>3661099.8246542215</v>
      </c>
      <c r="W570">
        <v>3202987.2439163923</v>
      </c>
      <c r="X570">
        <v>30519.762345155024</v>
      </c>
      <c r="Y570">
        <v>26700.831488014388</v>
      </c>
      <c r="Z570">
        <v>3432.1769385814669</v>
      </c>
      <c r="AA570">
        <v>800.74681097909797</v>
      </c>
      <c r="AB570">
        <v>17415.466854875685</v>
      </c>
      <c r="AC570">
        <v>14614.405584288239</v>
      </c>
      <c r="AD570">
        <v>32029.872439163926</v>
      </c>
      <c r="AE570">
        <v>1.1430266641267297</v>
      </c>
      <c r="AF570" s="1" t="s">
        <v>291</v>
      </c>
      <c r="AG570" s="1" t="s">
        <v>292</v>
      </c>
      <c r="AH570" s="1" t="s">
        <v>293</v>
      </c>
      <c r="AI570" s="1" t="str">
        <f>_xlfn.TEXTAFTER(_xlfn.TEXTBEFORE(batch_summary[[#This Row],[video]],"_",1),"-",3)</f>
        <v>20</v>
      </c>
      <c r="AJ570" s="1" t="str">
        <f>_xlfn.TEXTBEFORE(_xlfn.TEXTAFTER(batch_summary[[#This Row],[video]],"_",1),"_",1)</f>
        <v>20260312</v>
      </c>
      <c r="AK570" s="1" t="str">
        <f>_xlfn.TEXTBEFORE(_xlfn.TEXTAFTER(batch_summary[[#This Row],[video]],"_",2),".",1)</f>
        <v>150000</v>
      </c>
    </row>
    <row r="571" spans="1:37" x14ac:dyDescent="0.2">
      <c r="A571" s="1" t="s">
        <v>294</v>
      </c>
      <c r="B571" s="1" t="s">
        <v>295</v>
      </c>
      <c r="C571">
        <v>119.95833333333333</v>
      </c>
      <c r="D571">
        <v>2879</v>
      </c>
      <c r="E571">
        <v>0.33491464983671904</v>
      </c>
      <c r="F571">
        <v>44.280372554436326</v>
      </c>
      <c r="G571">
        <v>1.163302014021254E-4</v>
      </c>
      <c r="H571">
        <v>1.5380469800082086E-2</v>
      </c>
      <c r="I571">
        <v>5</v>
      </c>
      <c r="J571" t="b">
        <v>1</v>
      </c>
      <c r="K571">
        <v>0.65</v>
      </c>
      <c r="L571">
        <v>1.3</v>
      </c>
      <c r="M571" t="b">
        <v>1</v>
      </c>
      <c r="N571">
        <v>200</v>
      </c>
      <c r="O571" t="b">
        <v>0</v>
      </c>
      <c r="P571" t="b">
        <v>0</v>
      </c>
      <c r="Q571">
        <v>0.7</v>
      </c>
      <c r="R571">
        <v>1249050.1450822949</v>
      </c>
      <c r="S571">
        <v>1184267.6801999807</v>
      </c>
      <c r="T571">
        <v>1079985.6018757224</v>
      </c>
      <c r="U571">
        <v>991400.80290740728</v>
      </c>
      <c r="V571">
        <v>2433317.8252822757</v>
      </c>
      <c r="W571">
        <v>2071386.4047831297</v>
      </c>
      <c r="X571">
        <v>20284.691839796673</v>
      </c>
      <c r="Y571">
        <v>17267.549049946203</v>
      </c>
      <c r="Z571">
        <v>2231.7255200481413</v>
      </c>
      <c r="AA571">
        <v>517.84660119578234</v>
      </c>
      <c r="AB571">
        <v>10799.856018757224</v>
      </c>
      <c r="AC571">
        <v>9914.0080290740734</v>
      </c>
      <c r="AD571">
        <v>20713.864047831295</v>
      </c>
      <c r="AE571">
        <v>1.1747290701838122</v>
      </c>
      <c r="AF571" s="1" t="s">
        <v>296</v>
      </c>
      <c r="AG571" s="1" t="s">
        <v>297</v>
      </c>
      <c r="AH571" s="1" t="s">
        <v>298</v>
      </c>
      <c r="AI571" s="1" t="str">
        <f>_xlfn.TEXTAFTER(_xlfn.TEXTBEFORE(batch_summary[[#This Row],[video]],"_",1),"-",3)</f>
        <v>20</v>
      </c>
      <c r="AJ571" s="1" t="str">
        <f>_xlfn.TEXTBEFORE(_xlfn.TEXTAFTER(batch_summary[[#This Row],[video]],"_",1),"_",1)</f>
        <v>20260312</v>
      </c>
      <c r="AK571" s="1" t="str">
        <f>_xlfn.TEXTBEFORE(_xlfn.TEXTAFTER(batch_summary[[#This Row],[video]],"_",2),".",1)</f>
        <v>160000</v>
      </c>
    </row>
    <row r="572" spans="1:37" x14ac:dyDescent="0.2">
      <c r="A572" s="1" t="s">
        <v>299</v>
      </c>
      <c r="B572" s="1" t="s">
        <v>300</v>
      </c>
      <c r="C572">
        <v>119.95833333333333</v>
      </c>
      <c r="D572">
        <v>2879</v>
      </c>
      <c r="E572">
        <v>0.31644669454544783</v>
      </c>
      <c r="F572">
        <v>43.861502095125616</v>
      </c>
      <c r="G572">
        <v>1.0991548959550115E-4</v>
      </c>
      <c r="H572">
        <v>1.5234978150443076E-2</v>
      </c>
      <c r="I572">
        <v>5</v>
      </c>
      <c r="J572" t="b">
        <v>1</v>
      </c>
      <c r="K572">
        <v>0.65</v>
      </c>
      <c r="L572">
        <v>1.3</v>
      </c>
      <c r="M572" t="b">
        <v>1</v>
      </c>
      <c r="N572">
        <v>200</v>
      </c>
      <c r="O572" t="b">
        <v>0</v>
      </c>
      <c r="P572" t="b">
        <v>0</v>
      </c>
      <c r="Q572">
        <v>0.7</v>
      </c>
      <c r="R572">
        <v>328272.87096846104</v>
      </c>
      <c r="S572">
        <v>214631.49330401421</v>
      </c>
      <c r="T572">
        <v>245112.36546897888</v>
      </c>
      <c r="U572">
        <v>139308.29132723808</v>
      </c>
      <c r="V572">
        <v>542904.36427247524</v>
      </c>
      <c r="W572">
        <v>384420.65679621696</v>
      </c>
      <c r="X572">
        <v>4525.7744850779463</v>
      </c>
      <c r="Y572">
        <v>3204.618187950402</v>
      </c>
      <c r="Z572">
        <v>1018.6490673422813</v>
      </c>
      <c r="AA572">
        <v>96.105164199054258</v>
      </c>
      <c r="AB572">
        <v>2451.123654689789</v>
      </c>
      <c r="AC572">
        <v>1393.0829132723809</v>
      </c>
      <c r="AD572">
        <v>3844.2065679621701</v>
      </c>
      <c r="AE572">
        <v>1.4122663667376001</v>
      </c>
      <c r="AF572" s="1" t="s">
        <v>301</v>
      </c>
      <c r="AG572" s="1" t="s">
        <v>302</v>
      </c>
      <c r="AH572" s="1" t="s">
        <v>303</v>
      </c>
      <c r="AI572" s="1" t="str">
        <f>_xlfn.TEXTAFTER(_xlfn.TEXTBEFORE(batch_summary[[#This Row],[video]],"_",1),"-",3)</f>
        <v>20</v>
      </c>
      <c r="AJ572" s="1" t="str">
        <f>_xlfn.TEXTBEFORE(_xlfn.TEXTAFTER(batch_summary[[#This Row],[video]],"_",1),"_",1)</f>
        <v>20260312</v>
      </c>
      <c r="AK572" s="1" t="str">
        <f>_xlfn.TEXTBEFORE(_xlfn.TEXTAFTER(batch_summary[[#This Row],[video]],"_",2),".",1)</f>
        <v>170000</v>
      </c>
    </row>
    <row r="573" spans="1:37" x14ac:dyDescent="0.2">
      <c r="A573" s="1" t="s">
        <v>304</v>
      </c>
      <c r="B573" s="1" t="s">
        <v>305</v>
      </c>
      <c r="C573">
        <v>119.95833333333333</v>
      </c>
      <c r="D573">
        <v>2879</v>
      </c>
      <c r="E573">
        <v>0.34308522753417492</v>
      </c>
      <c r="F573">
        <v>44.836488818749785</v>
      </c>
      <c r="G573">
        <v>1.1916819296081102E-4</v>
      </c>
      <c r="H573">
        <v>1.5573632795675507E-2</v>
      </c>
      <c r="I573">
        <v>5</v>
      </c>
      <c r="J573" t="b">
        <v>1</v>
      </c>
      <c r="K573">
        <v>0.65</v>
      </c>
      <c r="L573">
        <v>1.3</v>
      </c>
      <c r="M573" t="b">
        <v>1</v>
      </c>
      <c r="N573">
        <v>200</v>
      </c>
      <c r="O573" t="b">
        <v>0</v>
      </c>
      <c r="P573" t="b">
        <v>0</v>
      </c>
      <c r="Q573">
        <v>0.7</v>
      </c>
      <c r="R573">
        <v>1365389.3361239433</v>
      </c>
      <c r="S573">
        <v>1348577.931433022</v>
      </c>
      <c r="T573">
        <v>1101630.2205815911</v>
      </c>
      <c r="U573">
        <v>1075255.2144514322</v>
      </c>
      <c r="V573">
        <v>2713967.2675569654</v>
      </c>
      <c r="W573">
        <v>2176885.4350330234</v>
      </c>
      <c r="X573">
        <v>22624.249538508917</v>
      </c>
      <c r="Y573">
        <v>18147.013004790748</v>
      </c>
      <c r="Z573">
        <v>1983.4912425804139</v>
      </c>
      <c r="AA573">
        <v>544.22135875825586</v>
      </c>
      <c r="AB573">
        <v>11016.302205815911</v>
      </c>
      <c r="AC573">
        <v>10752.552144514322</v>
      </c>
      <c r="AD573">
        <v>21768.854350330235</v>
      </c>
      <c r="AE573">
        <v>1.2467203022633089</v>
      </c>
      <c r="AF573" s="1" t="s">
        <v>306</v>
      </c>
      <c r="AG573" s="1" t="s">
        <v>307</v>
      </c>
      <c r="AH573" s="1" t="s">
        <v>308</v>
      </c>
      <c r="AI573" s="1" t="str">
        <f>_xlfn.TEXTAFTER(_xlfn.TEXTBEFORE(batch_summary[[#This Row],[video]],"_",1),"-",3)</f>
        <v>20</v>
      </c>
      <c r="AJ573" s="1" t="str">
        <f>_xlfn.TEXTBEFORE(_xlfn.TEXTAFTER(batch_summary[[#This Row],[video]],"_",1),"_",1)</f>
        <v>20260312</v>
      </c>
      <c r="AK573" s="1" t="str">
        <f>_xlfn.TEXTBEFORE(_xlfn.TEXTAFTER(batch_summary[[#This Row],[video]],"_",2),".",1)</f>
        <v>180000</v>
      </c>
    </row>
    <row r="574" spans="1:37" x14ac:dyDescent="0.2">
      <c r="A574" s="1" t="s">
        <v>309</v>
      </c>
      <c r="B574" s="1" t="s">
        <v>310</v>
      </c>
      <c r="C574">
        <v>119.95833333333333</v>
      </c>
      <c r="D574">
        <v>2879</v>
      </c>
      <c r="E574">
        <v>0.3348251860588789</v>
      </c>
      <c r="F574">
        <v>44.105835462920368</v>
      </c>
      <c r="G574">
        <v>1.1629912680058315E-4</v>
      </c>
      <c r="H574">
        <v>1.5319845593233889E-2</v>
      </c>
      <c r="I574">
        <v>5</v>
      </c>
      <c r="J574" t="b">
        <v>1</v>
      </c>
      <c r="K574">
        <v>0.65</v>
      </c>
      <c r="L574">
        <v>1.3</v>
      </c>
      <c r="M574" t="b">
        <v>1</v>
      </c>
      <c r="N574">
        <v>200</v>
      </c>
      <c r="O574" t="b">
        <v>0</v>
      </c>
      <c r="P574" t="b">
        <v>0</v>
      </c>
      <c r="Q574">
        <v>0.7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s="1" t="s">
        <v>311</v>
      </c>
      <c r="AG574" s="1" t="s">
        <v>312</v>
      </c>
      <c r="AH574" s="1" t="s">
        <v>313</v>
      </c>
      <c r="AI574" s="1" t="str">
        <f>_xlfn.TEXTAFTER(_xlfn.TEXTBEFORE(batch_summary[[#This Row],[video]],"_",1),"-",3)</f>
        <v>20</v>
      </c>
      <c r="AJ574" s="1" t="str">
        <f>_xlfn.TEXTBEFORE(_xlfn.TEXTAFTER(batch_summary[[#This Row],[video]],"_",1),"_",1)</f>
        <v>20260312</v>
      </c>
      <c r="AK574" s="1" t="str">
        <f>_xlfn.TEXTBEFORE(_xlfn.TEXTAFTER(batch_summary[[#This Row],[video]],"_",2),".",1)</f>
        <v>190000</v>
      </c>
    </row>
    <row r="575" spans="1:37" x14ac:dyDescent="0.2">
      <c r="A575" s="1" t="s">
        <v>314</v>
      </c>
      <c r="B575" s="1" t="s">
        <v>315</v>
      </c>
      <c r="C575">
        <v>119.95833333333333</v>
      </c>
      <c r="D575">
        <v>2879</v>
      </c>
      <c r="E575">
        <v>0.34611902758479118</v>
      </c>
      <c r="F575">
        <v>44.12360757496208</v>
      </c>
      <c r="G575">
        <v>1.2022196164806919E-4</v>
      </c>
      <c r="H575">
        <v>1.5326018608878805E-2</v>
      </c>
      <c r="I575">
        <v>5</v>
      </c>
      <c r="J575" t="b">
        <v>1</v>
      </c>
      <c r="K575">
        <v>0.65</v>
      </c>
      <c r="L575">
        <v>1.3</v>
      </c>
      <c r="M575" t="b">
        <v>1</v>
      </c>
      <c r="N575">
        <v>200</v>
      </c>
      <c r="O575" t="b">
        <v>0</v>
      </c>
      <c r="P575" t="b">
        <v>0</v>
      </c>
      <c r="Q575">
        <v>0.7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s="1" t="s">
        <v>316</v>
      </c>
      <c r="AG575" s="1" t="s">
        <v>317</v>
      </c>
      <c r="AH575" s="1" t="s">
        <v>318</v>
      </c>
      <c r="AI575" s="1" t="str">
        <f>_xlfn.TEXTAFTER(_xlfn.TEXTBEFORE(batch_summary[[#This Row],[video]],"_",1),"-",3)</f>
        <v>20</v>
      </c>
      <c r="AJ575" s="1" t="str">
        <f>_xlfn.TEXTBEFORE(_xlfn.TEXTAFTER(batch_summary[[#This Row],[video]],"_",1),"_",1)</f>
        <v>20260313</v>
      </c>
      <c r="AK575" s="1" t="str">
        <f>_xlfn.TEXTBEFORE(_xlfn.TEXTAFTER(batch_summary[[#This Row],[video]],"_",2),".",1)</f>
        <v>060000</v>
      </c>
    </row>
    <row r="576" spans="1:37" x14ac:dyDescent="0.2">
      <c r="A576" s="1" t="s">
        <v>319</v>
      </c>
      <c r="B576" s="1" t="s">
        <v>320</v>
      </c>
      <c r="C576">
        <v>119.95833333333333</v>
      </c>
      <c r="D576">
        <v>2879</v>
      </c>
      <c r="E576">
        <v>0.32727478817105293</v>
      </c>
      <c r="F576">
        <v>43.606058483012021</v>
      </c>
      <c r="G576">
        <v>1.1367655025045257E-4</v>
      </c>
      <c r="H576">
        <v>1.5146251643977777E-2</v>
      </c>
      <c r="I576">
        <v>5</v>
      </c>
      <c r="J576" t="b">
        <v>1</v>
      </c>
      <c r="K576">
        <v>0.65</v>
      </c>
      <c r="L576">
        <v>1.3</v>
      </c>
      <c r="M576" t="b">
        <v>1</v>
      </c>
      <c r="N576">
        <v>200</v>
      </c>
      <c r="O576" t="b">
        <v>0</v>
      </c>
      <c r="P576" t="b">
        <v>0</v>
      </c>
      <c r="Q576">
        <v>0.7</v>
      </c>
      <c r="R576">
        <v>15394.662134885788</v>
      </c>
      <c r="S576">
        <v>12960.492718994617</v>
      </c>
      <c r="T576">
        <v>0</v>
      </c>
      <c r="U576">
        <v>0</v>
      </c>
      <c r="V576">
        <v>28355.154853880405</v>
      </c>
      <c r="W576">
        <v>0</v>
      </c>
      <c r="X576">
        <v>236.37503177948238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28355154853.880405</v>
      </c>
      <c r="AF576" s="1" t="s">
        <v>321</v>
      </c>
      <c r="AG576" s="1" t="s">
        <v>322</v>
      </c>
      <c r="AH576" s="1" t="s">
        <v>323</v>
      </c>
      <c r="AI576" s="1" t="str">
        <f>_xlfn.TEXTAFTER(_xlfn.TEXTBEFORE(batch_summary[[#This Row],[video]],"_",1),"-",3)</f>
        <v>20</v>
      </c>
      <c r="AJ576" s="1" t="str">
        <f>_xlfn.TEXTBEFORE(_xlfn.TEXTAFTER(batch_summary[[#This Row],[video]],"_",1),"_",1)</f>
        <v>20260313</v>
      </c>
      <c r="AK576" s="1" t="str">
        <f>_xlfn.TEXTBEFORE(_xlfn.TEXTAFTER(batch_summary[[#This Row],[video]],"_",2),".",1)</f>
        <v>070000</v>
      </c>
    </row>
    <row r="577" spans="1:37" x14ac:dyDescent="0.2">
      <c r="A577" s="1" t="s">
        <v>324</v>
      </c>
      <c r="B577" s="1" t="s">
        <v>325</v>
      </c>
      <c r="C577">
        <v>119.95833333333333</v>
      </c>
      <c r="D577">
        <v>2879</v>
      </c>
      <c r="E577">
        <v>0.32858075574040413</v>
      </c>
      <c r="F577">
        <v>43.741789281368256</v>
      </c>
      <c r="G577">
        <v>1.1413016871844534E-4</v>
      </c>
      <c r="H577">
        <v>1.5193396763240103E-2</v>
      </c>
      <c r="I577">
        <v>5</v>
      </c>
      <c r="J577" t="b">
        <v>1</v>
      </c>
      <c r="K577">
        <v>0.65</v>
      </c>
      <c r="L577">
        <v>1.3</v>
      </c>
      <c r="M577" t="b">
        <v>1</v>
      </c>
      <c r="N577">
        <v>200</v>
      </c>
      <c r="O577" t="b">
        <v>0</v>
      </c>
      <c r="P577" t="b">
        <v>0</v>
      </c>
      <c r="Q577">
        <v>0.7</v>
      </c>
      <c r="R577">
        <v>169112.52458691597</v>
      </c>
      <c r="S577">
        <v>154132.58590102196</v>
      </c>
      <c r="T577">
        <v>130550.05246734619</v>
      </c>
      <c r="U577">
        <v>104511.07013094425</v>
      </c>
      <c r="V577">
        <v>323245.11048793793</v>
      </c>
      <c r="W577">
        <v>235061.12259829044</v>
      </c>
      <c r="X577">
        <v>2694.6448946545711</v>
      </c>
      <c r="Y577">
        <v>1959.5230782768222</v>
      </c>
      <c r="Z577">
        <v>568.32344268798829</v>
      </c>
      <c r="AA577">
        <v>58.765280649572603</v>
      </c>
      <c r="AB577">
        <v>1305.500524673462</v>
      </c>
      <c r="AC577">
        <v>1045.1107013094424</v>
      </c>
      <c r="AD577">
        <v>2350.6112259829042</v>
      </c>
      <c r="AE577">
        <v>1.3751534363270705</v>
      </c>
      <c r="AF577" s="1" t="s">
        <v>326</v>
      </c>
      <c r="AG577" s="1" t="s">
        <v>327</v>
      </c>
      <c r="AH577" s="1" t="s">
        <v>328</v>
      </c>
      <c r="AI577" s="1" t="str">
        <f>_xlfn.TEXTAFTER(_xlfn.TEXTBEFORE(batch_summary[[#This Row],[video]],"_",1),"-",3)</f>
        <v>20</v>
      </c>
      <c r="AJ577" s="1" t="str">
        <f>_xlfn.TEXTBEFORE(_xlfn.TEXTAFTER(batch_summary[[#This Row],[video]],"_",1),"_",1)</f>
        <v>20260313</v>
      </c>
      <c r="AK577" s="1" t="str">
        <f>_xlfn.TEXTBEFORE(_xlfn.TEXTAFTER(batch_summary[[#This Row],[video]],"_",2),".",1)</f>
        <v>080000</v>
      </c>
    </row>
    <row r="578" spans="1:37" x14ac:dyDescent="0.2">
      <c r="A578" s="1" t="s">
        <v>329</v>
      </c>
      <c r="B578" s="1" t="s">
        <v>330</v>
      </c>
      <c r="C578">
        <v>119.95833333333333</v>
      </c>
      <c r="D578">
        <v>2879</v>
      </c>
      <c r="E578">
        <v>0.32905101589858532</v>
      </c>
      <c r="F578">
        <v>43.223681620322168</v>
      </c>
      <c r="G578">
        <v>1.1429351021138774E-4</v>
      </c>
      <c r="H578">
        <v>1.5013435783369979E-2</v>
      </c>
      <c r="I578">
        <v>5</v>
      </c>
      <c r="J578" t="b">
        <v>1</v>
      </c>
      <c r="K578">
        <v>0.65</v>
      </c>
      <c r="L578">
        <v>1.3</v>
      </c>
      <c r="M578" t="b">
        <v>1</v>
      </c>
      <c r="N578">
        <v>200</v>
      </c>
      <c r="O578" t="b">
        <v>0</v>
      </c>
      <c r="P578" t="b">
        <v>0</v>
      </c>
      <c r="Q578">
        <v>0.7</v>
      </c>
      <c r="R578">
        <v>22867.142484605312</v>
      </c>
      <c r="S578">
        <v>25258.079294919968</v>
      </c>
      <c r="T578">
        <v>0</v>
      </c>
      <c r="U578">
        <v>0</v>
      </c>
      <c r="V578">
        <v>48125.22177952528</v>
      </c>
      <c r="W578">
        <v>0</v>
      </c>
      <c r="X578">
        <v>401.18281441771683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48125221779.525284</v>
      </c>
      <c r="AF578" s="1" t="s">
        <v>331</v>
      </c>
      <c r="AG578" s="1" t="s">
        <v>332</v>
      </c>
      <c r="AH578" s="1" t="s">
        <v>333</v>
      </c>
      <c r="AI578" s="1" t="str">
        <f>_xlfn.TEXTAFTER(_xlfn.TEXTBEFORE(batch_summary[[#This Row],[video]],"_",1),"-",3)</f>
        <v>20</v>
      </c>
      <c r="AJ578" s="1" t="str">
        <f>_xlfn.TEXTBEFORE(_xlfn.TEXTAFTER(batch_summary[[#This Row],[video]],"_",1),"_",1)</f>
        <v>20260313</v>
      </c>
      <c r="AK578" s="1" t="str">
        <f>_xlfn.TEXTBEFORE(_xlfn.TEXTAFTER(batch_summary[[#This Row],[video]],"_",2),".",1)</f>
        <v>090000</v>
      </c>
    </row>
    <row r="579" spans="1:37" x14ac:dyDescent="0.2">
      <c r="A579" s="1" t="s">
        <v>334</v>
      </c>
      <c r="B579" s="1" t="s">
        <v>335</v>
      </c>
      <c r="C579">
        <v>119.95833333333333</v>
      </c>
      <c r="D579">
        <v>2879</v>
      </c>
      <c r="E579">
        <v>0.31386300269514322</v>
      </c>
      <c r="F579">
        <v>44.485896149650216</v>
      </c>
      <c r="G579">
        <v>1.0901806276316194E-4</v>
      </c>
      <c r="H579">
        <v>1.5451856946735053E-2</v>
      </c>
      <c r="I579">
        <v>5</v>
      </c>
      <c r="J579" t="b">
        <v>1</v>
      </c>
      <c r="K579">
        <v>0.65</v>
      </c>
      <c r="L579">
        <v>1.3</v>
      </c>
      <c r="M579" t="b">
        <v>1</v>
      </c>
      <c r="N579">
        <v>200</v>
      </c>
      <c r="O579" t="b">
        <v>0</v>
      </c>
      <c r="P579" t="b">
        <v>0</v>
      </c>
      <c r="Q579">
        <v>0.7</v>
      </c>
      <c r="R579">
        <v>412669.43481498957</v>
      </c>
      <c r="S579">
        <v>453306.31319451332</v>
      </c>
      <c r="T579">
        <v>344472.94395160675</v>
      </c>
      <c r="U579">
        <v>369630.05509322882</v>
      </c>
      <c r="V579">
        <v>865975.74800950289</v>
      </c>
      <c r="W579">
        <v>714102.99904483557</v>
      </c>
      <c r="X579">
        <v>7218.9711539520913</v>
      </c>
      <c r="Y579">
        <v>5952.925313329647</v>
      </c>
      <c r="Z579">
        <v>1316.3889002227784</v>
      </c>
      <c r="AA579">
        <v>178.52574976120889</v>
      </c>
      <c r="AB579">
        <v>3444.7294395160675</v>
      </c>
      <c r="AC579">
        <v>3696.3005509322884</v>
      </c>
      <c r="AD579">
        <v>7141.0299904483563</v>
      </c>
      <c r="AE579">
        <v>1.2126762514200446</v>
      </c>
      <c r="AF579" s="1" t="s">
        <v>336</v>
      </c>
      <c r="AG579" s="1" t="s">
        <v>337</v>
      </c>
      <c r="AH579" s="1" t="s">
        <v>338</v>
      </c>
      <c r="AI579" s="1" t="str">
        <f>_xlfn.TEXTAFTER(_xlfn.TEXTBEFORE(batch_summary[[#This Row],[video]],"_",1),"-",3)</f>
        <v>20</v>
      </c>
      <c r="AJ579" s="1" t="str">
        <f>_xlfn.TEXTBEFORE(_xlfn.TEXTAFTER(batch_summary[[#This Row],[video]],"_",1),"_",1)</f>
        <v>20260313</v>
      </c>
      <c r="AK579" s="1" t="str">
        <f>_xlfn.TEXTBEFORE(_xlfn.TEXTAFTER(batch_summary[[#This Row],[video]],"_",2),".",1)</f>
        <v>100000</v>
      </c>
    </row>
    <row r="580" spans="1:37" x14ac:dyDescent="0.2">
      <c r="A580" s="1" t="s">
        <v>339</v>
      </c>
      <c r="B580" s="1" t="s">
        <v>340</v>
      </c>
      <c r="C580">
        <v>119.95833333333333</v>
      </c>
      <c r="D580">
        <v>2879</v>
      </c>
      <c r="E580">
        <v>0.31766603048890829</v>
      </c>
      <c r="F580">
        <v>45.196024486795068</v>
      </c>
      <c r="G580">
        <v>1.1033901718961733E-4</v>
      </c>
      <c r="H580">
        <v>1.5698514931154938E-2</v>
      </c>
      <c r="I580">
        <v>5</v>
      </c>
      <c r="J580" t="b">
        <v>1</v>
      </c>
      <c r="K580">
        <v>0.65</v>
      </c>
      <c r="L580">
        <v>1.3</v>
      </c>
      <c r="M580" t="b">
        <v>1</v>
      </c>
      <c r="N580">
        <v>200</v>
      </c>
      <c r="O580" t="b">
        <v>0</v>
      </c>
      <c r="P580" t="b">
        <v>0</v>
      </c>
      <c r="Q580">
        <v>0.7</v>
      </c>
      <c r="R580">
        <v>890295.63610839844</v>
      </c>
      <c r="S580">
        <v>875479.35711789131</v>
      </c>
      <c r="T580">
        <v>771671.0893471241</v>
      </c>
      <c r="U580">
        <v>739844.86447793245</v>
      </c>
      <c r="V580">
        <v>1765774.9932262897</v>
      </c>
      <c r="W580">
        <v>1511515.9538250566</v>
      </c>
      <c r="X580">
        <v>14719.902687541145</v>
      </c>
      <c r="Y580">
        <v>12600.341400417283</v>
      </c>
      <c r="Z580">
        <v>1974.4993641746046</v>
      </c>
      <c r="AA580">
        <v>377.87898845626415</v>
      </c>
      <c r="AB580">
        <v>7716.7108934712414</v>
      </c>
      <c r="AC580">
        <v>7398.4486447793242</v>
      </c>
      <c r="AD580">
        <v>15115.159538250566</v>
      </c>
      <c r="AE580">
        <v>1.1682145919517442</v>
      </c>
      <c r="AF580" s="1" t="s">
        <v>341</v>
      </c>
      <c r="AG580" s="1" t="s">
        <v>342</v>
      </c>
      <c r="AH580" s="1" t="s">
        <v>343</v>
      </c>
      <c r="AI580" s="1" t="str">
        <f>_xlfn.TEXTAFTER(_xlfn.TEXTBEFORE(batch_summary[[#This Row],[video]],"_",1),"-",3)</f>
        <v>20</v>
      </c>
      <c r="AJ580" s="1" t="str">
        <f>_xlfn.TEXTBEFORE(_xlfn.TEXTAFTER(batch_summary[[#This Row],[video]],"_",1),"_",1)</f>
        <v>20260313</v>
      </c>
      <c r="AK580" s="1" t="str">
        <f>_xlfn.TEXTBEFORE(_xlfn.TEXTAFTER(batch_summary[[#This Row],[video]],"_",2),".",1)</f>
        <v>110000</v>
      </c>
    </row>
    <row r="581" spans="1:37" x14ac:dyDescent="0.2">
      <c r="A581" s="1" t="s">
        <v>344</v>
      </c>
      <c r="B581" s="1" t="s">
        <v>345</v>
      </c>
      <c r="C581">
        <v>119.95833333333333</v>
      </c>
      <c r="D581">
        <v>2879</v>
      </c>
      <c r="E581">
        <v>0.33091157581657171</v>
      </c>
      <c r="F581">
        <v>44.779320998117328</v>
      </c>
      <c r="G581">
        <v>1.1493976235379358E-4</v>
      </c>
      <c r="H581">
        <v>1.5553775963222414E-2</v>
      </c>
      <c r="I581">
        <v>5</v>
      </c>
      <c r="J581" t="b">
        <v>1</v>
      </c>
      <c r="K581">
        <v>0.65</v>
      </c>
      <c r="L581">
        <v>1.3</v>
      </c>
      <c r="M581" t="b">
        <v>1</v>
      </c>
      <c r="N581">
        <v>200</v>
      </c>
      <c r="O581" t="b">
        <v>0</v>
      </c>
      <c r="P581" t="b">
        <v>0</v>
      </c>
      <c r="Q581">
        <v>0.7</v>
      </c>
      <c r="R581">
        <v>4552525.4218466878</v>
      </c>
      <c r="S581">
        <v>4160231.6325119138</v>
      </c>
      <c r="T581">
        <v>3851462.4965729117</v>
      </c>
      <c r="U581">
        <v>3427764.5603252053</v>
      </c>
      <c r="V581">
        <v>8712757.0543586016</v>
      </c>
      <c r="W581">
        <v>7279227.0568981171</v>
      </c>
      <c r="X581">
        <v>72631.528066900471</v>
      </c>
      <c r="Y581">
        <v>60681.295368376108</v>
      </c>
      <c r="Z581">
        <v>5337.7764520263672</v>
      </c>
      <c r="AA581">
        <v>1819.8067642245296</v>
      </c>
      <c r="AB581">
        <v>38514.624965729119</v>
      </c>
      <c r="AC581">
        <v>34277.645603252051</v>
      </c>
      <c r="AD581">
        <v>72792.27056898117</v>
      </c>
      <c r="AE581">
        <v>1.1969343704015949</v>
      </c>
      <c r="AF581" s="1" t="s">
        <v>346</v>
      </c>
      <c r="AG581" s="1" t="s">
        <v>347</v>
      </c>
      <c r="AH581" s="1" t="s">
        <v>348</v>
      </c>
      <c r="AI581" s="1" t="str">
        <f>_xlfn.TEXTAFTER(_xlfn.TEXTBEFORE(batch_summary[[#This Row],[video]],"_",1),"-",3)</f>
        <v>20</v>
      </c>
      <c r="AJ581" s="1" t="str">
        <f>_xlfn.TEXTBEFORE(_xlfn.TEXTAFTER(batch_summary[[#This Row],[video]],"_",1),"_",1)</f>
        <v>20260313</v>
      </c>
      <c r="AK581" s="1" t="str">
        <f>_xlfn.TEXTBEFORE(_xlfn.TEXTAFTER(batch_summary[[#This Row],[video]],"_",2),".",1)</f>
        <v>120000</v>
      </c>
    </row>
    <row r="582" spans="1:37" x14ac:dyDescent="0.2">
      <c r="A582" s="1" t="s">
        <v>349</v>
      </c>
      <c r="B582" s="1" t="s">
        <v>350</v>
      </c>
      <c r="C582">
        <v>119.95833333333333</v>
      </c>
      <c r="D582">
        <v>2879</v>
      </c>
      <c r="E582">
        <v>0.29140460211783648</v>
      </c>
      <c r="F582">
        <v>43.90191030036658</v>
      </c>
      <c r="G582">
        <v>1.0121729840841837E-4</v>
      </c>
      <c r="H582">
        <v>1.5249013650700445E-2</v>
      </c>
      <c r="I582">
        <v>5</v>
      </c>
      <c r="J582" t="b">
        <v>1</v>
      </c>
      <c r="K582">
        <v>0.65</v>
      </c>
      <c r="L582">
        <v>1.3</v>
      </c>
      <c r="M582" t="b">
        <v>1</v>
      </c>
      <c r="N582">
        <v>200</v>
      </c>
      <c r="O582" t="b">
        <v>0</v>
      </c>
      <c r="P582" t="b">
        <v>0</v>
      </c>
      <c r="Q582">
        <v>0.7</v>
      </c>
      <c r="R582">
        <v>13784449.619347513</v>
      </c>
      <c r="S582">
        <v>15175256.555077791</v>
      </c>
      <c r="T582">
        <v>12643782.602453768</v>
      </c>
      <c r="U582">
        <v>13999952.725583613</v>
      </c>
      <c r="V582">
        <v>28959706.174425304</v>
      </c>
      <c r="W582">
        <v>26643735.328037381</v>
      </c>
      <c r="X582">
        <v>241414.70933873128</v>
      </c>
      <c r="Y582">
        <v>222108.24865331614</v>
      </c>
      <c r="Z582">
        <v>10676.440086059571</v>
      </c>
      <c r="AA582">
        <v>6660.9338320093448</v>
      </c>
      <c r="AB582">
        <v>126437.82602453769</v>
      </c>
      <c r="AC582">
        <v>139999.52725583612</v>
      </c>
      <c r="AD582">
        <v>266437.35328037379</v>
      </c>
      <c r="AE582">
        <v>1.086923654580475</v>
      </c>
      <c r="AF582" s="1" t="s">
        <v>351</v>
      </c>
      <c r="AG582" s="1" t="s">
        <v>352</v>
      </c>
      <c r="AH582" s="1" t="s">
        <v>353</v>
      </c>
      <c r="AI582" s="1" t="str">
        <f>_xlfn.TEXTAFTER(_xlfn.TEXTBEFORE(batch_summary[[#This Row],[video]],"_",1),"-",3)</f>
        <v>20</v>
      </c>
      <c r="AJ582" s="1" t="str">
        <f>_xlfn.TEXTBEFORE(_xlfn.TEXTAFTER(batch_summary[[#This Row],[video]],"_",1),"_",1)</f>
        <v>20260313</v>
      </c>
      <c r="AK582" s="1" t="str">
        <f>_xlfn.TEXTBEFORE(_xlfn.TEXTAFTER(batch_summary[[#This Row],[video]],"_",2),".",1)</f>
        <v>130000</v>
      </c>
    </row>
    <row r="583" spans="1:37" x14ac:dyDescent="0.2">
      <c r="A583" s="1" t="s">
        <v>354</v>
      </c>
      <c r="B583" s="1" t="s">
        <v>355</v>
      </c>
      <c r="C583">
        <v>119.95833333333333</v>
      </c>
      <c r="D583">
        <v>2879</v>
      </c>
      <c r="E583">
        <v>0.33833409007638693</v>
      </c>
      <c r="F583">
        <v>44.998311783187091</v>
      </c>
      <c r="G583">
        <v>1.175179194429965E-4</v>
      </c>
      <c r="H583">
        <v>1.5629840841676654E-2</v>
      </c>
      <c r="I583">
        <v>5</v>
      </c>
      <c r="J583" t="b">
        <v>1</v>
      </c>
      <c r="K583">
        <v>0.65</v>
      </c>
      <c r="L583">
        <v>1.3</v>
      </c>
      <c r="M583" t="b">
        <v>1</v>
      </c>
      <c r="N583">
        <v>200</v>
      </c>
      <c r="O583" t="b">
        <v>0</v>
      </c>
      <c r="P583" t="b">
        <v>0</v>
      </c>
      <c r="Q583">
        <v>0.7</v>
      </c>
      <c r="R583">
        <v>4460059.4774240255</v>
      </c>
      <c r="S583">
        <v>4672822.528632164</v>
      </c>
      <c r="T583">
        <v>3946677.0649201274</v>
      </c>
      <c r="U583">
        <v>4118930.5301218033</v>
      </c>
      <c r="V583">
        <v>9132882.0060561895</v>
      </c>
      <c r="W583">
        <v>8065607.5950419307</v>
      </c>
      <c r="X583">
        <v>76133.785392618462</v>
      </c>
      <c r="Y583">
        <v>67236.742716570458</v>
      </c>
      <c r="Z583">
        <v>4868.0722113418578</v>
      </c>
      <c r="AA583">
        <v>2016.4018987604825</v>
      </c>
      <c r="AB583">
        <v>39466.770649201273</v>
      </c>
      <c r="AC583">
        <v>41189.305301218032</v>
      </c>
      <c r="AD583">
        <v>80656.075950419297</v>
      </c>
      <c r="AE583">
        <v>1.1323241179834154</v>
      </c>
      <c r="AF583" s="1" t="s">
        <v>356</v>
      </c>
      <c r="AG583" s="1" t="s">
        <v>357</v>
      </c>
      <c r="AH583" s="1" t="s">
        <v>358</v>
      </c>
      <c r="AI583" s="1" t="str">
        <f>_xlfn.TEXTAFTER(_xlfn.TEXTBEFORE(batch_summary[[#This Row],[video]],"_",1),"-",3)</f>
        <v>20</v>
      </c>
      <c r="AJ583" s="1" t="str">
        <f>_xlfn.TEXTBEFORE(_xlfn.TEXTAFTER(batch_summary[[#This Row],[video]],"_",1),"_",1)</f>
        <v>20260313</v>
      </c>
      <c r="AK583" s="1" t="str">
        <f>_xlfn.TEXTBEFORE(_xlfn.TEXTAFTER(batch_summary[[#This Row],[video]],"_",2),".",1)</f>
        <v>140000</v>
      </c>
    </row>
    <row r="584" spans="1:37" x14ac:dyDescent="0.2">
      <c r="A584" s="1" t="s">
        <v>359</v>
      </c>
      <c r="B584" s="1" t="s">
        <v>360</v>
      </c>
      <c r="C584">
        <v>119.95833333333333</v>
      </c>
      <c r="D584">
        <v>2879</v>
      </c>
      <c r="E584">
        <v>0.33933956362307072</v>
      </c>
      <c r="F584">
        <v>44.54189028032124</v>
      </c>
      <c r="G584">
        <v>1.1786716346754801E-4</v>
      </c>
      <c r="H584">
        <v>1.5471306106398486E-2</v>
      </c>
      <c r="I584">
        <v>5</v>
      </c>
      <c r="J584" t="b">
        <v>1</v>
      </c>
      <c r="K584">
        <v>0.65</v>
      </c>
      <c r="L584">
        <v>1.3</v>
      </c>
      <c r="M584" t="b">
        <v>1</v>
      </c>
      <c r="N584">
        <v>200</v>
      </c>
      <c r="O584" t="b">
        <v>0</v>
      </c>
      <c r="P584" t="b">
        <v>0</v>
      </c>
      <c r="Q584">
        <v>0.7</v>
      </c>
      <c r="R584">
        <v>3727643.6579869986</v>
      </c>
      <c r="S584">
        <v>3403976.4184203148</v>
      </c>
      <c r="T584">
        <v>3210950.887396574</v>
      </c>
      <c r="U584">
        <v>2850498.3528758883</v>
      </c>
      <c r="V584">
        <v>7131620.0764073133</v>
      </c>
      <c r="W584">
        <v>6061449.2402724624</v>
      </c>
      <c r="X584">
        <v>59450.809945736553</v>
      </c>
      <c r="Y584">
        <v>50529.622009912855</v>
      </c>
      <c r="Z584">
        <v>4038.6282863616943</v>
      </c>
      <c r="AA584">
        <v>1515.3623100681157</v>
      </c>
      <c r="AB584">
        <v>32109.50887396574</v>
      </c>
      <c r="AC584">
        <v>28504.983528758883</v>
      </c>
      <c r="AD584">
        <v>60614.492402724623</v>
      </c>
      <c r="AE584">
        <v>1.1765536250018562</v>
      </c>
      <c r="AF584" s="1" t="s">
        <v>361</v>
      </c>
      <c r="AG584" s="1" t="s">
        <v>362</v>
      </c>
      <c r="AH584" s="1" t="s">
        <v>363</v>
      </c>
      <c r="AI584" s="1" t="str">
        <f>_xlfn.TEXTAFTER(_xlfn.TEXTBEFORE(batch_summary[[#This Row],[video]],"_",1),"-",3)</f>
        <v>20</v>
      </c>
      <c r="AJ584" s="1" t="str">
        <f>_xlfn.TEXTBEFORE(_xlfn.TEXTAFTER(batch_summary[[#This Row],[video]],"_",1),"_",1)</f>
        <v>20260313</v>
      </c>
      <c r="AK584" s="1" t="str">
        <f>_xlfn.TEXTBEFORE(_xlfn.TEXTAFTER(batch_summary[[#This Row],[video]],"_",2),".",1)</f>
        <v>150000</v>
      </c>
    </row>
    <row r="585" spans="1:37" x14ac:dyDescent="0.2">
      <c r="A585" s="1" t="s">
        <v>364</v>
      </c>
      <c r="B585" s="1" t="s">
        <v>365</v>
      </c>
      <c r="C585">
        <v>119.95833333333333</v>
      </c>
      <c r="D585">
        <v>2879</v>
      </c>
      <c r="E585">
        <v>0.3312171483412385</v>
      </c>
      <c r="F585">
        <v>43.874869620427489</v>
      </c>
      <c r="G585">
        <v>1.1504590077847811E-4</v>
      </c>
      <c r="H585">
        <v>1.5239621264476377E-2</v>
      </c>
      <c r="I585">
        <v>5</v>
      </c>
      <c r="J585" t="b">
        <v>1</v>
      </c>
      <c r="K585">
        <v>0.65</v>
      </c>
      <c r="L585">
        <v>1.3</v>
      </c>
      <c r="M585" t="b">
        <v>1</v>
      </c>
      <c r="N585">
        <v>200</v>
      </c>
      <c r="O585" t="b">
        <v>0</v>
      </c>
      <c r="P585" t="b">
        <v>0</v>
      </c>
      <c r="Q585">
        <v>0.7</v>
      </c>
      <c r="R585">
        <v>554770.1133223772</v>
      </c>
      <c r="S585">
        <v>291680.71647584438</v>
      </c>
      <c r="T585">
        <v>487700.4129743576</v>
      </c>
      <c r="U585">
        <v>246345.16042083502</v>
      </c>
      <c r="V585">
        <v>846450.82979822159</v>
      </c>
      <c r="W585">
        <v>734045.57339519262</v>
      </c>
      <c r="X585">
        <v>7056.2069868556164</v>
      </c>
      <c r="Y585">
        <v>6119.1711571672886</v>
      </c>
      <c r="Z585">
        <v>993.74595855712892</v>
      </c>
      <c r="AA585">
        <v>183.51139334879815</v>
      </c>
      <c r="AB585">
        <v>4877.0041297435764</v>
      </c>
      <c r="AC585">
        <v>2463.4516042083501</v>
      </c>
      <c r="AD585">
        <v>7340.455733951927</v>
      </c>
      <c r="AE585">
        <v>1.1531311685228469</v>
      </c>
      <c r="AF585" s="1" t="s">
        <v>366</v>
      </c>
      <c r="AG585" s="1" t="s">
        <v>367</v>
      </c>
      <c r="AH585" s="1" t="s">
        <v>368</v>
      </c>
      <c r="AI585" s="1" t="str">
        <f>_xlfn.TEXTAFTER(_xlfn.TEXTBEFORE(batch_summary[[#This Row],[video]],"_",1),"-",3)</f>
        <v>20</v>
      </c>
      <c r="AJ585" s="1" t="str">
        <f>_xlfn.TEXTBEFORE(_xlfn.TEXTAFTER(batch_summary[[#This Row],[video]],"_",1),"_",1)</f>
        <v>20260313</v>
      </c>
      <c r="AK585" s="1" t="str">
        <f>_xlfn.TEXTBEFORE(_xlfn.TEXTAFTER(batch_summary[[#This Row],[video]],"_",2),".",1)</f>
        <v>160000</v>
      </c>
    </row>
    <row r="586" spans="1:37" x14ac:dyDescent="0.2">
      <c r="A586" s="1" t="s">
        <v>369</v>
      </c>
      <c r="B586" s="1" t="s">
        <v>370</v>
      </c>
      <c r="C586">
        <v>119.95833333333333</v>
      </c>
      <c r="D586">
        <v>2879</v>
      </c>
      <c r="E586">
        <v>0.31356531195342541</v>
      </c>
      <c r="F586">
        <v>43.372734085656703</v>
      </c>
      <c r="G586">
        <v>1.0891466201925161E-4</v>
      </c>
      <c r="H586">
        <v>1.5065208088105837E-2</v>
      </c>
      <c r="I586">
        <v>5</v>
      </c>
      <c r="J586" t="b">
        <v>1</v>
      </c>
      <c r="K586">
        <v>0.65</v>
      </c>
      <c r="L586">
        <v>1.3</v>
      </c>
      <c r="M586" t="b">
        <v>1</v>
      </c>
      <c r="N586">
        <v>200</v>
      </c>
      <c r="O586" t="b">
        <v>0</v>
      </c>
      <c r="P586" t="b">
        <v>0</v>
      </c>
      <c r="Q586">
        <v>0.7</v>
      </c>
      <c r="R586">
        <v>278283.23071283102</v>
      </c>
      <c r="S586">
        <v>111352.368948102</v>
      </c>
      <c r="T586">
        <v>217244.82964038849</v>
      </c>
      <c r="U586">
        <v>68839.774433016777</v>
      </c>
      <c r="V586">
        <v>389635.59966093302</v>
      </c>
      <c r="W586">
        <v>286084.60407340527</v>
      </c>
      <c r="X586">
        <v>3248.0911399313627</v>
      </c>
      <c r="Y586">
        <v>2384.866445905428</v>
      </c>
      <c r="Z586">
        <v>947.79961780428891</v>
      </c>
      <c r="AA586">
        <v>71.521151018351318</v>
      </c>
      <c r="AB586">
        <v>2172.4482964038848</v>
      </c>
      <c r="AC586">
        <v>688.39774433016782</v>
      </c>
      <c r="AD586">
        <v>2860.8460407340526</v>
      </c>
      <c r="AE586">
        <v>1.3619593438903062</v>
      </c>
      <c r="AF586" s="1" t="s">
        <v>371</v>
      </c>
      <c r="AG586" s="1" t="s">
        <v>372</v>
      </c>
      <c r="AH586" s="1" t="s">
        <v>373</v>
      </c>
      <c r="AI586" s="1" t="str">
        <f>_xlfn.TEXTAFTER(_xlfn.TEXTBEFORE(batch_summary[[#This Row],[video]],"_",1),"-",3)</f>
        <v>20</v>
      </c>
      <c r="AJ586" s="1" t="str">
        <f>_xlfn.TEXTBEFORE(_xlfn.TEXTAFTER(batch_summary[[#This Row],[video]],"_",1),"_",1)</f>
        <v>20260313</v>
      </c>
      <c r="AK586" s="1" t="str">
        <f>_xlfn.TEXTBEFORE(_xlfn.TEXTAFTER(batch_summary[[#This Row],[video]],"_",2),".",1)</f>
        <v>170000</v>
      </c>
    </row>
    <row r="587" spans="1:37" x14ac:dyDescent="0.2">
      <c r="A587" s="1" t="s">
        <v>374</v>
      </c>
      <c r="B587" s="1" t="s">
        <v>375</v>
      </c>
      <c r="C587">
        <v>119.95833333333333</v>
      </c>
      <c r="D587">
        <v>2879</v>
      </c>
      <c r="E587">
        <v>0.33181411493569613</v>
      </c>
      <c r="F587">
        <v>43.685617566108704</v>
      </c>
      <c r="G587">
        <v>1.1525325284324283E-4</v>
      </c>
      <c r="H587">
        <v>1.5173885920843592E-2</v>
      </c>
      <c r="I587">
        <v>5</v>
      </c>
      <c r="J587" t="b">
        <v>1</v>
      </c>
      <c r="K587">
        <v>0.65</v>
      </c>
      <c r="L587">
        <v>1.3</v>
      </c>
      <c r="M587" t="b">
        <v>1</v>
      </c>
      <c r="N587">
        <v>200</v>
      </c>
      <c r="O587" t="b">
        <v>0</v>
      </c>
      <c r="P587" t="b">
        <v>0</v>
      </c>
      <c r="Q587">
        <v>0.7</v>
      </c>
      <c r="R587">
        <v>150022.90327322483</v>
      </c>
      <c r="S587">
        <v>133342.28488922119</v>
      </c>
      <c r="T587">
        <v>101543.28663539886</v>
      </c>
      <c r="U587">
        <v>81012.740083217621</v>
      </c>
      <c r="V587">
        <v>283365.18816244602</v>
      </c>
      <c r="W587">
        <v>182556.02671861649</v>
      </c>
      <c r="X587">
        <v>2362.1967752340065</v>
      </c>
      <c r="Y587">
        <v>1521.8286353757539</v>
      </c>
      <c r="Z587">
        <v>509.52943018913271</v>
      </c>
      <c r="AA587">
        <v>45.639006679654116</v>
      </c>
      <c r="AB587">
        <v>1015.4328663539886</v>
      </c>
      <c r="AC587">
        <v>810.12740083217625</v>
      </c>
      <c r="AD587">
        <v>1825.5602671861648</v>
      </c>
      <c r="AE587">
        <v>1.552209440881468</v>
      </c>
      <c r="AF587" s="1" t="s">
        <v>376</v>
      </c>
      <c r="AG587" s="1" t="s">
        <v>377</v>
      </c>
      <c r="AH587" s="1" t="s">
        <v>378</v>
      </c>
      <c r="AI587" s="1" t="str">
        <f>_xlfn.TEXTAFTER(_xlfn.TEXTBEFORE(batch_summary[[#This Row],[video]],"_",1),"-",3)</f>
        <v>20</v>
      </c>
      <c r="AJ587" s="1" t="str">
        <f>_xlfn.TEXTBEFORE(_xlfn.TEXTAFTER(batch_summary[[#This Row],[video]],"_",1),"_",1)</f>
        <v>20260313</v>
      </c>
      <c r="AK587" s="1" t="str">
        <f>_xlfn.TEXTBEFORE(_xlfn.TEXTAFTER(batch_summary[[#This Row],[video]],"_",2),".",1)</f>
        <v>180000</v>
      </c>
    </row>
    <row r="588" spans="1:37" x14ac:dyDescent="0.2">
      <c r="A588" s="1" t="s">
        <v>379</v>
      </c>
      <c r="B588" s="1" t="s">
        <v>380</v>
      </c>
      <c r="C588">
        <v>119.95833333333333</v>
      </c>
      <c r="D588">
        <v>2879</v>
      </c>
      <c r="E588">
        <v>0.32412772253155708</v>
      </c>
      <c r="F588">
        <v>43.758296724408865</v>
      </c>
      <c r="G588">
        <v>1.1258343957330917E-4</v>
      </c>
      <c r="H588">
        <v>1.5199130505178488E-2</v>
      </c>
      <c r="I588">
        <v>5</v>
      </c>
      <c r="J588" t="b">
        <v>1</v>
      </c>
      <c r="K588">
        <v>0.65</v>
      </c>
      <c r="L588">
        <v>1.3</v>
      </c>
      <c r="M588" t="b">
        <v>1</v>
      </c>
      <c r="N588">
        <v>200</v>
      </c>
      <c r="O588" t="b">
        <v>0</v>
      </c>
      <c r="P588" t="b">
        <v>0</v>
      </c>
      <c r="Q588">
        <v>0.7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s="1" t="s">
        <v>381</v>
      </c>
      <c r="AG588" s="1" t="s">
        <v>382</v>
      </c>
      <c r="AH588" s="1" t="s">
        <v>383</v>
      </c>
      <c r="AI588" s="1" t="str">
        <f>_xlfn.TEXTAFTER(_xlfn.TEXTBEFORE(batch_summary[[#This Row],[video]],"_",1),"-",3)</f>
        <v>20</v>
      </c>
      <c r="AJ588" s="1" t="str">
        <f>_xlfn.TEXTBEFORE(_xlfn.TEXTAFTER(batch_summary[[#This Row],[video]],"_",1),"_",1)</f>
        <v>20260313</v>
      </c>
      <c r="AK588" s="1" t="str">
        <f>_xlfn.TEXTBEFORE(_xlfn.TEXTAFTER(batch_summary[[#This Row],[video]],"_",2),".",1)</f>
        <v>190000</v>
      </c>
    </row>
    <row r="589" spans="1:37" x14ac:dyDescent="0.2">
      <c r="A589" s="1" t="s">
        <v>384</v>
      </c>
      <c r="B589" s="1" t="s">
        <v>385</v>
      </c>
      <c r="C589">
        <v>119.95833333333333</v>
      </c>
      <c r="D589">
        <v>2879</v>
      </c>
      <c r="E589">
        <v>0.33475778624415398</v>
      </c>
      <c r="F589">
        <v>43.676939249970019</v>
      </c>
      <c r="G589">
        <v>1.1627571595837235E-4</v>
      </c>
      <c r="H589">
        <v>1.5170871569979165E-2</v>
      </c>
      <c r="I589">
        <v>5</v>
      </c>
      <c r="J589" t="b">
        <v>1</v>
      </c>
      <c r="K589">
        <v>0.65</v>
      </c>
      <c r="L589">
        <v>1.3</v>
      </c>
      <c r="M589" t="b">
        <v>1</v>
      </c>
      <c r="N589">
        <v>200</v>
      </c>
      <c r="O589" t="b">
        <v>0</v>
      </c>
      <c r="P589" t="b">
        <v>0</v>
      </c>
      <c r="Q589">
        <v>0.7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s="1" t="s">
        <v>386</v>
      </c>
      <c r="AG589" s="1" t="s">
        <v>387</v>
      </c>
      <c r="AH589" s="1" t="s">
        <v>388</v>
      </c>
      <c r="AI589" s="1" t="str">
        <f>_xlfn.TEXTAFTER(_xlfn.TEXTBEFORE(batch_summary[[#This Row],[video]],"_",1),"-",3)</f>
        <v>20</v>
      </c>
      <c r="AJ589" s="1" t="str">
        <f>_xlfn.TEXTBEFORE(_xlfn.TEXTAFTER(batch_summary[[#This Row],[video]],"_",1),"_",1)</f>
        <v>20260314</v>
      </c>
      <c r="AK589" s="1" t="str">
        <f>_xlfn.TEXTBEFORE(_xlfn.TEXTAFTER(batch_summary[[#This Row],[video]],"_",2),".",1)</f>
        <v>060000</v>
      </c>
    </row>
    <row r="590" spans="1:37" x14ac:dyDescent="0.2">
      <c r="A590" s="1" t="s">
        <v>389</v>
      </c>
      <c r="B590" s="1" t="s">
        <v>390</v>
      </c>
      <c r="C590">
        <v>119.95833333333333</v>
      </c>
      <c r="D590">
        <v>2879</v>
      </c>
      <c r="E590">
        <v>0.31481202691793442</v>
      </c>
      <c r="F590">
        <v>43.432510376907885</v>
      </c>
      <c r="G590">
        <v>1.0934769951994943E-4</v>
      </c>
      <c r="H590">
        <v>1.5085970954118752E-2</v>
      </c>
      <c r="I590">
        <v>5</v>
      </c>
      <c r="J590" t="b">
        <v>1</v>
      </c>
      <c r="K590">
        <v>0.65</v>
      </c>
      <c r="L590">
        <v>1.3</v>
      </c>
      <c r="M590" t="b">
        <v>1</v>
      </c>
      <c r="N590">
        <v>200</v>
      </c>
      <c r="O590" t="b">
        <v>0</v>
      </c>
      <c r="P590" t="b">
        <v>0</v>
      </c>
      <c r="Q590">
        <v>0.7</v>
      </c>
      <c r="R590">
        <v>20470.412920355797</v>
      </c>
      <c r="S590">
        <v>24749.738078296185</v>
      </c>
      <c r="T590">
        <v>362.58599853515625</v>
      </c>
      <c r="U590">
        <v>325.91452026367188</v>
      </c>
      <c r="V590">
        <v>45220.150998651981</v>
      </c>
      <c r="W590">
        <v>688.50051879882812</v>
      </c>
      <c r="X590">
        <v>376.96548244794985</v>
      </c>
      <c r="Y590">
        <v>5.7394972042972823</v>
      </c>
      <c r="Z590">
        <v>3.6258599853515623</v>
      </c>
      <c r="AA590">
        <v>0.172125129699707</v>
      </c>
      <c r="AB590">
        <v>3.6258599853515623</v>
      </c>
      <c r="AC590">
        <v>3.2591452026367187</v>
      </c>
      <c r="AD590">
        <v>6.8850051879882805</v>
      </c>
      <c r="AE590">
        <v>65.679182170470938</v>
      </c>
      <c r="AF590" s="1" t="s">
        <v>391</v>
      </c>
      <c r="AG590" s="1" t="s">
        <v>392</v>
      </c>
      <c r="AH590" s="1" t="s">
        <v>393</v>
      </c>
      <c r="AI590" s="1" t="str">
        <f>_xlfn.TEXTAFTER(_xlfn.TEXTBEFORE(batch_summary[[#This Row],[video]],"_",1),"-",3)</f>
        <v>20</v>
      </c>
      <c r="AJ590" s="1" t="str">
        <f>_xlfn.TEXTBEFORE(_xlfn.TEXTAFTER(batch_summary[[#This Row],[video]],"_",1),"_",1)</f>
        <v>20260314</v>
      </c>
      <c r="AK590" s="1" t="str">
        <f>_xlfn.TEXTBEFORE(_xlfn.TEXTAFTER(batch_summary[[#This Row],[video]],"_",2),".",1)</f>
        <v>070000</v>
      </c>
    </row>
    <row r="591" spans="1:37" x14ac:dyDescent="0.2">
      <c r="A591" s="1" t="s">
        <v>394</v>
      </c>
      <c r="B591" s="1" t="s">
        <v>395</v>
      </c>
      <c r="C591">
        <v>119.95833333333333</v>
      </c>
      <c r="D591">
        <v>2879</v>
      </c>
      <c r="E591">
        <v>0.31312863249331713</v>
      </c>
      <c r="F591">
        <v>43.501866213046014</v>
      </c>
      <c r="G591">
        <v>1.0876298454092294E-4</v>
      </c>
      <c r="H591">
        <v>1.5110061206337622E-2</v>
      </c>
      <c r="I591">
        <v>5</v>
      </c>
      <c r="J591" t="b">
        <v>1</v>
      </c>
      <c r="K591">
        <v>0.65</v>
      </c>
      <c r="L591">
        <v>1.3</v>
      </c>
      <c r="M591" t="b">
        <v>1</v>
      </c>
      <c r="N591">
        <v>200</v>
      </c>
      <c r="O591" t="b">
        <v>0</v>
      </c>
      <c r="P591" t="b">
        <v>0</v>
      </c>
      <c r="Q591">
        <v>0.7</v>
      </c>
      <c r="R591">
        <v>22308.694525957108</v>
      </c>
      <c r="S591">
        <v>24234.860552787781</v>
      </c>
      <c r="T591">
        <v>1082.3504333496094</v>
      </c>
      <c r="U591">
        <v>370.5950927734375</v>
      </c>
      <c r="V591">
        <v>46543.555078744888</v>
      </c>
      <c r="W591">
        <v>1452.9455261230469</v>
      </c>
      <c r="X591">
        <v>387.99768040634854</v>
      </c>
      <c r="Y591">
        <v>12.11208496941755</v>
      </c>
      <c r="Z591">
        <v>6.5136914062500004</v>
      </c>
      <c r="AA591">
        <v>0.36323638153076165</v>
      </c>
      <c r="AB591">
        <v>10.823504333496095</v>
      </c>
      <c r="AC591">
        <v>3.7059509277343752</v>
      </c>
      <c r="AD591">
        <v>14.529455261230471</v>
      </c>
      <c r="AE591">
        <v>32.033929863109826</v>
      </c>
      <c r="AF591" s="1" t="s">
        <v>396</v>
      </c>
      <c r="AG591" s="1" t="s">
        <v>397</v>
      </c>
      <c r="AH591" s="1" t="s">
        <v>398</v>
      </c>
      <c r="AI591" s="1" t="str">
        <f>_xlfn.TEXTAFTER(_xlfn.TEXTBEFORE(batch_summary[[#This Row],[video]],"_",1),"-",3)</f>
        <v>20</v>
      </c>
      <c r="AJ591" s="1" t="str">
        <f>_xlfn.TEXTBEFORE(_xlfn.TEXTAFTER(batch_summary[[#This Row],[video]],"_",1),"_",1)</f>
        <v>20260314</v>
      </c>
      <c r="AK591" s="1" t="str">
        <f>_xlfn.TEXTBEFORE(_xlfn.TEXTAFTER(batch_summary[[#This Row],[video]],"_",2),".",1)</f>
        <v>080000</v>
      </c>
    </row>
    <row r="592" spans="1:37" x14ac:dyDescent="0.2">
      <c r="A592" s="1" t="s">
        <v>399</v>
      </c>
      <c r="B592" s="1" t="s">
        <v>400</v>
      </c>
      <c r="C592">
        <v>119.95833333333333</v>
      </c>
      <c r="D592">
        <v>2879</v>
      </c>
      <c r="E592">
        <v>0.32550906855612993</v>
      </c>
      <c r="F592">
        <v>43.424595730379224</v>
      </c>
      <c r="G592">
        <v>1.1306324020706146E-4</v>
      </c>
      <c r="H592">
        <v>1.5083221858415848E-2</v>
      </c>
      <c r="I592">
        <v>5</v>
      </c>
      <c r="J592" t="b">
        <v>1</v>
      </c>
      <c r="K592">
        <v>0.65</v>
      </c>
      <c r="L592">
        <v>1.3</v>
      </c>
      <c r="M592" t="b">
        <v>1</v>
      </c>
      <c r="N592">
        <v>200</v>
      </c>
      <c r="O592" t="b">
        <v>0</v>
      </c>
      <c r="P592" t="b">
        <v>0</v>
      </c>
      <c r="Q592">
        <v>0.7</v>
      </c>
      <c r="R592">
        <v>13455.574470877647</v>
      </c>
      <c r="S592">
        <v>13687.535074353218</v>
      </c>
      <c r="T592">
        <v>0</v>
      </c>
      <c r="U592">
        <v>0</v>
      </c>
      <c r="V592">
        <v>27143.109545230865</v>
      </c>
      <c r="W592">
        <v>0</v>
      </c>
      <c r="X592">
        <v>226.27114591369948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27143109545.230865</v>
      </c>
      <c r="AF592" s="1" t="s">
        <v>401</v>
      </c>
      <c r="AG592" s="1" t="s">
        <v>402</v>
      </c>
      <c r="AH592" s="1" t="s">
        <v>403</v>
      </c>
      <c r="AI592" s="1" t="str">
        <f>_xlfn.TEXTAFTER(_xlfn.TEXTBEFORE(batch_summary[[#This Row],[video]],"_",1),"-",3)</f>
        <v>20</v>
      </c>
      <c r="AJ592" s="1" t="str">
        <f>_xlfn.TEXTBEFORE(_xlfn.TEXTAFTER(batch_summary[[#This Row],[video]],"_",1),"_",1)</f>
        <v>20260314</v>
      </c>
      <c r="AK592" s="1" t="str">
        <f>_xlfn.TEXTBEFORE(_xlfn.TEXTAFTER(batch_summary[[#This Row],[video]],"_",2),".",1)</f>
        <v>090000</v>
      </c>
    </row>
    <row r="593" spans="1:37" x14ac:dyDescent="0.2">
      <c r="A593" s="1" t="s">
        <v>404</v>
      </c>
      <c r="B593" s="1" t="s">
        <v>405</v>
      </c>
      <c r="C593">
        <v>119.95833333333333</v>
      </c>
      <c r="D593">
        <v>2879</v>
      </c>
      <c r="E593">
        <v>0.31745690386742353</v>
      </c>
      <c r="F593">
        <v>43.485100860707462</v>
      </c>
      <c r="G593">
        <v>1.1026637855763235E-4</v>
      </c>
      <c r="H593">
        <v>1.5104237881454485E-2</v>
      </c>
      <c r="I593">
        <v>5</v>
      </c>
      <c r="J593" t="b">
        <v>1</v>
      </c>
      <c r="K593">
        <v>0.65</v>
      </c>
      <c r="L593">
        <v>1.3</v>
      </c>
      <c r="M593" t="b">
        <v>1</v>
      </c>
      <c r="N593">
        <v>200</v>
      </c>
      <c r="O593" t="b">
        <v>0</v>
      </c>
      <c r="P593" t="b">
        <v>0</v>
      </c>
      <c r="Q593">
        <v>0.7</v>
      </c>
      <c r="R593">
        <v>64314.331102132797</v>
      </c>
      <c r="S593">
        <v>60522.671004772186</v>
      </c>
      <c r="T593">
        <v>23286.908676147461</v>
      </c>
      <c r="U593">
        <v>17824.760238647461</v>
      </c>
      <c r="V593">
        <v>124837.00210690498</v>
      </c>
      <c r="W593">
        <v>41111.668914794922</v>
      </c>
      <c r="X593">
        <v>1040.6696945348106</v>
      </c>
      <c r="Y593">
        <v>342.71623965094761</v>
      </c>
      <c r="Z593">
        <v>157.33026123046875</v>
      </c>
      <c r="AA593">
        <v>10.27791722869873</v>
      </c>
      <c r="AB593">
        <v>232.86908676147462</v>
      </c>
      <c r="AC593">
        <v>178.2476023864746</v>
      </c>
      <c r="AD593">
        <v>411.11668914794922</v>
      </c>
      <c r="AE593">
        <v>3.0365345266238921</v>
      </c>
      <c r="AF593" s="1" t="s">
        <v>406</v>
      </c>
      <c r="AG593" s="1" t="s">
        <v>407</v>
      </c>
      <c r="AH593" s="1" t="s">
        <v>408</v>
      </c>
      <c r="AI593" s="1" t="str">
        <f>_xlfn.TEXTAFTER(_xlfn.TEXTBEFORE(batch_summary[[#This Row],[video]],"_",1),"-",3)</f>
        <v>20</v>
      </c>
      <c r="AJ593" s="1" t="str">
        <f>_xlfn.TEXTBEFORE(_xlfn.TEXTAFTER(batch_summary[[#This Row],[video]],"_",1),"_",1)</f>
        <v>20260314</v>
      </c>
      <c r="AK593" s="1" t="str">
        <f>_xlfn.TEXTBEFORE(_xlfn.TEXTAFTER(batch_summary[[#This Row],[video]],"_",2),".",1)</f>
        <v>100000</v>
      </c>
    </row>
    <row r="594" spans="1:37" x14ac:dyDescent="0.2">
      <c r="A594" s="1" t="s">
        <v>409</v>
      </c>
      <c r="B594" s="1" t="s">
        <v>410</v>
      </c>
      <c r="C594">
        <v>119.95833333333333</v>
      </c>
      <c r="D594">
        <v>2879</v>
      </c>
      <c r="E594">
        <v>0.32908467948436737</v>
      </c>
      <c r="F594">
        <v>43.653358866460621</v>
      </c>
      <c r="G594">
        <v>1.1430520301645271E-4</v>
      </c>
      <c r="H594">
        <v>1.5162681092900528E-2</v>
      </c>
      <c r="I594">
        <v>5</v>
      </c>
      <c r="J594" t="b">
        <v>1</v>
      </c>
      <c r="K594">
        <v>0.65</v>
      </c>
      <c r="L594">
        <v>1.3</v>
      </c>
      <c r="M594" t="b">
        <v>1</v>
      </c>
      <c r="N594">
        <v>200</v>
      </c>
      <c r="O594" t="b">
        <v>0</v>
      </c>
      <c r="P594" t="b">
        <v>0</v>
      </c>
      <c r="Q594">
        <v>0.7</v>
      </c>
      <c r="R594">
        <v>231629.93241161108</v>
      </c>
      <c r="S594">
        <v>200445.31855911016</v>
      </c>
      <c r="T594">
        <v>183892.5814037323</v>
      </c>
      <c r="U594">
        <v>151163.65905952454</v>
      </c>
      <c r="V594">
        <v>432075.25097072124</v>
      </c>
      <c r="W594">
        <v>335056.24046325684</v>
      </c>
      <c r="X594">
        <v>3601.8777434169192</v>
      </c>
      <c r="Y594">
        <v>2793.1051653762293</v>
      </c>
      <c r="Z594">
        <v>2948.5696786689759</v>
      </c>
      <c r="AA594">
        <v>83.764060115814203</v>
      </c>
      <c r="AB594">
        <v>1838.9258140373231</v>
      </c>
      <c r="AC594">
        <v>1511.6365905952453</v>
      </c>
      <c r="AD594">
        <v>3350.5624046325684</v>
      </c>
      <c r="AE594">
        <v>1.2895603746204625</v>
      </c>
      <c r="AF594" s="1" t="s">
        <v>411</v>
      </c>
      <c r="AG594" s="1" t="s">
        <v>412</v>
      </c>
      <c r="AH594" s="1" t="s">
        <v>413</v>
      </c>
      <c r="AI594" s="1" t="str">
        <f>_xlfn.TEXTAFTER(_xlfn.TEXTBEFORE(batch_summary[[#This Row],[video]],"_",1),"-",3)</f>
        <v>20</v>
      </c>
      <c r="AJ594" s="1" t="str">
        <f>_xlfn.TEXTBEFORE(_xlfn.TEXTAFTER(batch_summary[[#This Row],[video]],"_",1),"_",1)</f>
        <v>20260314</v>
      </c>
      <c r="AK594" s="1" t="str">
        <f>_xlfn.TEXTBEFORE(_xlfn.TEXTAFTER(batch_summary[[#This Row],[video]],"_",2),".",1)</f>
        <v>110000</v>
      </c>
    </row>
    <row r="595" spans="1:37" x14ac:dyDescent="0.2">
      <c r="A595" s="1" t="s">
        <v>414</v>
      </c>
      <c r="B595" s="1" t="s">
        <v>415</v>
      </c>
      <c r="C595">
        <v>119.95833333333333</v>
      </c>
      <c r="D595">
        <v>2879</v>
      </c>
      <c r="E595">
        <v>0.32561716996133327</v>
      </c>
      <c r="F595">
        <v>43.405553209595382</v>
      </c>
      <c r="G595">
        <v>1.1310078845478753E-4</v>
      </c>
      <c r="H595">
        <v>1.5076607575406523E-2</v>
      </c>
      <c r="I595">
        <v>5</v>
      </c>
      <c r="J595" t="b">
        <v>1</v>
      </c>
      <c r="K595">
        <v>0.65</v>
      </c>
      <c r="L595">
        <v>1.3</v>
      </c>
      <c r="M595" t="b">
        <v>1</v>
      </c>
      <c r="N595">
        <v>200</v>
      </c>
      <c r="O595" t="b">
        <v>0</v>
      </c>
      <c r="P595" t="b">
        <v>0</v>
      </c>
      <c r="Q595">
        <v>0.7</v>
      </c>
      <c r="R595">
        <v>40797.66949224472</v>
      </c>
      <c r="S595">
        <v>38294.696084260941</v>
      </c>
      <c r="T595">
        <v>20029.734283447266</v>
      </c>
      <c r="U595">
        <v>13588.583038330078</v>
      </c>
      <c r="V595">
        <v>79092.365576505661</v>
      </c>
      <c r="W595">
        <v>33618.317321777344</v>
      </c>
      <c r="X595">
        <v>659.33198118657026</v>
      </c>
      <c r="Y595">
        <v>280.24995335972778</v>
      </c>
      <c r="Z595">
        <v>336.1831732177734</v>
      </c>
      <c r="AA595">
        <v>8.404579330444335</v>
      </c>
      <c r="AB595">
        <v>200.29734283447266</v>
      </c>
      <c r="AC595">
        <v>135.88583038330077</v>
      </c>
      <c r="AD595">
        <v>336.1831732177734</v>
      </c>
      <c r="AE595">
        <v>2.352656881053087</v>
      </c>
      <c r="AF595" s="1" t="s">
        <v>416</v>
      </c>
      <c r="AG595" s="1" t="s">
        <v>417</v>
      </c>
      <c r="AH595" s="1" t="s">
        <v>418</v>
      </c>
      <c r="AI595" s="1" t="str">
        <f>_xlfn.TEXTAFTER(_xlfn.TEXTBEFORE(batch_summary[[#This Row],[video]],"_",1),"-",3)</f>
        <v>20</v>
      </c>
      <c r="AJ595" s="1" t="str">
        <f>_xlfn.TEXTBEFORE(_xlfn.TEXTAFTER(batch_summary[[#This Row],[video]],"_",1),"_",1)</f>
        <v>20260314</v>
      </c>
      <c r="AK595" s="1" t="str">
        <f>_xlfn.TEXTBEFORE(_xlfn.TEXTAFTER(batch_summary[[#This Row],[video]],"_",2),".",1)</f>
        <v>120000</v>
      </c>
    </row>
    <row r="596" spans="1:37" x14ac:dyDescent="0.2">
      <c r="A596" s="1" t="s">
        <v>419</v>
      </c>
      <c r="B596" s="1" t="s">
        <v>420</v>
      </c>
      <c r="C596">
        <v>119.95833333333333</v>
      </c>
      <c r="D596">
        <v>2879</v>
      </c>
      <c r="E596">
        <v>0.27486485987901688</v>
      </c>
      <c r="F596">
        <v>43.525067117996514</v>
      </c>
      <c r="G596">
        <v>9.5472337575205579E-5</v>
      </c>
      <c r="H596">
        <v>1.5118119874260686E-2</v>
      </c>
      <c r="I596">
        <v>5</v>
      </c>
      <c r="J596" t="b">
        <v>1</v>
      </c>
      <c r="K596">
        <v>0.65</v>
      </c>
      <c r="L596">
        <v>1.3</v>
      </c>
      <c r="M596" t="b">
        <v>1</v>
      </c>
      <c r="N596">
        <v>200</v>
      </c>
      <c r="O596" t="b">
        <v>0</v>
      </c>
      <c r="P596" t="b">
        <v>0</v>
      </c>
      <c r="Q596">
        <v>0.7</v>
      </c>
      <c r="R596">
        <v>21960355.526580811</v>
      </c>
      <c r="S596">
        <v>21391584.903333664</v>
      </c>
      <c r="T596">
        <v>20934724.472108841</v>
      </c>
      <c r="U596">
        <v>20431683.250298738</v>
      </c>
      <c r="V596">
        <v>43351940.429914474</v>
      </c>
      <c r="W596">
        <v>41366407.722407579</v>
      </c>
      <c r="X596">
        <v>361391.65346229507</v>
      </c>
      <c r="Y596">
        <v>344839.80039520038</v>
      </c>
      <c r="Z596">
        <v>14091.087393646241</v>
      </c>
      <c r="AA596">
        <v>10341.601930601895</v>
      </c>
      <c r="AB596">
        <v>209347.24472108841</v>
      </c>
      <c r="AC596">
        <v>204316.83250298738</v>
      </c>
      <c r="AD596">
        <v>413664.07722407579</v>
      </c>
      <c r="AE596">
        <v>1.0479986737265408</v>
      </c>
      <c r="AF596" s="1" t="s">
        <v>421</v>
      </c>
      <c r="AG596" s="1" t="s">
        <v>422</v>
      </c>
      <c r="AH596" s="1" t="s">
        <v>423</v>
      </c>
      <c r="AI596" s="1" t="str">
        <f>_xlfn.TEXTAFTER(_xlfn.TEXTBEFORE(batch_summary[[#This Row],[video]],"_",1),"-",3)</f>
        <v>20</v>
      </c>
      <c r="AJ596" s="1" t="str">
        <f>_xlfn.TEXTBEFORE(_xlfn.TEXTAFTER(batch_summary[[#This Row],[video]],"_",1),"_",1)</f>
        <v>20260314</v>
      </c>
      <c r="AK596" s="1" t="str">
        <f>_xlfn.TEXTBEFORE(_xlfn.TEXTAFTER(batch_summary[[#This Row],[video]],"_",2),".",1)</f>
        <v>130000</v>
      </c>
    </row>
    <row r="597" spans="1:37" x14ac:dyDescent="0.2">
      <c r="A597" s="1" t="s">
        <v>424</v>
      </c>
      <c r="B597" s="1" t="s">
        <v>425</v>
      </c>
      <c r="C597">
        <v>119.95833333333333</v>
      </c>
      <c r="D597">
        <v>2879</v>
      </c>
      <c r="E597">
        <v>0.27737071178853512</v>
      </c>
      <c r="F597">
        <v>43.442735813558102</v>
      </c>
      <c r="G597">
        <v>9.6342727262429702E-5</v>
      </c>
      <c r="H597">
        <v>1.5089522686195936E-2</v>
      </c>
      <c r="I597">
        <v>5</v>
      </c>
      <c r="J597" t="b">
        <v>1</v>
      </c>
      <c r="K597">
        <v>0.65</v>
      </c>
      <c r="L597">
        <v>1.3</v>
      </c>
      <c r="M597" t="b">
        <v>1</v>
      </c>
      <c r="N597">
        <v>200</v>
      </c>
      <c r="O597" t="b">
        <v>0</v>
      </c>
      <c r="P597" t="b">
        <v>0</v>
      </c>
      <c r="Q597">
        <v>0.7</v>
      </c>
      <c r="R597">
        <v>25198602.792068481</v>
      </c>
      <c r="S597">
        <v>33417490.432983398</v>
      </c>
      <c r="T597">
        <v>24459686.889619827</v>
      </c>
      <c r="U597">
        <v>32657179.90512085</v>
      </c>
      <c r="V597">
        <v>58616093.22505188</v>
      </c>
      <c r="W597">
        <v>57116866.794740677</v>
      </c>
      <c r="X597">
        <v>488637.10920501745</v>
      </c>
      <c r="Y597">
        <v>476139.21607286431</v>
      </c>
      <c r="Z597">
        <v>17309.778259277344</v>
      </c>
      <c r="AA597">
        <v>14279.21669868517</v>
      </c>
      <c r="AB597">
        <v>244596.86889619828</v>
      </c>
      <c r="AC597">
        <v>326571.79905120848</v>
      </c>
      <c r="AD597">
        <v>571168.66794740676</v>
      </c>
      <c r="AE597">
        <v>1.0262484011193915</v>
      </c>
      <c r="AF597" s="1" t="s">
        <v>426</v>
      </c>
      <c r="AG597" s="1" t="s">
        <v>427</v>
      </c>
      <c r="AH597" s="1" t="s">
        <v>428</v>
      </c>
      <c r="AI597" s="1" t="str">
        <f>_xlfn.TEXTAFTER(_xlfn.TEXTBEFORE(batch_summary[[#This Row],[video]],"_",1),"-",3)</f>
        <v>20</v>
      </c>
      <c r="AJ597" s="1" t="str">
        <f>_xlfn.TEXTBEFORE(_xlfn.TEXTAFTER(batch_summary[[#This Row],[video]],"_",1),"_",1)</f>
        <v>20260314</v>
      </c>
      <c r="AK597" s="1" t="str">
        <f>_xlfn.TEXTBEFORE(_xlfn.TEXTAFTER(batch_summary[[#This Row],[video]],"_",2),".",1)</f>
        <v>140000</v>
      </c>
    </row>
    <row r="598" spans="1:37" x14ac:dyDescent="0.2">
      <c r="A598" s="1" t="s">
        <v>429</v>
      </c>
      <c r="B598" s="1" t="s">
        <v>430</v>
      </c>
      <c r="C598">
        <v>119.95833333333333</v>
      </c>
      <c r="D598">
        <v>2879</v>
      </c>
      <c r="E598">
        <v>0.2768724923953414</v>
      </c>
      <c r="F598">
        <v>43.431156919337809</v>
      </c>
      <c r="G598">
        <v>9.6169674329746929E-5</v>
      </c>
      <c r="H598">
        <v>1.5085500840339635E-2</v>
      </c>
      <c r="I598">
        <v>5</v>
      </c>
      <c r="J598" t="b">
        <v>1</v>
      </c>
      <c r="K598">
        <v>0.65</v>
      </c>
      <c r="L598">
        <v>1.3</v>
      </c>
      <c r="M598" t="b">
        <v>1</v>
      </c>
      <c r="N598">
        <v>200</v>
      </c>
      <c r="O598" t="b">
        <v>0</v>
      </c>
      <c r="P598" t="b">
        <v>0</v>
      </c>
      <c r="Q598">
        <v>0.7</v>
      </c>
      <c r="R598">
        <v>17231544.737493515</v>
      </c>
      <c r="S598">
        <v>18237487.097412109</v>
      </c>
      <c r="T598">
        <v>16157007.574092746</v>
      </c>
      <c r="U598">
        <v>17174858.914298058</v>
      </c>
      <c r="V598">
        <v>35469031.834905624</v>
      </c>
      <c r="W598">
        <v>33331866.488390803</v>
      </c>
      <c r="X598">
        <v>295677.93123922718</v>
      </c>
      <c r="Y598">
        <v>277862.03394282021</v>
      </c>
      <c r="Z598">
        <v>11806.35375793457</v>
      </c>
      <c r="AA598">
        <v>8332.9666220976997</v>
      </c>
      <c r="AB598">
        <v>161570.07574092745</v>
      </c>
      <c r="AC598">
        <v>171748.58914298058</v>
      </c>
      <c r="AD598">
        <v>333318.664883908</v>
      </c>
      <c r="AE598">
        <v>1.0641177819207688</v>
      </c>
      <c r="AF598" s="1" t="s">
        <v>431</v>
      </c>
      <c r="AG598" s="1" t="s">
        <v>432</v>
      </c>
      <c r="AH598" s="1" t="s">
        <v>433</v>
      </c>
      <c r="AI598" s="1" t="str">
        <f>_xlfn.TEXTAFTER(_xlfn.TEXTBEFORE(batch_summary[[#This Row],[video]],"_",1),"-",3)</f>
        <v>20</v>
      </c>
      <c r="AJ598" s="1" t="str">
        <f>_xlfn.TEXTBEFORE(_xlfn.TEXTAFTER(batch_summary[[#This Row],[video]],"_",1),"_",1)</f>
        <v>20260314</v>
      </c>
      <c r="AK598" s="1" t="str">
        <f>_xlfn.TEXTBEFORE(_xlfn.TEXTAFTER(batch_summary[[#This Row],[video]],"_",2),".",1)</f>
        <v>150000</v>
      </c>
    </row>
    <row r="599" spans="1:37" x14ac:dyDescent="0.2">
      <c r="A599" s="1" t="s">
        <v>434</v>
      </c>
      <c r="B599" s="1" t="s">
        <v>435</v>
      </c>
      <c r="C599">
        <v>119.95833333333333</v>
      </c>
      <c r="D599">
        <v>2879</v>
      </c>
      <c r="E599">
        <v>0.30363830551505089</v>
      </c>
      <c r="F599">
        <v>44.321490459144115</v>
      </c>
      <c r="G599">
        <v>1.0546658753562032E-4</v>
      </c>
      <c r="H599">
        <v>1.5394751809358845E-2</v>
      </c>
      <c r="I599">
        <v>5</v>
      </c>
      <c r="J599" t="b">
        <v>1</v>
      </c>
      <c r="K599">
        <v>0.65</v>
      </c>
      <c r="L599">
        <v>1.3</v>
      </c>
      <c r="M599" t="b">
        <v>1</v>
      </c>
      <c r="N599">
        <v>200</v>
      </c>
      <c r="O599" t="b">
        <v>0</v>
      </c>
      <c r="P599" t="b">
        <v>0</v>
      </c>
      <c r="Q599">
        <v>0.7</v>
      </c>
      <c r="R599">
        <v>9605331.5353683829</v>
      </c>
      <c r="S599">
        <v>8443852.8463356495</v>
      </c>
      <c r="T599">
        <v>8716577.6583518982</v>
      </c>
      <c r="U599">
        <v>7541144.567599535</v>
      </c>
      <c r="V599">
        <v>18049184.381704032</v>
      </c>
      <c r="W599">
        <v>16257722.225951433</v>
      </c>
      <c r="X599">
        <v>150462.11363699089</v>
      </c>
      <c r="Y599">
        <v>135528.07690963335</v>
      </c>
      <c r="Z599">
        <v>7019.5039223098756</v>
      </c>
      <c r="AA599">
        <v>4064.4305564878582</v>
      </c>
      <c r="AB599">
        <v>87165.776583518978</v>
      </c>
      <c r="AC599">
        <v>75411.445675995346</v>
      </c>
      <c r="AD599">
        <v>162577.22225951432</v>
      </c>
      <c r="AE599">
        <v>1.1101914604552028</v>
      </c>
      <c r="AF599" s="1" t="s">
        <v>436</v>
      </c>
      <c r="AG599" s="1" t="s">
        <v>437</v>
      </c>
      <c r="AH599" s="1" t="s">
        <v>438</v>
      </c>
      <c r="AI599" s="1" t="str">
        <f>_xlfn.TEXTAFTER(_xlfn.TEXTBEFORE(batch_summary[[#This Row],[video]],"_",1),"-",3)</f>
        <v>20</v>
      </c>
      <c r="AJ599" s="1" t="str">
        <f>_xlfn.TEXTBEFORE(_xlfn.TEXTAFTER(batch_summary[[#This Row],[video]],"_",1),"_",1)</f>
        <v>20260314</v>
      </c>
      <c r="AK599" s="1" t="str">
        <f>_xlfn.TEXTBEFORE(_xlfn.TEXTAFTER(batch_summary[[#This Row],[video]],"_",2),".",1)</f>
        <v>160000</v>
      </c>
    </row>
    <row r="600" spans="1:37" x14ac:dyDescent="0.2">
      <c r="A600" s="1" t="s">
        <v>439</v>
      </c>
      <c r="B600" s="1" t="s">
        <v>440</v>
      </c>
      <c r="C600">
        <v>119.95833333333333</v>
      </c>
      <c r="D600">
        <v>2879</v>
      </c>
      <c r="E600">
        <v>0.34782157652080059</v>
      </c>
      <c r="F600">
        <v>44.718567162752151</v>
      </c>
      <c r="G600">
        <v>1.2081332980923953E-4</v>
      </c>
      <c r="H600">
        <v>1.5532673554273064E-2</v>
      </c>
      <c r="I600">
        <v>5</v>
      </c>
      <c r="J600" t="b">
        <v>1</v>
      </c>
      <c r="K600">
        <v>0.65</v>
      </c>
      <c r="L600">
        <v>1.3</v>
      </c>
      <c r="M600" t="b">
        <v>1</v>
      </c>
      <c r="N600">
        <v>200</v>
      </c>
      <c r="O600" t="b">
        <v>0</v>
      </c>
      <c r="P600" t="b">
        <v>0</v>
      </c>
      <c r="Q600">
        <v>0.7</v>
      </c>
      <c r="R600">
        <v>3911130.5619798303</v>
      </c>
      <c r="S600">
        <v>2513181.9745540619</v>
      </c>
      <c r="T600">
        <v>3565137.3518536091</v>
      </c>
      <c r="U600">
        <v>2204444.2959083319</v>
      </c>
      <c r="V600">
        <v>6424312.5365338922</v>
      </c>
      <c r="W600">
        <v>5769581.647761941</v>
      </c>
      <c r="X600">
        <v>53554.533128452036</v>
      </c>
      <c r="Y600">
        <v>48096.547254701836</v>
      </c>
      <c r="Z600">
        <v>4417.8967929673199</v>
      </c>
      <c r="AA600">
        <v>1442.395411940485</v>
      </c>
      <c r="AB600">
        <v>35651.373518536093</v>
      </c>
      <c r="AC600">
        <v>22044.442959083317</v>
      </c>
      <c r="AD600">
        <v>57695.81647761941</v>
      </c>
      <c r="AE600">
        <v>1.1134797856662495</v>
      </c>
      <c r="AF600" s="1" t="s">
        <v>441</v>
      </c>
      <c r="AG600" s="1" t="s">
        <v>442</v>
      </c>
      <c r="AH600" s="1" t="s">
        <v>443</v>
      </c>
      <c r="AI600" s="1" t="str">
        <f>_xlfn.TEXTAFTER(_xlfn.TEXTBEFORE(batch_summary[[#This Row],[video]],"_",1),"-",3)</f>
        <v>20</v>
      </c>
      <c r="AJ600" s="1" t="str">
        <f>_xlfn.TEXTBEFORE(_xlfn.TEXTAFTER(batch_summary[[#This Row],[video]],"_",1),"_",1)</f>
        <v>20260314</v>
      </c>
      <c r="AK600" s="1" t="str">
        <f>_xlfn.TEXTBEFORE(_xlfn.TEXTAFTER(batch_summary[[#This Row],[video]],"_",2),".",1)</f>
        <v>170000</v>
      </c>
    </row>
    <row r="601" spans="1:37" x14ac:dyDescent="0.2">
      <c r="A601" s="1" t="s">
        <v>444</v>
      </c>
      <c r="B601" s="1" t="s">
        <v>445</v>
      </c>
      <c r="C601">
        <v>119.95833333333333</v>
      </c>
      <c r="D601">
        <v>2879</v>
      </c>
      <c r="E601">
        <v>0.33434750605374575</v>
      </c>
      <c r="F601">
        <v>44.656209676526487</v>
      </c>
      <c r="G601">
        <v>1.1613320807702179E-4</v>
      </c>
      <c r="H601">
        <v>1.5511014128699718E-2</v>
      </c>
      <c r="I601">
        <v>5</v>
      </c>
      <c r="J601" t="b">
        <v>1</v>
      </c>
      <c r="K601">
        <v>0.65</v>
      </c>
      <c r="L601">
        <v>1.3</v>
      </c>
      <c r="M601" t="b">
        <v>1</v>
      </c>
      <c r="N601">
        <v>200</v>
      </c>
      <c r="O601" t="b">
        <v>0</v>
      </c>
      <c r="P601" t="b">
        <v>0</v>
      </c>
      <c r="Q601">
        <v>0.7</v>
      </c>
      <c r="R601">
        <v>1474332.8624307513</v>
      </c>
      <c r="S601">
        <v>1686976.4305059314</v>
      </c>
      <c r="T601">
        <v>1199490.7045745254</v>
      </c>
      <c r="U601">
        <v>1388094.5405333638</v>
      </c>
      <c r="V601">
        <v>3161309.2929366827</v>
      </c>
      <c r="W601">
        <v>2587585.2451078892</v>
      </c>
      <c r="X601">
        <v>26353.394592039036</v>
      </c>
      <c r="Y601">
        <v>21570.700202358228</v>
      </c>
      <c r="Z601">
        <v>2641.4046826457979</v>
      </c>
      <c r="AA601">
        <v>646.89631127697226</v>
      </c>
      <c r="AB601">
        <v>11994.907045745254</v>
      </c>
      <c r="AC601">
        <v>13880.945405333638</v>
      </c>
      <c r="AD601">
        <v>25875.852451078892</v>
      </c>
      <c r="AE601">
        <v>1.2217217959924147</v>
      </c>
      <c r="AF601" s="1" t="s">
        <v>446</v>
      </c>
      <c r="AG601" s="1" t="s">
        <v>447</v>
      </c>
      <c r="AH601" s="1" t="s">
        <v>448</v>
      </c>
      <c r="AI601" s="1" t="str">
        <f>_xlfn.TEXTAFTER(_xlfn.TEXTBEFORE(batch_summary[[#This Row],[video]],"_",1),"-",3)</f>
        <v>20</v>
      </c>
      <c r="AJ601" s="1" t="str">
        <f>_xlfn.TEXTBEFORE(_xlfn.TEXTAFTER(batch_summary[[#This Row],[video]],"_",1),"_",1)</f>
        <v>20260314</v>
      </c>
      <c r="AK601" s="1" t="str">
        <f>_xlfn.TEXTBEFORE(_xlfn.TEXTAFTER(batch_summary[[#This Row],[video]],"_",2),".",1)</f>
        <v>180000</v>
      </c>
    </row>
    <row r="602" spans="1:37" x14ac:dyDescent="0.2">
      <c r="A602" s="1" t="s">
        <v>449</v>
      </c>
      <c r="B602" s="1" t="s">
        <v>450</v>
      </c>
      <c r="C602">
        <v>119.95833333333333</v>
      </c>
      <c r="D602">
        <v>2879</v>
      </c>
      <c r="E602">
        <v>0.34238600358366966</v>
      </c>
      <c r="F602">
        <v>43.97621017228812</v>
      </c>
      <c r="G602">
        <v>1.1892532253687727E-4</v>
      </c>
      <c r="H602">
        <v>1.5274821178286947E-2</v>
      </c>
      <c r="I602">
        <v>5</v>
      </c>
      <c r="J602" t="b">
        <v>1</v>
      </c>
      <c r="K602">
        <v>0.65</v>
      </c>
      <c r="L602">
        <v>1.3</v>
      </c>
      <c r="M602" t="b">
        <v>1</v>
      </c>
      <c r="N602">
        <v>200</v>
      </c>
      <c r="O602" t="b">
        <v>0</v>
      </c>
      <c r="P602" t="b">
        <v>0</v>
      </c>
      <c r="Q602">
        <v>0.7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s="1" t="s">
        <v>451</v>
      </c>
      <c r="AG602" s="1" t="s">
        <v>452</v>
      </c>
      <c r="AH602" s="1" t="s">
        <v>453</v>
      </c>
      <c r="AI602" s="1" t="str">
        <f>_xlfn.TEXTAFTER(_xlfn.TEXTBEFORE(batch_summary[[#This Row],[video]],"_",1),"-",3)</f>
        <v>20</v>
      </c>
      <c r="AJ602" s="1" t="str">
        <f>_xlfn.TEXTBEFORE(_xlfn.TEXTAFTER(batch_summary[[#This Row],[video]],"_",1),"_",1)</f>
        <v>20260314</v>
      </c>
      <c r="AK602" s="1" t="str">
        <f>_xlfn.TEXTBEFORE(_xlfn.TEXTAFTER(batch_summary[[#This Row],[video]],"_",2),".",1)</f>
        <v>190000</v>
      </c>
    </row>
    <row r="603" spans="1:37" x14ac:dyDescent="0.2">
      <c r="A603" s="1" t="s">
        <v>454</v>
      </c>
      <c r="B603" s="1" t="s">
        <v>455</v>
      </c>
      <c r="C603">
        <v>119.95833333333333</v>
      </c>
      <c r="D603">
        <v>2879</v>
      </c>
      <c r="E603">
        <v>0.34177675843238831</v>
      </c>
      <c r="F603">
        <v>43.762679087929428</v>
      </c>
      <c r="G603">
        <v>1.1871370560346937E-4</v>
      </c>
      <c r="H603">
        <v>1.5200652687714285E-2</v>
      </c>
      <c r="I603">
        <v>5</v>
      </c>
      <c r="J603" t="b">
        <v>1</v>
      </c>
      <c r="K603">
        <v>0.65</v>
      </c>
      <c r="L603">
        <v>1.3</v>
      </c>
      <c r="M603" t="b">
        <v>1</v>
      </c>
      <c r="N603">
        <v>200</v>
      </c>
      <c r="O603" t="b">
        <v>0</v>
      </c>
      <c r="P603" t="b">
        <v>0</v>
      </c>
      <c r="Q603">
        <v>0.7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s="1" t="s">
        <v>456</v>
      </c>
      <c r="AG603" s="1" t="s">
        <v>457</v>
      </c>
      <c r="AH603" s="1" t="s">
        <v>458</v>
      </c>
      <c r="AI603" s="1" t="str">
        <f>_xlfn.TEXTAFTER(_xlfn.TEXTBEFORE(batch_summary[[#This Row],[video]],"_",1),"-",3)</f>
        <v>20</v>
      </c>
      <c r="AJ603" s="1" t="str">
        <f>_xlfn.TEXTBEFORE(_xlfn.TEXTAFTER(batch_summary[[#This Row],[video]],"_",1),"_",1)</f>
        <v>20260315</v>
      </c>
      <c r="AK603" s="1" t="str">
        <f>_xlfn.TEXTBEFORE(_xlfn.TEXTAFTER(batch_summary[[#This Row],[video]],"_",2),".",1)</f>
        <v>060000</v>
      </c>
    </row>
    <row r="604" spans="1:37" x14ac:dyDescent="0.2">
      <c r="A604" s="1" t="s">
        <v>459</v>
      </c>
      <c r="B604" s="1" t="s">
        <v>460</v>
      </c>
      <c r="C604">
        <v>119.95833333333333</v>
      </c>
      <c r="D604">
        <v>2879</v>
      </c>
      <c r="E604">
        <v>0.32187618128955364</v>
      </c>
      <c r="F604">
        <v>43.323734826408327</v>
      </c>
      <c r="G604">
        <v>1.1180138287237014E-4</v>
      </c>
      <c r="H604">
        <v>1.504818854685944E-2</v>
      </c>
      <c r="I604">
        <v>5</v>
      </c>
      <c r="J604" t="b">
        <v>1</v>
      </c>
      <c r="K604">
        <v>0.65</v>
      </c>
      <c r="L604">
        <v>1.3</v>
      </c>
      <c r="M604" t="b">
        <v>1</v>
      </c>
      <c r="N604">
        <v>200</v>
      </c>
      <c r="O604" t="b">
        <v>0</v>
      </c>
      <c r="P604" t="b">
        <v>0</v>
      </c>
      <c r="Q604">
        <v>0.7</v>
      </c>
      <c r="R604">
        <v>14929.883882820606</v>
      </c>
      <c r="S604">
        <v>19348.547874510288</v>
      </c>
      <c r="T604">
        <v>0</v>
      </c>
      <c r="U604">
        <v>485.26718139648438</v>
      </c>
      <c r="V604">
        <v>34278.431757330894</v>
      </c>
      <c r="W604">
        <v>485.26718139648438</v>
      </c>
      <c r="X604">
        <v>285.75281770612764</v>
      </c>
      <c r="Y604">
        <v>4.0452977955941734</v>
      </c>
      <c r="Z604">
        <v>4.8526718139648439</v>
      </c>
      <c r="AA604">
        <v>0.1213167953491211</v>
      </c>
      <c r="AB604">
        <v>0</v>
      </c>
      <c r="AC604">
        <v>4.8526718139648439</v>
      </c>
      <c r="AD604">
        <v>4.8526718139648439</v>
      </c>
      <c r="AE604">
        <v>70.63826500420997</v>
      </c>
      <c r="AF604" s="1" t="s">
        <v>461</v>
      </c>
      <c r="AG604" s="1" t="s">
        <v>462</v>
      </c>
      <c r="AH604" s="1" t="s">
        <v>463</v>
      </c>
      <c r="AI604" s="1" t="str">
        <f>_xlfn.TEXTAFTER(_xlfn.TEXTBEFORE(batch_summary[[#This Row],[video]],"_",1),"-",3)</f>
        <v>20</v>
      </c>
      <c r="AJ604" s="1" t="str">
        <f>_xlfn.TEXTBEFORE(_xlfn.TEXTAFTER(batch_summary[[#This Row],[video]],"_",1),"_",1)</f>
        <v>20260315</v>
      </c>
      <c r="AK604" s="1" t="str">
        <f>_xlfn.TEXTBEFORE(_xlfn.TEXTAFTER(batch_summary[[#This Row],[video]],"_",2),".",1)</f>
        <v>070000</v>
      </c>
    </row>
    <row r="605" spans="1:37" x14ac:dyDescent="0.2">
      <c r="A605" s="1" t="s">
        <v>464</v>
      </c>
      <c r="B605" s="1" t="s">
        <v>465</v>
      </c>
      <c r="C605">
        <v>119.95833333333333</v>
      </c>
      <c r="D605">
        <v>2879</v>
      </c>
      <c r="E605">
        <v>0.32876656390726566</v>
      </c>
      <c r="F605">
        <v>43.265720983035862</v>
      </c>
      <c r="G605">
        <v>1.1419470785247157E-4</v>
      </c>
      <c r="H605">
        <v>1.5028037854475812E-2</v>
      </c>
      <c r="I605">
        <v>5</v>
      </c>
      <c r="J605" t="b">
        <v>1</v>
      </c>
      <c r="K605">
        <v>0.65</v>
      </c>
      <c r="L605">
        <v>1.3</v>
      </c>
      <c r="M605" t="b">
        <v>1</v>
      </c>
      <c r="N605">
        <v>200</v>
      </c>
      <c r="O605" t="b">
        <v>0</v>
      </c>
      <c r="P605" t="b">
        <v>0</v>
      </c>
      <c r="Q605">
        <v>0.7</v>
      </c>
      <c r="R605">
        <v>5538.6240575313568</v>
      </c>
      <c r="S605">
        <v>6247.2146068811417</v>
      </c>
      <c r="T605">
        <v>0</v>
      </c>
      <c r="U605">
        <v>0</v>
      </c>
      <c r="V605">
        <v>11785.838664412498</v>
      </c>
      <c r="W605">
        <v>0</v>
      </c>
      <c r="X605">
        <v>98.249436591142754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11785838664.412498</v>
      </c>
      <c r="AF605" s="1" t="s">
        <v>466</v>
      </c>
      <c r="AG605" s="1" t="s">
        <v>467</v>
      </c>
      <c r="AH605" s="1" t="s">
        <v>468</v>
      </c>
      <c r="AI605" s="1" t="str">
        <f>_xlfn.TEXTAFTER(_xlfn.TEXTBEFORE(batch_summary[[#This Row],[video]],"_",1),"-",3)</f>
        <v>20</v>
      </c>
      <c r="AJ605" s="1" t="str">
        <f>_xlfn.TEXTBEFORE(_xlfn.TEXTAFTER(batch_summary[[#This Row],[video]],"_",1),"_",1)</f>
        <v>20260315</v>
      </c>
      <c r="AK605" s="1" t="str">
        <f>_xlfn.TEXTBEFORE(_xlfn.TEXTAFTER(batch_summary[[#This Row],[video]],"_",2),".",1)</f>
        <v>080000</v>
      </c>
    </row>
    <row r="606" spans="1:37" x14ac:dyDescent="0.2">
      <c r="A606" s="1" t="s">
        <v>469</v>
      </c>
      <c r="B606" s="1" t="s">
        <v>470</v>
      </c>
      <c r="C606">
        <v>119.95833333333333</v>
      </c>
      <c r="D606">
        <v>2879</v>
      </c>
      <c r="E606">
        <v>0.32823831960558891</v>
      </c>
      <c r="F606">
        <v>43.412304799072444</v>
      </c>
      <c r="G606">
        <v>1.1401122598318475E-4</v>
      </c>
      <c r="H606">
        <v>1.5078952691584732E-2</v>
      </c>
      <c r="I606">
        <v>5</v>
      </c>
      <c r="J606" t="b">
        <v>1</v>
      </c>
      <c r="K606">
        <v>0.65</v>
      </c>
      <c r="L606">
        <v>1.3</v>
      </c>
      <c r="M606" t="b">
        <v>1</v>
      </c>
      <c r="N606">
        <v>200</v>
      </c>
      <c r="O606" t="b">
        <v>0</v>
      </c>
      <c r="P606" t="b">
        <v>0</v>
      </c>
      <c r="Q606">
        <v>0.7</v>
      </c>
      <c r="R606">
        <v>216644.93271797895</v>
      </c>
      <c r="S606">
        <v>206741.00394719839</v>
      </c>
      <c r="T606">
        <v>154011.78818333149</v>
      </c>
      <c r="U606">
        <v>133659.49115252495</v>
      </c>
      <c r="V606">
        <v>423385.93666517735</v>
      </c>
      <c r="W606">
        <v>287671.27933585644</v>
      </c>
      <c r="X606">
        <v>3529.4416394457298</v>
      </c>
      <c r="Y606">
        <v>2398.0933324281191</v>
      </c>
      <c r="Z606">
        <v>553.09656308650972</v>
      </c>
      <c r="AA606">
        <v>71.917819833964103</v>
      </c>
      <c r="AB606">
        <v>1540.1178818333149</v>
      </c>
      <c r="AC606">
        <v>1336.5949115252495</v>
      </c>
      <c r="AD606">
        <v>2876.7127933585643</v>
      </c>
      <c r="AE606">
        <v>1.4717699230964032</v>
      </c>
      <c r="AF606" s="1" t="s">
        <v>471</v>
      </c>
      <c r="AG606" s="1" t="s">
        <v>472</v>
      </c>
      <c r="AH606" s="1" t="s">
        <v>473</v>
      </c>
      <c r="AI606" s="1" t="str">
        <f>_xlfn.TEXTAFTER(_xlfn.TEXTBEFORE(batch_summary[[#This Row],[video]],"_",1),"-",3)</f>
        <v>20</v>
      </c>
      <c r="AJ606" s="1" t="str">
        <f>_xlfn.TEXTBEFORE(_xlfn.TEXTAFTER(batch_summary[[#This Row],[video]],"_",1),"_",1)</f>
        <v>20260315</v>
      </c>
      <c r="AK606" s="1" t="str">
        <f>_xlfn.TEXTBEFORE(_xlfn.TEXTAFTER(batch_summary[[#This Row],[video]],"_",2),".",1)</f>
        <v>090000</v>
      </c>
    </row>
    <row r="607" spans="1:37" x14ac:dyDescent="0.2">
      <c r="A607" s="1" t="s">
        <v>474</v>
      </c>
      <c r="B607" s="1" t="s">
        <v>475</v>
      </c>
      <c r="C607">
        <v>119.95833333333333</v>
      </c>
      <c r="D607">
        <v>2879</v>
      </c>
      <c r="E607">
        <v>0.33240785449743271</v>
      </c>
      <c r="F607">
        <v>43.804544652812183</v>
      </c>
      <c r="G607">
        <v>1.1545948402133821E-4</v>
      </c>
      <c r="H607">
        <v>1.521519439139013E-2</v>
      </c>
      <c r="I607">
        <v>5</v>
      </c>
      <c r="J607" t="b">
        <v>1</v>
      </c>
      <c r="K607">
        <v>0.65</v>
      </c>
      <c r="L607">
        <v>1.3</v>
      </c>
      <c r="M607" t="b">
        <v>1</v>
      </c>
      <c r="N607">
        <v>200</v>
      </c>
      <c r="O607" t="b">
        <v>0</v>
      </c>
      <c r="P607" t="b">
        <v>0</v>
      </c>
      <c r="Q607">
        <v>0.7</v>
      </c>
      <c r="R607">
        <v>388501.74921423197</v>
      </c>
      <c r="S607">
        <v>441546.71300530434</v>
      </c>
      <c r="T607">
        <v>329473.20117425919</v>
      </c>
      <c r="U607">
        <v>374532.53979736567</v>
      </c>
      <c r="V607">
        <v>830048.4622195363</v>
      </c>
      <c r="W607">
        <v>704005.74097162485</v>
      </c>
      <c r="X607">
        <v>6919.4731133271525</v>
      </c>
      <c r="Y607">
        <v>5868.7522693014926</v>
      </c>
      <c r="Z607">
        <v>1849.4806151199341</v>
      </c>
      <c r="AA607">
        <v>176.00143524290621</v>
      </c>
      <c r="AB607">
        <v>3294.732011742592</v>
      </c>
      <c r="AC607">
        <v>3745.3253979736564</v>
      </c>
      <c r="AD607">
        <v>7040.057409716248</v>
      </c>
      <c r="AE607">
        <v>1.1790364963131623</v>
      </c>
      <c r="AF607" s="1" t="s">
        <v>476</v>
      </c>
      <c r="AG607" s="1" t="s">
        <v>477</v>
      </c>
      <c r="AH607" s="1" t="s">
        <v>478</v>
      </c>
      <c r="AI607" s="1" t="str">
        <f>_xlfn.TEXTAFTER(_xlfn.TEXTBEFORE(batch_summary[[#This Row],[video]],"_",1),"-",3)</f>
        <v>20</v>
      </c>
      <c r="AJ607" s="1" t="str">
        <f>_xlfn.TEXTBEFORE(_xlfn.TEXTAFTER(batch_summary[[#This Row],[video]],"_",1),"_",1)</f>
        <v>20260315</v>
      </c>
      <c r="AK607" s="1" t="str">
        <f>_xlfn.TEXTBEFORE(_xlfn.TEXTAFTER(batch_summary[[#This Row],[video]],"_",2),".",1)</f>
        <v>100000</v>
      </c>
    </row>
    <row r="608" spans="1:37" x14ac:dyDescent="0.2">
      <c r="A608" s="1" t="s">
        <v>479</v>
      </c>
      <c r="B608" s="1" t="s">
        <v>480</v>
      </c>
      <c r="C608">
        <v>119.95833333333333</v>
      </c>
      <c r="D608">
        <v>2879</v>
      </c>
      <c r="E608">
        <v>0.34320858772844076</v>
      </c>
      <c r="F608">
        <v>44.229922003112733</v>
      </c>
      <c r="G608">
        <v>1.1921104123947231E-4</v>
      </c>
      <c r="H608">
        <v>1.5362946162942943E-2</v>
      </c>
      <c r="I608">
        <v>5</v>
      </c>
      <c r="J608" t="b">
        <v>1</v>
      </c>
      <c r="K608">
        <v>0.65</v>
      </c>
      <c r="L608">
        <v>1.3</v>
      </c>
      <c r="M608" t="b">
        <v>1</v>
      </c>
      <c r="N608">
        <v>200</v>
      </c>
      <c r="O608" t="b">
        <v>0</v>
      </c>
      <c r="P608" t="b">
        <v>0</v>
      </c>
      <c r="Q608">
        <v>0.7</v>
      </c>
      <c r="R608">
        <v>700255.89336448908</v>
      </c>
      <c r="S608">
        <v>895223.70327615738</v>
      </c>
      <c r="T608">
        <v>600077.81563687325</v>
      </c>
      <c r="U608">
        <v>772899.42547512054</v>
      </c>
      <c r="V608">
        <v>1595479.5966406465</v>
      </c>
      <c r="W608">
        <v>1372977.2411119938</v>
      </c>
      <c r="X608">
        <v>13300.281458622965</v>
      </c>
      <c r="Y608">
        <v>11445.45112424031</v>
      </c>
      <c r="Z608">
        <v>1562.8127175045013</v>
      </c>
      <c r="AA608">
        <v>343.24431027799847</v>
      </c>
      <c r="AB608">
        <v>6000.7781563687322</v>
      </c>
      <c r="AC608">
        <v>7728.9942547512055</v>
      </c>
      <c r="AD608">
        <v>13729.772411119939</v>
      </c>
      <c r="AE608">
        <v>1.1620582984670924</v>
      </c>
      <c r="AF608" s="1" t="s">
        <v>481</v>
      </c>
      <c r="AG608" s="1" t="s">
        <v>482</v>
      </c>
      <c r="AH608" s="1" t="s">
        <v>483</v>
      </c>
      <c r="AI608" s="1" t="str">
        <f>_xlfn.TEXTAFTER(_xlfn.TEXTBEFORE(batch_summary[[#This Row],[video]],"_",1),"-",3)</f>
        <v>20</v>
      </c>
      <c r="AJ608" s="1" t="str">
        <f>_xlfn.TEXTBEFORE(_xlfn.TEXTAFTER(batch_summary[[#This Row],[video]],"_",1),"_",1)</f>
        <v>20260315</v>
      </c>
      <c r="AK608" s="1" t="str">
        <f>_xlfn.TEXTBEFORE(_xlfn.TEXTAFTER(batch_summary[[#This Row],[video]],"_",2),".",1)</f>
        <v>110000</v>
      </c>
    </row>
    <row r="609" spans="1:37" x14ac:dyDescent="0.2">
      <c r="A609" s="1" t="s">
        <v>484</v>
      </c>
      <c r="B609" s="1" t="s">
        <v>485</v>
      </c>
      <c r="C609">
        <v>119.95833333333333</v>
      </c>
      <c r="D609">
        <v>2879</v>
      </c>
      <c r="E609">
        <v>0.33298583887517452</v>
      </c>
      <c r="F609">
        <v>43.683130402117968</v>
      </c>
      <c r="G609">
        <v>1.1566024274927909E-4</v>
      </c>
      <c r="H609">
        <v>1.5173022022270916E-2</v>
      </c>
      <c r="I609">
        <v>5</v>
      </c>
      <c r="J609" t="b">
        <v>1</v>
      </c>
      <c r="K609">
        <v>0.65</v>
      </c>
      <c r="L609">
        <v>1.3</v>
      </c>
      <c r="M609" t="b">
        <v>1</v>
      </c>
      <c r="N609">
        <v>200</v>
      </c>
      <c r="O609" t="b">
        <v>0</v>
      </c>
      <c r="P609" t="b">
        <v>0</v>
      </c>
      <c r="Q609">
        <v>0.7</v>
      </c>
      <c r="R609">
        <v>325004.80616033077</v>
      </c>
      <c r="S609">
        <v>86393.398477077484</v>
      </c>
      <c r="T609">
        <v>277750.1248087883</v>
      </c>
      <c r="U609">
        <v>49742.436065196991</v>
      </c>
      <c r="V609">
        <v>411398.20463740826</v>
      </c>
      <c r="W609">
        <v>327492.56087398529</v>
      </c>
      <c r="X609">
        <v>3429.5091737748517</v>
      </c>
      <c r="Y609">
        <v>2730.0526088835177</v>
      </c>
      <c r="Z609">
        <v>1719.4448385763169</v>
      </c>
      <c r="AA609">
        <v>81.873140218496317</v>
      </c>
      <c r="AB609">
        <v>2777.5012480878831</v>
      </c>
      <c r="AC609">
        <v>497.42436065196989</v>
      </c>
      <c r="AD609">
        <v>3274.925608739853</v>
      </c>
      <c r="AE609">
        <v>1.2562062586689067</v>
      </c>
      <c r="AF609" s="1" t="s">
        <v>486</v>
      </c>
      <c r="AG609" s="1" t="s">
        <v>487</v>
      </c>
      <c r="AH609" s="1" t="s">
        <v>488</v>
      </c>
      <c r="AI609" s="1" t="str">
        <f>_xlfn.TEXTAFTER(_xlfn.TEXTBEFORE(batch_summary[[#This Row],[video]],"_",1),"-",3)</f>
        <v>20</v>
      </c>
      <c r="AJ609" s="1" t="str">
        <f>_xlfn.TEXTBEFORE(_xlfn.TEXTAFTER(batch_summary[[#This Row],[video]],"_",1),"_",1)</f>
        <v>20260315</v>
      </c>
      <c r="AK609" s="1" t="str">
        <f>_xlfn.TEXTBEFORE(_xlfn.TEXTAFTER(batch_summary[[#This Row],[video]],"_",2),".",1)</f>
        <v>120000</v>
      </c>
    </row>
    <row r="610" spans="1:37" x14ac:dyDescent="0.2">
      <c r="A610" s="1" t="s">
        <v>489</v>
      </c>
      <c r="B610" s="1" t="s">
        <v>490</v>
      </c>
      <c r="C610">
        <v>119.95833333333333</v>
      </c>
      <c r="D610">
        <v>2879</v>
      </c>
      <c r="E610">
        <v>0.33302660845220089</v>
      </c>
      <c r="F610">
        <v>43.708341856487095</v>
      </c>
      <c r="G610">
        <v>1.1567440376943414E-4</v>
      </c>
      <c r="H610">
        <v>1.5181779040113615E-2</v>
      </c>
      <c r="I610">
        <v>5</v>
      </c>
      <c r="J610" t="b">
        <v>1</v>
      </c>
      <c r="K610">
        <v>0.65</v>
      </c>
      <c r="L610">
        <v>1.3</v>
      </c>
      <c r="M610" t="b">
        <v>1</v>
      </c>
      <c r="N610">
        <v>200</v>
      </c>
      <c r="O610" t="b">
        <v>0</v>
      </c>
      <c r="P610" t="b">
        <v>0</v>
      </c>
      <c r="Q610">
        <v>0.7</v>
      </c>
      <c r="R610">
        <v>911112.82974803448</v>
      </c>
      <c r="S610">
        <v>427069.03863167763</v>
      </c>
      <c r="T610">
        <v>757226.20512390137</v>
      </c>
      <c r="U610">
        <v>287536.22982597351</v>
      </c>
      <c r="V610">
        <v>1338181.8683797121</v>
      </c>
      <c r="W610">
        <v>1044762.4349498749</v>
      </c>
      <c r="X610">
        <v>11155.388968778427</v>
      </c>
      <c r="Y610">
        <v>8709.3777140663424</v>
      </c>
      <c r="Z610">
        <v>1411.7022314453125</v>
      </c>
      <c r="AA610">
        <v>261.19060873746878</v>
      </c>
      <c r="AB610">
        <v>7572.262051239014</v>
      </c>
      <c r="AC610">
        <v>2875.3622982597353</v>
      </c>
      <c r="AD610">
        <v>10447.62434949875</v>
      </c>
      <c r="AE610">
        <v>1.2808479933947039</v>
      </c>
      <c r="AF610" s="1" t="s">
        <v>491</v>
      </c>
      <c r="AG610" s="1" t="s">
        <v>492</v>
      </c>
      <c r="AH610" s="1" t="s">
        <v>493</v>
      </c>
      <c r="AI610" s="1" t="str">
        <f>_xlfn.TEXTAFTER(_xlfn.TEXTBEFORE(batch_summary[[#This Row],[video]],"_",1),"-",3)</f>
        <v>20</v>
      </c>
      <c r="AJ610" s="1" t="str">
        <f>_xlfn.TEXTBEFORE(_xlfn.TEXTAFTER(batch_summary[[#This Row],[video]],"_",1),"_",1)</f>
        <v>20260315</v>
      </c>
      <c r="AK610" s="1" t="str">
        <f>_xlfn.TEXTBEFORE(_xlfn.TEXTAFTER(batch_summary[[#This Row],[video]],"_",2),".",1)</f>
        <v>130000</v>
      </c>
    </row>
    <row r="611" spans="1:37" x14ac:dyDescent="0.2">
      <c r="A611" s="1" t="s">
        <v>494</v>
      </c>
      <c r="B611" s="1" t="s">
        <v>495</v>
      </c>
      <c r="C611">
        <v>119.95833333333333</v>
      </c>
      <c r="D611">
        <v>2879</v>
      </c>
      <c r="E611">
        <v>0.32458363473415375</v>
      </c>
      <c r="F611">
        <v>43.615802973508835</v>
      </c>
      <c r="G611">
        <v>1.1274179740679185E-4</v>
      </c>
      <c r="H611">
        <v>1.5149636322858227E-2</v>
      </c>
      <c r="I611">
        <v>5</v>
      </c>
      <c r="J611" t="b">
        <v>1</v>
      </c>
      <c r="K611">
        <v>0.65</v>
      </c>
      <c r="L611">
        <v>1.3</v>
      </c>
      <c r="M611" t="b">
        <v>1</v>
      </c>
      <c r="N611">
        <v>200</v>
      </c>
      <c r="O611" t="b">
        <v>0</v>
      </c>
      <c r="P611" t="b">
        <v>0</v>
      </c>
      <c r="Q611">
        <v>0.7</v>
      </c>
      <c r="R611">
        <v>303806.47585505247</v>
      </c>
      <c r="S611">
        <v>389897.69223946333</v>
      </c>
      <c r="T611">
        <v>255354.33205640316</v>
      </c>
      <c r="U611">
        <v>336725.83895778656</v>
      </c>
      <c r="V611">
        <v>693704.1680945158</v>
      </c>
      <c r="W611">
        <v>592080.17101418972</v>
      </c>
      <c r="X611">
        <v>5782.8760105135043</v>
      </c>
      <c r="Y611">
        <v>4935.7152151234986</v>
      </c>
      <c r="Z611">
        <v>1413.2486072015763</v>
      </c>
      <c r="AA611">
        <v>148.02004275354744</v>
      </c>
      <c r="AB611">
        <v>2553.5433205640315</v>
      </c>
      <c r="AC611">
        <v>3367.2583895778657</v>
      </c>
      <c r="AD611">
        <v>5920.8017101418973</v>
      </c>
      <c r="AE611">
        <v>1.1716389132003047</v>
      </c>
      <c r="AF611" s="1" t="s">
        <v>496</v>
      </c>
      <c r="AG611" s="1" t="s">
        <v>497</v>
      </c>
      <c r="AH611" s="1" t="s">
        <v>498</v>
      </c>
      <c r="AI611" s="1" t="str">
        <f>_xlfn.TEXTAFTER(_xlfn.TEXTBEFORE(batch_summary[[#This Row],[video]],"_",1),"-",3)</f>
        <v>20</v>
      </c>
      <c r="AJ611" s="1" t="str">
        <f>_xlfn.TEXTBEFORE(_xlfn.TEXTAFTER(batch_summary[[#This Row],[video]],"_",1),"_",1)</f>
        <v>20260315</v>
      </c>
      <c r="AK611" s="1" t="str">
        <f>_xlfn.TEXTBEFORE(_xlfn.TEXTAFTER(batch_summary[[#This Row],[video]],"_",2),".",1)</f>
        <v>140000</v>
      </c>
    </row>
    <row r="612" spans="1:37" x14ac:dyDescent="0.2">
      <c r="A612" s="1" t="s">
        <v>499</v>
      </c>
      <c r="B612" s="1" t="s">
        <v>500</v>
      </c>
      <c r="C612">
        <v>119.95833333333333</v>
      </c>
      <c r="D612">
        <v>2879</v>
      </c>
      <c r="E612">
        <v>0.35420260112732649</v>
      </c>
      <c r="F612">
        <v>45.054933333769441</v>
      </c>
      <c r="G612">
        <v>1.230297329375917E-4</v>
      </c>
      <c r="H612">
        <v>1.5649507931146039E-2</v>
      </c>
      <c r="I612">
        <v>5</v>
      </c>
      <c r="J612" t="b">
        <v>1</v>
      </c>
      <c r="K612">
        <v>0.65</v>
      </c>
      <c r="L612">
        <v>1.3</v>
      </c>
      <c r="M612" t="b">
        <v>1</v>
      </c>
      <c r="N612">
        <v>200</v>
      </c>
      <c r="O612" t="b">
        <v>0</v>
      </c>
      <c r="P612" t="b">
        <v>0</v>
      </c>
      <c r="Q612">
        <v>0.7</v>
      </c>
      <c r="R612">
        <v>1912972.8368499279</v>
      </c>
      <c r="S612">
        <v>1875592.579464674</v>
      </c>
      <c r="T612">
        <v>1598887.1299823523</v>
      </c>
      <c r="U612">
        <v>1512841.1005874276</v>
      </c>
      <c r="V612">
        <v>3788565.4163146019</v>
      </c>
      <c r="W612">
        <v>3111728.2305697799</v>
      </c>
      <c r="X612">
        <v>31582.344561149861</v>
      </c>
      <c r="Y612">
        <v>25940.075558761626</v>
      </c>
      <c r="Z612">
        <v>2522.8407970285416</v>
      </c>
      <c r="AA612">
        <v>777.93205764244499</v>
      </c>
      <c r="AB612">
        <v>15988.871299823522</v>
      </c>
      <c r="AC612">
        <v>15128.411005874275</v>
      </c>
      <c r="AD612">
        <v>31117.282305697798</v>
      </c>
      <c r="AE612">
        <v>1.2175116641278432</v>
      </c>
      <c r="AF612" s="1" t="s">
        <v>501</v>
      </c>
      <c r="AG612" s="1" t="s">
        <v>502</v>
      </c>
      <c r="AH612" s="1" t="s">
        <v>503</v>
      </c>
      <c r="AI612" s="1" t="str">
        <f>_xlfn.TEXTAFTER(_xlfn.TEXTBEFORE(batch_summary[[#This Row],[video]],"_",1),"-",3)</f>
        <v>20</v>
      </c>
      <c r="AJ612" s="1" t="str">
        <f>_xlfn.TEXTBEFORE(_xlfn.TEXTAFTER(batch_summary[[#This Row],[video]],"_",1),"_",1)</f>
        <v>20260315</v>
      </c>
      <c r="AK612" s="1" t="str">
        <f>_xlfn.TEXTBEFORE(_xlfn.TEXTAFTER(batch_summary[[#This Row],[video]],"_",2),".",1)</f>
        <v>150000</v>
      </c>
    </row>
    <row r="613" spans="1:37" x14ac:dyDescent="0.2">
      <c r="A613" s="1" t="s">
        <v>504</v>
      </c>
      <c r="B613" s="1" t="s">
        <v>505</v>
      </c>
      <c r="C613">
        <v>119.95833333333333</v>
      </c>
      <c r="D613">
        <v>2879</v>
      </c>
      <c r="E613">
        <v>0.34139190707355738</v>
      </c>
      <c r="F613">
        <v>44.235543051734567</v>
      </c>
      <c r="G613">
        <v>1.1858003024437561E-4</v>
      </c>
      <c r="H613">
        <v>1.5364898593864038E-2</v>
      </c>
      <c r="I613">
        <v>5</v>
      </c>
      <c r="J613" t="b">
        <v>1</v>
      </c>
      <c r="K613">
        <v>0.65</v>
      </c>
      <c r="L613">
        <v>1.3</v>
      </c>
      <c r="M613" t="b">
        <v>1</v>
      </c>
      <c r="N613">
        <v>200</v>
      </c>
      <c r="O613" t="b">
        <v>0</v>
      </c>
      <c r="P613" t="b">
        <v>0</v>
      </c>
      <c r="Q613">
        <v>0.7</v>
      </c>
      <c r="R613">
        <v>1555678.8795157075</v>
      </c>
      <c r="S613">
        <v>1014923.1931268573</v>
      </c>
      <c r="T613">
        <v>1396213.5709192157</v>
      </c>
      <c r="U613">
        <v>878388.56867980957</v>
      </c>
      <c r="V613">
        <v>2570602.0726425648</v>
      </c>
      <c r="W613">
        <v>2274602.1395990252</v>
      </c>
      <c r="X613">
        <v>21429.124606954345</v>
      </c>
      <c r="Y613">
        <v>18961.601719477807</v>
      </c>
      <c r="Z613">
        <v>2283.7594519329073</v>
      </c>
      <c r="AA613">
        <v>568.65053489975639</v>
      </c>
      <c r="AB613">
        <v>13962.135709192156</v>
      </c>
      <c r="AC613">
        <v>8783.8856867980958</v>
      </c>
      <c r="AD613">
        <v>22746.021395990254</v>
      </c>
      <c r="AE613">
        <v>1.1301326187513916</v>
      </c>
      <c r="AF613" s="1" t="s">
        <v>506</v>
      </c>
      <c r="AG613" s="1" t="s">
        <v>507</v>
      </c>
      <c r="AH613" s="1" t="s">
        <v>508</v>
      </c>
      <c r="AI613" s="1" t="str">
        <f>_xlfn.TEXTAFTER(_xlfn.TEXTBEFORE(batch_summary[[#This Row],[video]],"_",1),"-",3)</f>
        <v>20</v>
      </c>
      <c r="AJ613" s="1" t="str">
        <f>_xlfn.TEXTBEFORE(_xlfn.TEXTAFTER(batch_summary[[#This Row],[video]],"_",1),"_",1)</f>
        <v>20260315</v>
      </c>
      <c r="AK613" s="1" t="str">
        <f>_xlfn.TEXTBEFORE(_xlfn.TEXTAFTER(batch_summary[[#This Row],[video]],"_",2),".",1)</f>
        <v>160000</v>
      </c>
    </row>
    <row r="614" spans="1:37" x14ac:dyDescent="0.2">
      <c r="A614" s="1" t="s">
        <v>509</v>
      </c>
      <c r="B614" s="1" t="s">
        <v>510</v>
      </c>
      <c r="C614">
        <v>119.95833333333333</v>
      </c>
      <c r="D614">
        <v>2879</v>
      </c>
      <c r="E614">
        <v>0.34655858110636473</v>
      </c>
      <c r="F614">
        <v>44.775773964822292</v>
      </c>
      <c r="G614">
        <v>1.2037463741103325E-4</v>
      </c>
      <c r="H614">
        <v>1.5552543926648938E-2</v>
      </c>
      <c r="I614">
        <v>5</v>
      </c>
      <c r="J614" t="b">
        <v>1</v>
      </c>
      <c r="K614">
        <v>0.65</v>
      </c>
      <c r="L614">
        <v>1.3</v>
      </c>
      <c r="M614" t="b">
        <v>1</v>
      </c>
      <c r="N614">
        <v>200</v>
      </c>
      <c r="O614" t="b">
        <v>0</v>
      </c>
      <c r="P614" t="b">
        <v>0</v>
      </c>
      <c r="Q614">
        <v>0.7</v>
      </c>
      <c r="R614">
        <v>1555939.6235600114</v>
      </c>
      <c r="S614">
        <v>1758028.1850473881</v>
      </c>
      <c r="T614">
        <v>1262471.1173565388</v>
      </c>
      <c r="U614">
        <v>1424141.8683895469</v>
      </c>
      <c r="V614">
        <v>3313967.8086073995</v>
      </c>
      <c r="W614">
        <v>2686612.9857460856</v>
      </c>
      <c r="X614">
        <v>27625.99076296547</v>
      </c>
      <c r="Y614">
        <v>22396.218012471712</v>
      </c>
      <c r="Z614">
        <v>2245.0465173721313</v>
      </c>
      <c r="AA614">
        <v>671.6532464365215</v>
      </c>
      <c r="AB614">
        <v>12624.711173565387</v>
      </c>
      <c r="AC614">
        <v>14241.418683895468</v>
      </c>
      <c r="AD614">
        <v>26866.129857460855</v>
      </c>
      <c r="AE614">
        <v>1.2335114235618474</v>
      </c>
      <c r="AF614" s="1" t="s">
        <v>511</v>
      </c>
      <c r="AG614" s="1" t="s">
        <v>512</v>
      </c>
      <c r="AH614" s="1" t="s">
        <v>513</v>
      </c>
      <c r="AI614" s="1" t="str">
        <f>_xlfn.TEXTAFTER(_xlfn.TEXTBEFORE(batch_summary[[#This Row],[video]],"_",1),"-",3)</f>
        <v>20</v>
      </c>
      <c r="AJ614" s="1" t="str">
        <f>_xlfn.TEXTBEFORE(_xlfn.TEXTAFTER(batch_summary[[#This Row],[video]],"_",1),"_",1)</f>
        <v>20260315</v>
      </c>
      <c r="AK614" s="1" t="str">
        <f>_xlfn.TEXTBEFORE(_xlfn.TEXTAFTER(batch_summary[[#This Row],[video]],"_",2),".",1)</f>
        <v>170000</v>
      </c>
    </row>
    <row r="615" spans="1:37" x14ac:dyDescent="0.2">
      <c r="A615" s="1" t="s">
        <v>514</v>
      </c>
      <c r="B615" s="1" t="s">
        <v>515</v>
      </c>
      <c r="C615">
        <v>119.95833333333333</v>
      </c>
      <c r="D615">
        <v>2879</v>
      </c>
      <c r="E615">
        <v>0.31562692951411009</v>
      </c>
      <c r="F615">
        <v>43.594333940185606</v>
      </c>
      <c r="G615">
        <v>1.0963075009173675E-4</v>
      </c>
      <c r="H615">
        <v>1.5142179208122823E-2</v>
      </c>
      <c r="I615">
        <v>5</v>
      </c>
      <c r="J615" t="b">
        <v>1</v>
      </c>
      <c r="K615">
        <v>0.65</v>
      </c>
      <c r="L615">
        <v>1.3</v>
      </c>
      <c r="M615" t="b">
        <v>1</v>
      </c>
      <c r="N615">
        <v>200</v>
      </c>
      <c r="O615" t="b">
        <v>0</v>
      </c>
      <c r="P615" t="b">
        <v>0</v>
      </c>
      <c r="Q615">
        <v>0.7</v>
      </c>
      <c r="R615">
        <v>18706.884510934353</v>
      </c>
      <c r="S615">
        <v>23746.301559627056</v>
      </c>
      <c r="T615">
        <v>1934.399133682251</v>
      </c>
      <c r="U615">
        <v>2734.1684722900391</v>
      </c>
      <c r="V615">
        <v>42453.186070561409</v>
      </c>
      <c r="W615">
        <v>4668.56760597229</v>
      </c>
      <c r="X615">
        <v>353.89943233535041</v>
      </c>
      <c r="Y615">
        <v>38.918243328702665</v>
      </c>
      <c r="Z615">
        <v>44.194433536529544</v>
      </c>
      <c r="AA615">
        <v>1.1671419014930726</v>
      </c>
      <c r="AB615">
        <v>19.343991336822508</v>
      </c>
      <c r="AC615">
        <v>27.341684722900389</v>
      </c>
      <c r="AD615">
        <v>46.685676059722894</v>
      </c>
      <c r="AE615">
        <v>9.0934071547454813</v>
      </c>
      <c r="AF615" s="1" t="s">
        <v>516</v>
      </c>
      <c r="AG615" s="1" t="s">
        <v>517</v>
      </c>
      <c r="AH615" s="1" t="s">
        <v>518</v>
      </c>
      <c r="AI615" s="1" t="str">
        <f>_xlfn.TEXTAFTER(_xlfn.TEXTBEFORE(batch_summary[[#This Row],[video]],"_",1),"-",3)</f>
        <v>20</v>
      </c>
      <c r="AJ615" s="1" t="str">
        <f>_xlfn.TEXTBEFORE(_xlfn.TEXTAFTER(batch_summary[[#This Row],[video]],"_",1),"_",1)</f>
        <v>20260315</v>
      </c>
      <c r="AK615" s="1" t="str">
        <f>_xlfn.TEXTBEFORE(_xlfn.TEXTAFTER(batch_summary[[#This Row],[video]],"_",2),".",1)</f>
        <v>180000</v>
      </c>
    </row>
    <row r="616" spans="1:37" x14ac:dyDescent="0.2">
      <c r="A616" s="1" t="s">
        <v>519</v>
      </c>
      <c r="B616" s="1" t="s">
        <v>520</v>
      </c>
      <c r="C616">
        <v>119.95833333333333</v>
      </c>
      <c r="D616">
        <v>2879</v>
      </c>
      <c r="E616">
        <v>0.33374529890716076</v>
      </c>
      <c r="F616">
        <v>43.802998553961515</v>
      </c>
      <c r="G616">
        <v>1.1592403574406417E-4</v>
      </c>
      <c r="H616">
        <v>1.5214657365043944E-2</v>
      </c>
      <c r="I616">
        <v>5</v>
      </c>
      <c r="J616" t="b">
        <v>1</v>
      </c>
      <c r="K616">
        <v>0.65</v>
      </c>
      <c r="L616">
        <v>1.3</v>
      </c>
      <c r="M616" t="b">
        <v>1</v>
      </c>
      <c r="N616">
        <v>200</v>
      </c>
      <c r="O616" t="b">
        <v>0</v>
      </c>
      <c r="P616" t="b">
        <v>0</v>
      </c>
      <c r="Q616">
        <v>0.7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s="1" t="s">
        <v>521</v>
      </c>
      <c r="AG616" s="1" t="s">
        <v>522</v>
      </c>
      <c r="AH616" s="1" t="s">
        <v>523</v>
      </c>
      <c r="AI616" s="1" t="str">
        <f>_xlfn.TEXTAFTER(_xlfn.TEXTBEFORE(batch_summary[[#This Row],[video]],"_",1),"-",3)</f>
        <v>20</v>
      </c>
      <c r="AJ616" s="1" t="str">
        <f>_xlfn.TEXTBEFORE(_xlfn.TEXTAFTER(batch_summary[[#This Row],[video]],"_",1),"_",1)</f>
        <v>20260315</v>
      </c>
      <c r="AK616" s="1" t="str">
        <f>_xlfn.TEXTBEFORE(_xlfn.TEXTAFTER(batch_summary[[#This Row],[video]],"_",2),".",1)</f>
        <v>190000</v>
      </c>
    </row>
    <row r="617" spans="1:37" x14ac:dyDescent="0.2">
      <c r="A617" s="1" t="s">
        <v>524</v>
      </c>
      <c r="B617" s="1" t="s">
        <v>525</v>
      </c>
      <c r="C617">
        <v>119.95833333333333</v>
      </c>
      <c r="D617">
        <v>2879</v>
      </c>
      <c r="E617">
        <v>0.33117149118334055</v>
      </c>
      <c r="F617">
        <v>43.667330766096711</v>
      </c>
      <c r="G617">
        <v>1.1503004209216413E-4</v>
      </c>
      <c r="H617">
        <v>1.5167534132023866E-2</v>
      </c>
      <c r="I617">
        <v>5</v>
      </c>
      <c r="J617" t="b">
        <v>1</v>
      </c>
      <c r="K617">
        <v>0.65</v>
      </c>
      <c r="L617">
        <v>1.3</v>
      </c>
      <c r="M617" t="b">
        <v>1</v>
      </c>
      <c r="N617">
        <v>200</v>
      </c>
      <c r="O617" t="b">
        <v>0</v>
      </c>
      <c r="P617" t="b">
        <v>0</v>
      </c>
      <c r="Q617">
        <v>0.7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s="1" t="s">
        <v>526</v>
      </c>
      <c r="AG617" s="1" t="s">
        <v>527</v>
      </c>
      <c r="AH617" s="1" t="s">
        <v>528</v>
      </c>
      <c r="AI617" s="1" t="str">
        <f>_xlfn.TEXTAFTER(_xlfn.TEXTBEFORE(batch_summary[[#This Row],[video]],"_",1),"-",3)</f>
        <v>20</v>
      </c>
      <c r="AJ617" s="1" t="str">
        <f>_xlfn.TEXTBEFORE(_xlfn.TEXTAFTER(batch_summary[[#This Row],[video]],"_",1),"_",1)</f>
        <v>20260316</v>
      </c>
      <c r="AK617" s="1" t="str">
        <f>_xlfn.TEXTBEFORE(_xlfn.TEXTAFTER(batch_summary[[#This Row],[video]],"_",2),".",1)</f>
        <v>060000</v>
      </c>
    </row>
    <row r="618" spans="1:37" x14ac:dyDescent="0.2">
      <c r="A618" s="1" t="s">
        <v>529</v>
      </c>
      <c r="B618" s="1" t="s">
        <v>530</v>
      </c>
      <c r="C618">
        <v>119.95833333333333</v>
      </c>
      <c r="D618">
        <v>2879</v>
      </c>
      <c r="E618">
        <v>0.31711864378303289</v>
      </c>
      <c r="F618">
        <v>43.686893775127828</v>
      </c>
      <c r="G618">
        <v>1.1014888634353348E-4</v>
      </c>
      <c r="H618">
        <v>1.5174329202892611E-2</v>
      </c>
      <c r="I618">
        <v>5</v>
      </c>
      <c r="J618" t="b">
        <v>1</v>
      </c>
      <c r="K618">
        <v>0.65</v>
      </c>
      <c r="L618">
        <v>1.3</v>
      </c>
      <c r="M618" t="b">
        <v>1</v>
      </c>
      <c r="N618">
        <v>200</v>
      </c>
      <c r="O618" t="b">
        <v>0</v>
      </c>
      <c r="P618" t="b">
        <v>0</v>
      </c>
      <c r="Q618">
        <v>0.7</v>
      </c>
      <c r="R618">
        <v>21877.312005519867</v>
      </c>
      <c r="S618">
        <v>24257.25115352869</v>
      </c>
      <c r="T618">
        <v>0</v>
      </c>
      <c r="U618">
        <v>0</v>
      </c>
      <c r="V618">
        <v>46134.563159048557</v>
      </c>
      <c r="W618">
        <v>0</v>
      </c>
      <c r="X618">
        <v>384.58823057213107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46134563159.048561</v>
      </c>
      <c r="AF618" s="1" t="s">
        <v>531</v>
      </c>
      <c r="AG618" s="1" t="s">
        <v>532</v>
      </c>
      <c r="AH618" s="1" t="s">
        <v>533</v>
      </c>
      <c r="AI618" s="1" t="str">
        <f>_xlfn.TEXTAFTER(_xlfn.TEXTBEFORE(batch_summary[[#This Row],[video]],"_",1),"-",3)</f>
        <v>20</v>
      </c>
      <c r="AJ618" s="1" t="str">
        <f>_xlfn.TEXTBEFORE(_xlfn.TEXTAFTER(batch_summary[[#This Row],[video]],"_",1),"_",1)</f>
        <v>20260316</v>
      </c>
      <c r="AK618" s="1" t="str">
        <f>_xlfn.TEXTBEFORE(_xlfn.TEXTAFTER(batch_summary[[#This Row],[video]],"_",2),".",1)</f>
        <v>070000</v>
      </c>
    </row>
    <row r="619" spans="1:37" x14ac:dyDescent="0.2">
      <c r="A619" s="1" t="s">
        <v>534</v>
      </c>
      <c r="B619" s="1" t="s">
        <v>535</v>
      </c>
      <c r="C619">
        <v>119.95833333333333</v>
      </c>
      <c r="D619">
        <v>2879</v>
      </c>
      <c r="E619">
        <v>0.31753783766180277</v>
      </c>
      <c r="F619">
        <v>43.259669782593846</v>
      </c>
      <c r="G619">
        <v>1.1029449033060187E-4</v>
      </c>
      <c r="H619">
        <v>1.5025936013405296E-2</v>
      </c>
      <c r="I619">
        <v>5</v>
      </c>
      <c r="J619" t="b">
        <v>1</v>
      </c>
      <c r="K619">
        <v>0.65</v>
      </c>
      <c r="L619">
        <v>1.3</v>
      </c>
      <c r="M619" t="b">
        <v>1</v>
      </c>
      <c r="N619">
        <v>200</v>
      </c>
      <c r="O619" t="b">
        <v>0</v>
      </c>
      <c r="P619" t="b">
        <v>0</v>
      </c>
      <c r="Q619">
        <v>0.7</v>
      </c>
      <c r="R619">
        <v>14723.559219181538</v>
      </c>
      <c r="S619">
        <v>15313.199630975723</v>
      </c>
      <c r="T619">
        <v>0</v>
      </c>
      <c r="U619">
        <v>0</v>
      </c>
      <c r="V619">
        <v>30036.758850157261</v>
      </c>
      <c r="W619">
        <v>0</v>
      </c>
      <c r="X619">
        <v>250.39326585751104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30036758850.157261</v>
      </c>
      <c r="AF619" s="1" t="s">
        <v>536</v>
      </c>
      <c r="AG619" s="1" t="s">
        <v>537</v>
      </c>
      <c r="AH619" s="1" t="s">
        <v>538</v>
      </c>
      <c r="AI619" s="1" t="str">
        <f>_xlfn.TEXTAFTER(_xlfn.TEXTBEFORE(batch_summary[[#This Row],[video]],"_",1),"-",3)</f>
        <v>20</v>
      </c>
      <c r="AJ619" s="1" t="str">
        <f>_xlfn.TEXTBEFORE(_xlfn.TEXTAFTER(batch_summary[[#This Row],[video]],"_",1),"_",1)</f>
        <v>20260316</v>
      </c>
      <c r="AK619" s="1" t="str">
        <f>_xlfn.TEXTBEFORE(_xlfn.TEXTAFTER(batch_summary[[#This Row],[video]],"_",2),".",1)</f>
        <v>080000</v>
      </c>
    </row>
    <row r="620" spans="1:37" x14ac:dyDescent="0.2">
      <c r="A620" s="1" t="s">
        <v>539</v>
      </c>
      <c r="B620" s="1" t="s">
        <v>540</v>
      </c>
      <c r="C620">
        <v>119.95833333333333</v>
      </c>
      <c r="D620">
        <v>2879</v>
      </c>
      <c r="E620">
        <v>0.32967972848564386</v>
      </c>
      <c r="F620">
        <v>43.632262256927788</v>
      </c>
      <c r="G620">
        <v>1.1451188901898015E-4</v>
      </c>
      <c r="H620">
        <v>1.5155353336897459E-2</v>
      </c>
      <c r="I620">
        <v>5</v>
      </c>
      <c r="J620" t="b">
        <v>1</v>
      </c>
      <c r="K620">
        <v>0.65</v>
      </c>
      <c r="L620">
        <v>1.3</v>
      </c>
      <c r="M620" t="b">
        <v>1</v>
      </c>
      <c r="N620">
        <v>200</v>
      </c>
      <c r="O620" t="b">
        <v>0</v>
      </c>
      <c r="P620" t="b">
        <v>0</v>
      </c>
      <c r="Q620">
        <v>0.7</v>
      </c>
      <c r="R620">
        <v>190072.74619656801</v>
      </c>
      <c r="S620">
        <v>189670.66316902637</v>
      </c>
      <c r="T620">
        <v>128933.38325500488</v>
      </c>
      <c r="U620">
        <v>126271.49159240723</v>
      </c>
      <c r="V620">
        <v>379743.40936559439</v>
      </c>
      <c r="W620">
        <v>255204.87484741211</v>
      </c>
      <c r="X620">
        <v>3165.6275876256568</v>
      </c>
      <c r="Y620">
        <v>2127.4459869183365</v>
      </c>
      <c r="Z620">
        <v>900.83132965087884</v>
      </c>
      <c r="AA620">
        <v>63.801218711853025</v>
      </c>
      <c r="AB620">
        <v>1289.3338325500488</v>
      </c>
      <c r="AC620">
        <v>1262.7149159240723</v>
      </c>
      <c r="AD620">
        <v>2552.0487484741211</v>
      </c>
      <c r="AE620">
        <v>1.4879943402046858</v>
      </c>
      <c r="AF620" s="1" t="s">
        <v>541</v>
      </c>
      <c r="AG620" s="1" t="s">
        <v>542</v>
      </c>
      <c r="AH620" s="1" t="s">
        <v>543</v>
      </c>
      <c r="AI620" s="1" t="str">
        <f>_xlfn.TEXTAFTER(_xlfn.TEXTBEFORE(batch_summary[[#This Row],[video]],"_",1),"-",3)</f>
        <v>20</v>
      </c>
      <c r="AJ620" s="1" t="str">
        <f>_xlfn.TEXTBEFORE(_xlfn.TEXTAFTER(batch_summary[[#This Row],[video]],"_",1),"_",1)</f>
        <v>20260316</v>
      </c>
      <c r="AK620" s="1" t="str">
        <f>_xlfn.TEXTBEFORE(_xlfn.TEXTAFTER(batch_summary[[#This Row],[video]],"_",2),".",1)</f>
        <v>090000</v>
      </c>
    </row>
    <row r="621" spans="1:37" x14ac:dyDescent="0.2">
      <c r="A621" s="1" t="s">
        <v>544</v>
      </c>
      <c r="B621" s="1" t="s">
        <v>545</v>
      </c>
      <c r="C621">
        <v>119.95833333333333</v>
      </c>
      <c r="D621">
        <v>2879</v>
      </c>
      <c r="E621">
        <v>0.33680351451039314</v>
      </c>
      <c r="F621">
        <v>44.151614139787853</v>
      </c>
      <c r="G621">
        <v>1.1698628499839985E-4</v>
      </c>
      <c r="H621">
        <v>1.5335746488290327E-2</v>
      </c>
      <c r="I621">
        <v>5</v>
      </c>
      <c r="J621" t="b">
        <v>1</v>
      </c>
      <c r="K621">
        <v>0.65</v>
      </c>
      <c r="L621">
        <v>1.3</v>
      </c>
      <c r="M621" t="b">
        <v>1</v>
      </c>
      <c r="N621">
        <v>200</v>
      </c>
      <c r="O621" t="b">
        <v>0</v>
      </c>
      <c r="P621" t="b">
        <v>0</v>
      </c>
      <c r="Q621">
        <v>0.7</v>
      </c>
      <c r="R621">
        <v>661711.03461670876</v>
      </c>
      <c r="S621">
        <v>770486.27093422413</v>
      </c>
      <c r="T621">
        <v>558617.93038344383</v>
      </c>
      <c r="U621">
        <v>640580.12426519394</v>
      </c>
      <c r="V621">
        <v>1432197.3055509329</v>
      </c>
      <c r="W621">
        <v>1199198.0546486378</v>
      </c>
      <c r="X621">
        <v>11939.123075103296</v>
      </c>
      <c r="Y621">
        <v>9996.7882290959733</v>
      </c>
      <c r="Z621">
        <v>2881.0134061002727</v>
      </c>
      <c r="AA621">
        <v>299.79951366215948</v>
      </c>
      <c r="AB621">
        <v>5586.1793038344385</v>
      </c>
      <c r="AC621">
        <v>6405.801242651939</v>
      </c>
      <c r="AD621">
        <v>11991.980546486378</v>
      </c>
      <c r="AE621">
        <v>1.1942958879887138</v>
      </c>
      <c r="AF621" s="1" t="s">
        <v>546</v>
      </c>
      <c r="AG621" s="1" t="s">
        <v>547</v>
      </c>
      <c r="AH621" s="1" t="s">
        <v>548</v>
      </c>
      <c r="AI621" s="1" t="str">
        <f>_xlfn.TEXTAFTER(_xlfn.TEXTBEFORE(batch_summary[[#This Row],[video]],"_",1),"-",3)</f>
        <v>20</v>
      </c>
      <c r="AJ621" s="1" t="str">
        <f>_xlfn.TEXTBEFORE(_xlfn.TEXTAFTER(batch_summary[[#This Row],[video]],"_",1),"_",1)</f>
        <v>20260316</v>
      </c>
      <c r="AK621" s="1" t="str">
        <f>_xlfn.TEXTBEFORE(_xlfn.TEXTAFTER(batch_summary[[#This Row],[video]],"_",2),".",1)</f>
        <v>100000</v>
      </c>
    </row>
    <row r="622" spans="1:37" x14ac:dyDescent="0.2">
      <c r="A622" s="1" t="s">
        <v>549</v>
      </c>
      <c r="B622" s="1" t="s">
        <v>550</v>
      </c>
      <c r="C622">
        <v>119.95833333333333</v>
      </c>
      <c r="D622">
        <v>2879</v>
      </c>
      <c r="E622">
        <v>0.28880222700536251</v>
      </c>
      <c r="F622">
        <v>43.621806788258255</v>
      </c>
      <c r="G622">
        <v>1.0031338207897274E-4</v>
      </c>
      <c r="H622">
        <v>1.5151721704848299E-2</v>
      </c>
      <c r="I622">
        <v>5</v>
      </c>
      <c r="J622" t="b">
        <v>1</v>
      </c>
      <c r="K622">
        <v>0.65</v>
      </c>
      <c r="L622">
        <v>1.3</v>
      </c>
      <c r="M622" t="b">
        <v>1</v>
      </c>
      <c r="N622">
        <v>200</v>
      </c>
      <c r="O622" t="b">
        <v>0</v>
      </c>
      <c r="P622" t="b">
        <v>0</v>
      </c>
      <c r="Q622">
        <v>0.7</v>
      </c>
      <c r="R622">
        <v>16250555.229697227</v>
      </c>
      <c r="S622">
        <v>16094803.159918427</v>
      </c>
      <c r="T622">
        <v>15183850.434794068</v>
      </c>
      <c r="U622">
        <v>15037605.90752095</v>
      </c>
      <c r="V622">
        <v>32345358.389615655</v>
      </c>
      <c r="W622">
        <v>30221456.342315018</v>
      </c>
      <c r="X622">
        <v>269638.27764875849</v>
      </c>
      <c r="Y622">
        <v>251932.94623673515</v>
      </c>
      <c r="Z622">
        <v>10835.069605712892</v>
      </c>
      <c r="AA622">
        <v>7555.3640855787544</v>
      </c>
      <c r="AB622">
        <v>151838.50434794067</v>
      </c>
      <c r="AC622">
        <v>150376.05907520949</v>
      </c>
      <c r="AD622">
        <v>302214.56342315016</v>
      </c>
      <c r="AE622">
        <v>1.0702779516395053</v>
      </c>
      <c r="AF622" s="1" t="s">
        <v>551</v>
      </c>
      <c r="AG622" s="1" t="s">
        <v>552</v>
      </c>
      <c r="AH622" s="1" t="s">
        <v>553</v>
      </c>
      <c r="AI622" s="1" t="str">
        <f>_xlfn.TEXTAFTER(_xlfn.TEXTBEFORE(batch_summary[[#This Row],[video]],"_",1),"-",3)</f>
        <v>20</v>
      </c>
      <c r="AJ622" s="1" t="str">
        <f>_xlfn.TEXTBEFORE(_xlfn.TEXTAFTER(batch_summary[[#This Row],[video]],"_",1),"_",1)</f>
        <v>20260316</v>
      </c>
      <c r="AK622" s="1" t="str">
        <f>_xlfn.TEXTBEFORE(_xlfn.TEXTAFTER(batch_summary[[#This Row],[video]],"_",2),".",1)</f>
        <v>110000</v>
      </c>
    </row>
    <row r="623" spans="1:37" x14ac:dyDescent="0.2">
      <c r="A623" s="1" t="s">
        <v>554</v>
      </c>
      <c r="B623" s="1" t="s">
        <v>555</v>
      </c>
      <c r="C623">
        <v>119.95833333333333</v>
      </c>
      <c r="D623">
        <v>2879</v>
      </c>
      <c r="E623">
        <v>0.29199826437979937</v>
      </c>
      <c r="F623">
        <v>43.720779246650636</v>
      </c>
      <c r="G623">
        <v>1.0142350273699179E-4</v>
      </c>
      <c r="H623">
        <v>1.518609907837813E-2</v>
      </c>
      <c r="I623">
        <v>5</v>
      </c>
      <c r="J623" t="b">
        <v>1</v>
      </c>
      <c r="K623">
        <v>0.65</v>
      </c>
      <c r="L623">
        <v>1.3</v>
      </c>
      <c r="M623" t="b">
        <v>1</v>
      </c>
      <c r="N623">
        <v>200</v>
      </c>
      <c r="O623" t="b">
        <v>0</v>
      </c>
      <c r="P623" t="b">
        <v>0</v>
      </c>
      <c r="Q623">
        <v>0.7</v>
      </c>
      <c r="R623">
        <v>20407056.320726216</v>
      </c>
      <c r="S623">
        <v>22319077.782862186</v>
      </c>
      <c r="T623">
        <v>19315866.260094702</v>
      </c>
      <c r="U623">
        <v>21111597.079871893</v>
      </c>
      <c r="V623">
        <v>42726134.103588402</v>
      </c>
      <c r="W623">
        <v>40427463.339966595</v>
      </c>
      <c r="X623">
        <v>356174.78933175467</v>
      </c>
      <c r="Y623">
        <v>337012.546078221</v>
      </c>
      <c r="Z623">
        <v>14162.319304199218</v>
      </c>
      <c r="AA623">
        <v>10106.865834991648</v>
      </c>
      <c r="AB623">
        <v>193158.66260094702</v>
      </c>
      <c r="AC623">
        <v>211115.97079871892</v>
      </c>
      <c r="AD623">
        <v>404274.63339966594</v>
      </c>
      <c r="AE623">
        <v>1.0568591391523035</v>
      </c>
      <c r="AF623" s="1" t="s">
        <v>556</v>
      </c>
      <c r="AG623" s="1" t="s">
        <v>557</v>
      </c>
      <c r="AH623" s="1" t="s">
        <v>558</v>
      </c>
      <c r="AI623" s="1" t="str">
        <f>_xlfn.TEXTAFTER(_xlfn.TEXTBEFORE(batch_summary[[#This Row],[video]],"_",1),"-",3)</f>
        <v>20</v>
      </c>
      <c r="AJ623" s="1" t="str">
        <f>_xlfn.TEXTBEFORE(_xlfn.TEXTAFTER(batch_summary[[#This Row],[video]],"_",1),"_",1)</f>
        <v>20260316</v>
      </c>
      <c r="AK623" s="1" t="str">
        <f>_xlfn.TEXTBEFORE(_xlfn.TEXTAFTER(batch_summary[[#This Row],[video]],"_",2),".",1)</f>
        <v>120000</v>
      </c>
    </row>
    <row r="624" spans="1:37" x14ac:dyDescent="0.2">
      <c r="A624" s="1" t="s">
        <v>559</v>
      </c>
      <c r="B624" s="1" t="s">
        <v>560</v>
      </c>
      <c r="C624">
        <v>119.95833333333333</v>
      </c>
      <c r="D624">
        <v>2879</v>
      </c>
      <c r="E624">
        <v>0.28097749780863523</v>
      </c>
      <c r="F624">
        <v>43.548325784504414</v>
      </c>
      <c r="G624">
        <v>9.7595518516372081E-5</v>
      </c>
      <c r="H624">
        <v>1.5126198605246409E-2</v>
      </c>
      <c r="I624">
        <v>5</v>
      </c>
      <c r="J624" t="b">
        <v>1</v>
      </c>
      <c r="K624">
        <v>0.65</v>
      </c>
      <c r="L624">
        <v>1.3</v>
      </c>
      <c r="M624" t="b">
        <v>1</v>
      </c>
      <c r="N624">
        <v>200</v>
      </c>
      <c r="O624" t="b">
        <v>0</v>
      </c>
      <c r="P624" t="b">
        <v>0</v>
      </c>
      <c r="Q624">
        <v>0.7</v>
      </c>
      <c r="R624">
        <v>19880995.705234528</v>
      </c>
      <c r="S624">
        <v>20256444.942007363</v>
      </c>
      <c r="T624">
        <v>18818967.40953362</v>
      </c>
      <c r="U624">
        <v>19100779.356400013</v>
      </c>
      <c r="V624">
        <v>40137440.64724189</v>
      </c>
      <c r="W624">
        <v>37919746.765933633</v>
      </c>
      <c r="X624">
        <v>334594.85082799772</v>
      </c>
      <c r="Y624">
        <v>316107.64931657078</v>
      </c>
      <c r="Z624">
        <v>14518.185946044923</v>
      </c>
      <c r="AA624">
        <v>9479.9366914834081</v>
      </c>
      <c r="AB624">
        <v>188189.6740953362</v>
      </c>
      <c r="AC624">
        <v>191007.79356400014</v>
      </c>
      <c r="AD624">
        <v>379197.46765933634</v>
      </c>
      <c r="AE624">
        <v>1.0584838789931106</v>
      </c>
      <c r="AF624" s="1" t="s">
        <v>561</v>
      </c>
      <c r="AG624" s="1" t="s">
        <v>562</v>
      </c>
      <c r="AH624" s="1" t="s">
        <v>563</v>
      </c>
      <c r="AI624" s="1" t="str">
        <f>_xlfn.TEXTAFTER(_xlfn.TEXTBEFORE(batch_summary[[#This Row],[video]],"_",1),"-",3)</f>
        <v>20</v>
      </c>
      <c r="AJ624" s="1" t="str">
        <f>_xlfn.TEXTBEFORE(_xlfn.TEXTAFTER(batch_summary[[#This Row],[video]],"_",1),"_",1)</f>
        <v>20260316</v>
      </c>
      <c r="AK624" s="1" t="str">
        <f>_xlfn.TEXTBEFORE(_xlfn.TEXTAFTER(batch_summary[[#This Row],[video]],"_",2),".",1)</f>
        <v>130000</v>
      </c>
    </row>
    <row r="625" spans="1:37" x14ac:dyDescent="0.2">
      <c r="A625" s="1" t="s">
        <v>564</v>
      </c>
      <c r="B625" s="1" t="s">
        <v>565</v>
      </c>
      <c r="C625">
        <v>119.95833333333333</v>
      </c>
      <c r="D625">
        <v>2879</v>
      </c>
      <c r="E625">
        <v>0.28797788918018341</v>
      </c>
      <c r="F625">
        <v>43.992333057336509</v>
      </c>
      <c r="G625">
        <v>1.0002705424806648E-4</v>
      </c>
      <c r="H625">
        <v>1.5280421346765025E-2</v>
      </c>
      <c r="I625">
        <v>5</v>
      </c>
      <c r="J625" t="b">
        <v>1</v>
      </c>
      <c r="K625">
        <v>0.65</v>
      </c>
      <c r="L625">
        <v>1.3</v>
      </c>
      <c r="M625" t="b">
        <v>1</v>
      </c>
      <c r="N625">
        <v>200</v>
      </c>
      <c r="O625" t="b">
        <v>0</v>
      </c>
      <c r="P625" t="b">
        <v>0</v>
      </c>
      <c r="Q625">
        <v>0.7</v>
      </c>
      <c r="R625">
        <v>10069688.432438135</v>
      </c>
      <c r="S625">
        <v>14411024.532151699</v>
      </c>
      <c r="T625">
        <v>9220201.9671727419</v>
      </c>
      <c r="U625">
        <v>13363131.464288354</v>
      </c>
      <c r="V625">
        <v>24480712.964589834</v>
      </c>
      <c r="W625">
        <v>22583333.431461096</v>
      </c>
      <c r="X625">
        <v>204076.80137205837</v>
      </c>
      <c r="Y625">
        <v>188259.81325288862</v>
      </c>
      <c r="Z625">
        <v>9422.0995892333995</v>
      </c>
      <c r="AA625">
        <v>5645.8333578652737</v>
      </c>
      <c r="AB625">
        <v>92202.019671727423</v>
      </c>
      <c r="AC625">
        <v>133631.31464288355</v>
      </c>
      <c r="AD625">
        <v>225833.33431461098</v>
      </c>
      <c r="AE625">
        <v>1.0840168055299346</v>
      </c>
      <c r="AF625" s="1" t="s">
        <v>566</v>
      </c>
      <c r="AG625" s="1" t="s">
        <v>567</v>
      </c>
      <c r="AH625" s="1" t="s">
        <v>568</v>
      </c>
      <c r="AI625" s="1" t="str">
        <f>_xlfn.TEXTAFTER(_xlfn.TEXTBEFORE(batch_summary[[#This Row],[video]],"_",1),"-",3)</f>
        <v>20</v>
      </c>
      <c r="AJ625" s="1" t="str">
        <f>_xlfn.TEXTBEFORE(_xlfn.TEXTAFTER(batch_summary[[#This Row],[video]],"_",1),"_",1)</f>
        <v>20260316</v>
      </c>
      <c r="AK625" s="1" t="str">
        <f>_xlfn.TEXTBEFORE(_xlfn.TEXTAFTER(batch_summary[[#This Row],[video]],"_",2),".",1)</f>
        <v>140000</v>
      </c>
    </row>
    <row r="626" spans="1:37" x14ac:dyDescent="0.2">
      <c r="A626" s="1" t="s">
        <v>569</v>
      </c>
      <c r="B626" s="1" t="s">
        <v>570</v>
      </c>
      <c r="C626">
        <v>119.95833333333333</v>
      </c>
      <c r="D626">
        <v>2879</v>
      </c>
      <c r="E626">
        <v>0.28890750836580992</v>
      </c>
      <c r="F626">
        <v>43.993039682507515</v>
      </c>
      <c r="G626">
        <v>1.0034995080437997E-4</v>
      </c>
      <c r="H626">
        <v>1.5280666787949815E-2</v>
      </c>
      <c r="I626">
        <v>5</v>
      </c>
      <c r="J626" t="b">
        <v>1</v>
      </c>
      <c r="K626">
        <v>0.65</v>
      </c>
      <c r="L626">
        <v>1.3</v>
      </c>
      <c r="M626" t="b">
        <v>1</v>
      </c>
      <c r="N626">
        <v>200</v>
      </c>
      <c r="O626" t="b">
        <v>0</v>
      </c>
      <c r="P626" t="b">
        <v>0</v>
      </c>
      <c r="Q626">
        <v>0.7</v>
      </c>
      <c r="R626">
        <v>11364330.928318262</v>
      </c>
      <c r="S626">
        <v>14333390.086215973</v>
      </c>
      <c r="T626">
        <v>10525059.188987434</v>
      </c>
      <c r="U626">
        <v>13245232.256044388</v>
      </c>
      <c r="V626">
        <v>25697721.014534235</v>
      </c>
      <c r="W626">
        <v>23770291.445031822</v>
      </c>
      <c r="X626">
        <v>214222.05778007006</v>
      </c>
      <c r="Y626">
        <v>198154.56571058137</v>
      </c>
      <c r="Z626">
        <v>9204.1878027343755</v>
      </c>
      <c r="AA626">
        <v>5942.5728612579551</v>
      </c>
      <c r="AB626">
        <v>105250.59188987434</v>
      </c>
      <c r="AC626">
        <v>132452.32256044389</v>
      </c>
      <c r="AD626">
        <v>237702.91445031823</v>
      </c>
      <c r="AE626">
        <v>1.0810856515562521</v>
      </c>
      <c r="AF626" s="1" t="s">
        <v>571</v>
      </c>
      <c r="AG626" s="1" t="s">
        <v>572</v>
      </c>
      <c r="AH626" s="1" t="s">
        <v>573</v>
      </c>
      <c r="AI626" s="1" t="str">
        <f>_xlfn.TEXTAFTER(_xlfn.TEXTBEFORE(batch_summary[[#This Row],[video]],"_",1),"-",3)</f>
        <v>20</v>
      </c>
      <c r="AJ626" s="1" t="str">
        <f>_xlfn.TEXTBEFORE(_xlfn.TEXTAFTER(batch_summary[[#This Row],[video]],"_",1),"_",1)</f>
        <v>20260316</v>
      </c>
      <c r="AK626" s="1" t="str">
        <f>_xlfn.TEXTBEFORE(_xlfn.TEXTAFTER(batch_summary[[#This Row],[video]],"_",2),".",1)</f>
        <v>150000</v>
      </c>
    </row>
    <row r="627" spans="1:37" x14ac:dyDescent="0.2">
      <c r="A627" s="1" t="s">
        <v>574</v>
      </c>
      <c r="B627" s="1" t="s">
        <v>575</v>
      </c>
      <c r="C627">
        <v>119.95833333333333</v>
      </c>
      <c r="D627">
        <v>2879</v>
      </c>
      <c r="E627">
        <v>0.31538936588913202</v>
      </c>
      <c r="F627">
        <v>44.651478553190827</v>
      </c>
      <c r="G627">
        <v>1.0954823407055645E-4</v>
      </c>
      <c r="H627">
        <v>1.5509370806943671E-2</v>
      </c>
      <c r="I627">
        <v>5</v>
      </c>
      <c r="J627" t="b">
        <v>1</v>
      </c>
      <c r="K627">
        <v>0.65</v>
      </c>
      <c r="L627">
        <v>1.3</v>
      </c>
      <c r="M627" t="b">
        <v>1</v>
      </c>
      <c r="N627">
        <v>200</v>
      </c>
      <c r="O627" t="b">
        <v>0</v>
      </c>
      <c r="P627" t="b">
        <v>0</v>
      </c>
      <c r="Q627">
        <v>0.7</v>
      </c>
      <c r="R627">
        <v>11194931.469994187</v>
      </c>
      <c r="S627">
        <v>6857986.8671990633</v>
      </c>
      <c r="T627">
        <v>10361569.768285573</v>
      </c>
      <c r="U627">
        <v>6142673.686639905</v>
      </c>
      <c r="V627">
        <v>18052918.337193251</v>
      </c>
      <c r="W627">
        <v>16504243.454925478</v>
      </c>
      <c r="X627">
        <v>150493.24074075653</v>
      </c>
      <c r="Y627">
        <v>137583.13404592272</v>
      </c>
      <c r="Z627">
        <v>7767.4351597595214</v>
      </c>
      <c r="AA627">
        <v>4126.060863731369</v>
      </c>
      <c r="AB627">
        <v>103615.69768285572</v>
      </c>
      <c r="AC627">
        <v>61426.736866399049</v>
      </c>
      <c r="AD627">
        <v>165042.43454925477</v>
      </c>
      <c r="AE627">
        <v>1.0938349513867351</v>
      </c>
      <c r="AF627" s="1" t="s">
        <v>576</v>
      </c>
      <c r="AG627" s="1" t="s">
        <v>577</v>
      </c>
      <c r="AH627" s="1" t="s">
        <v>578</v>
      </c>
      <c r="AI627" s="1" t="str">
        <f>_xlfn.TEXTAFTER(_xlfn.TEXTBEFORE(batch_summary[[#This Row],[video]],"_",1),"-",3)</f>
        <v>20</v>
      </c>
      <c r="AJ627" s="1" t="str">
        <f>_xlfn.TEXTBEFORE(_xlfn.TEXTAFTER(batch_summary[[#This Row],[video]],"_",1),"_",1)</f>
        <v>20260316</v>
      </c>
      <c r="AK627" s="1" t="str">
        <f>_xlfn.TEXTBEFORE(_xlfn.TEXTAFTER(batch_summary[[#This Row],[video]],"_",2),".",1)</f>
        <v>160000</v>
      </c>
    </row>
    <row r="628" spans="1:37" x14ac:dyDescent="0.2">
      <c r="A628" s="1" t="s">
        <v>579</v>
      </c>
      <c r="B628" s="1" t="s">
        <v>580</v>
      </c>
      <c r="C628">
        <v>119.95833333333333</v>
      </c>
      <c r="D628">
        <v>2879</v>
      </c>
      <c r="E628">
        <v>0.33730699401348829</v>
      </c>
      <c r="F628">
        <v>44.87759879976511</v>
      </c>
      <c r="G628">
        <v>1.1716116499252806E-4</v>
      </c>
      <c r="H628">
        <v>1.5587912052714523E-2</v>
      </c>
      <c r="I628">
        <v>5</v>
      </c>
      <c r="J628" t="b">
        <v>1</v>
      </c>
      <c r="K628">
        <v>0.65</v>
      </c>
      <c r="L628">
        <v>1.3</v>
      </c>
      <c r="M628" t="b">
        <v>1</v>
      </c>
      <c r="N628">
        <v>200</v>
      </c>
      <c r="O628" t="b">
        <v>0</v>
      </c>
      <c r="P628" t="b">
        <v>0</v>
      </c>
      <c r="Q628">
        <v>0.7</v>
      </c>
      <c r="R628">
        <v>4439636.5765362978</v>
      </c>
      <c r="S628">
        <v>4285693.7819601893</v>
      </c>
      <c r="T628">
        <v>3909062.5440616608</v>
      </c>
      <c r="U628">
        <v>3772196.1376157999</v>
      </c>
      <c r="V628">
        <v>8725330.3584964871</v>
      </c>
      <c r="W628">
        <v>7681258.6816774607</v>
      </c>
      <c r="X628">
        <v>72736.341995107912</v>
      </c>
      <c r="Y628">
        <v>64032.722598214335</v>
      </c>
      <c r="Z628">
        <v>4879.1413882446286</v>
      </c>
      <c r="AA628">
        <v>1920.3146704193648</v>
      </c>
      <c r="AB628">
        <v>39090.625440616604</v>
      </c>
      <c r="AC628">
        <v>37721.961376157997</v>
      </c>
      <c r="AD628">
        <v>76812.586816774594</v>
      </c>
      <c r="AE628">
        <v>1.1359245561289988</v>
      </c>
      <c r="AF628" s="1" t="s">
        <v>581</v>
      </c>
      <c r="AG628" s="1" t="s">
        <v>582</v>
      </c>
      <c r="AH628" s="1" t="s">
        <v>583</v>
      </c>
      <c r="AI628" s="1" t="str">
        <f>_xlfn.TEXTAFTER(_xlfn.TEXTBEFORE(batch_summary[[#This Row],[video]],"_",1),"-",3)</f>
        <v>20</v>
      </c>
      <c r="AJ628" s="1" t="str">
        <f>_xlfn.TEXTBEFORE(_xlfn.TEXTAFTER(batch_summary[[#This Row],[video]],"_",1),"_",1)</f>
        <v>20260316</v>
      </c>
      <c r="AK628" s="1" t="str">
        <f>_xlfn.TEXTBEFORE(_xlfn.TEXTAFTER(batch_summary[[#This Row],[video]],"_",2),".",1)</f>
        <v>170000</v>
      </c>
    </row>
    <row r="629" spans="1:37" x14ac:dyDescent="0.2">
      <c r="A629" s="1" t="s">
        <v>584</v>
      </c>
      <c r="B629" s="1" t="s">
        <v>585</v>
      </c>
      <c r="C629">
        <v>119.95833333333333</v>
      </c>
      <c r="D629">
        <v>2879</v>
      </c>
      <c r="E629">
        <v>0.3436773307621479</v>
      </c>
      <c r="F629">
        <v>44.677349802106619</v>
      </c>
      <c r="G629">
        <v>1.1937385577011043E-4</v>
      </c>
      <c r="H629">
        <v>1.5518356999689691E-2</v>
      </c>
      <c r="I629">
        <v>5</v>
      </c>
      <c r="J629" t="b">
        <v>1</v>
      </c>
      <c r="K629">
        <v>0.65</v>
      </c>
      <c r="L629">
        <v>1.3</v>
      </c>
      <c r="M629" t="b">
        <v>1</v>
      </c>
      <c r="N629">
        <v>200</v>
      </c>
      <c r="O629" t="b">
        <v>0</v>
      </c>
      <c r="P629" t="b">
        <v>0</v>
      </c>
      <c r="Q629">
        <v>0.7</v>
      </c>
      <c r="R629">
        <v>1614612.6459990144</v>
      </c>
      <c r="S629">
        <v>1141249.7281760573</v>
      </c>
      <c r="T629">
        <v>1445759.5487037897</v>
      </c>
      <c r="U629">
        <v>963763.42819291353</v>
      </c>
      <c r="V629">
        <v>2755862.3741750717</v>
      </c>
      <c r="W629">
        <v>2409522.9768967032</v>
      </c>
      <c r="X629">
        <v>22973.496693366349</v>
      </c>
      <c r="Y629">
        <v>20086.332561834275</v>
      </c>
      <c r="Z629">
        <v>2365.4966430807112</v>
      </c>
      <c r="AA629">
        <v>602.38074422417571</v>
      </c>
      <c r="AB629">
        <v>14457.595487037897</v>
      </c>
      <c r="AC629">
        <v>9637.6342819291349</v>
      </c>
      <c r="AD629">
        <v>24095.22976896703</v>
      </c>
      <c r="AE629">
        <v>1.1437377441921841</v>
      </c>
      <c r="AF629" s="1" t="s">
        <v>586</v>
      </c>
      <c r="AG629" s="1" t="s">
        <v>587</v>
      </c>
      <c r="AH629" s="1" t="s">
        <v>588</v>
      </c>
      <c r="AI629" s="1" t="str">
        <f>_xlfn.TEXTAFTER(_xlfn.TEXTBEFORE(batch_summary[[#This Row],[video]],"_",1),"-",3)</f>
        <v>20</v>
      </c>
      <c r="AJ629" s="1" t="str">
        <f>_xlfn.TEXTBEFORE(_xlfn.TEXTAFTER(batch_summary[[#This Row],[video]],"_",1),"_",1)</f>
        <v>20260316</v>
      </c>
      <c r="AK629" s="1" t="str">
        <f>_xlfn.TEXTBEFORE(_xlfn.TEXTAFTER(batch_summary[[#This Row],[video]],"_",2),".",1)</f>
        <v>180000</v>
      </c>
    </row>
    <row r="630" spans="1:37" x14ac:dyDescent="0.2">
      <c r="A630" s="1" t="s">
        <v>589</v>
      </c>
      <c r="B630" s="1" t="s">
        <v>590</v>
      </c>
      <c r="C630">
        <v>119.95833333333333</v>
      </c>
      <c r="D630">
        <v>2879</v>
      </c>
      <c r="E630">
        <v>0.34768886771053076</v>
      </c>
      <c r="F630">
        <v>44.062353297136724</v>
      </c>
      <c r="G630">
        <v>1.2076723435586341E-4</v>
      </c>
      <c r="H630">
        <v>1.5304742374830401E-2</v>
      </c>
      <c r="I630">
        <v>5</v>
      </c>
      <c r="J630" t="b">
        <v>1</v>
      </c>
      <c r="K630">
        <v>0.65</v>
      </c>
      <c r="L630">
        <v>1.3</v>
      </c>
      <c r="M630" t="b">
        <v>1</v>
      </c>
      <c r="N630">
        <v>200</v>
      </c>
      <c r="O630" t="b">
        <v>0</v>
      </c>
      <c r="P630" t="b">
        <v>0</v>
      </c>
      <c r="Q630">
        <v>0.7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s="1" t="s">
        <v>591</v>
      </c>
      <c r="AG630" s="1" t="s">
        <v>592</v>
      </c>
      <c r="AH630" s="1" t="s">
        <v>593</v>
      </c>
      <c r="AI630" s="1" t="str">
        <f>_xlfn.TEXTAFTER(_xlfn.TEXTBEFORE(batch_summary[[#This Row],[video]],"_",1),"-",3)</f>
        <v>20</v>
      </c>
      <c r="AJ630" s="1" t="str">
        <f>_xlfn.TEXTBEFORE(_xlfn.TEXTAFTER(batch_summary[[#This Row],[video]],"_",1),"_",1)</f>
        <v>20260316</v>
      </c>
      <c r="AK630" s="1" t="str">
        <f>_xlfn.TEXTBEFORE(_xlfn.TEXTAFTER(batch_summary[[#This Row],[video]],"_",2),".",1)</f>
        <v>190000</v>
      </c>
    </row>
    <row r="631" spans="1:37" x14ac:dyDescent="0.2">
      <c r="A631" s="1" t="s">
        <v>594</v>
      </c>
      <c r="B631" s="1" t="s">
        <v>595</v>
      </c>
      <c r="C631">
        <v>119.95833333333333</v>
      </c>
      <c r="D631">
        <v>2879</v>
      </c>
      <c r="E631">
        <v>0.33960651326924562</v>
      </c>
      <c r="F631">
        <v>44.247981774620712</v>
      </c>
      <c r="G631">
        <v>1.1795988651241598E-4</v>
      </c>
      <c r="H631">
        <v>1.5369219095040191E-2</v>
      </c>
      <c r="I631">
        <v>5</v>
      </c>
      <c r="J631" t="b">
        <v>1</v>
      </c>
      <c r="K631">
        <v>0.65</v>
      </c>
      <c r="L631">
        <v>1.3</v>
      </c>
      <c r="M631" t="b">
        <v>1</v>
      </c>
      <c r="N631">
        <v>200</v>
      </c>
      <c r="O631" t="b">
        <v>0</v>
      </c>
      <c r="P631" t="b">
        <v>0</v>
      </c>
      <c r="Q631">
        <v>0.7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s="1" t="s">
        <v>596</v>
      </c>
      <c r="AG631" s="1" t="s">
        <v>597</v>
      </c>
      <c r="AH631" s="1" t="s">
        <v>598</v>
      </c>
      <c r="AI631" s="1" t="str">
        <f>_xlfn.TEXTAFTER(_xlfn.TEXTBEFORE(batch_summary[[#This Row],[video]],"_",1),"-",3)</f>
        <v>20</v>
      </c>
      <c r="AJ631" s="1" t="str">
        <f>_xlfn.TEXTBEFORE(_xlfn.TEXTAFTER(batch_summary[[#This Row],[video]],"_",1),"_",1)</f>
        <v>20260317</v>
      </c>
      <c r="AK631" s="1" t="str">
        <f>_xlfn.TEXTBEFORE(_xlfn.TEXTAFTER(batch_summary[[#This Row],[video]],"_",2),".",1)</f>
        <v>060000</v>
      </c>
    </row>
    <row r="632" spans="1:37" x14ac:dyDescent="0.2">
      <c r="A632" s="1" t="s">
        <v>599</v>
      </c>
      <c r="B632" s="1" t="s">
        <v>600</v>
      </c>
      <c r="C632">
        <v>119.95833333333333</v>
      </c>
      <c r="D632">
        <v>2879</v>
      </c>
      <c r="E632">
        <v>0.32842903677374125</v>
      </c>
      <c r="F632">
        <v>43.723759705200791</v>
      </c>
      <c r="G632">
        <v>1.1407747022359891E-4</v>
      </c>
      <c r="H632">
        <v>1.5187134319277802E-2</v>
      </c>
      <c r="I632">
        <v>5</v>
      </c>
      <c r="J632" t="b">
        <v>1</v>
      </c>
      <c r="K632">
        <v>0.65</v>
      </c>
      <c r="L632">
        <v>1.3</v>
      </c>
      <c r="M632" t="b">
        <v>1</v>
      </c>
      <c r="N632">
        <v>200</v>
      </c>
      <c r="O632" t="b">
        <v>0</v>
      </c>
      <c r="P632" t="b">
        <v>0</v>
      </c>
      <c r="Q632">
        <v>0.7</v>
      </c>
      <c r="R632">
        <v>7669.257615685463</v>
      </c>
      <c r="S632">
        <v>11431.984092533588</v>
      </c>
      <c r="T632">
        <v>354.504150390625</v>
      </c>
      <c r="U632">
        <v>0</v>
      </c>
      <c r="V632">
        <v>19101.241708219051</v>
      </c>
      <c r="W632">
        <v>354.504150390625</v>
      </c>
      <c r="X632">
        <v>159.23230322933563</v>
      </c>
      <c r="Y632">
        <v>2.9552273738711361</v>
      </c>
      <c r="Z632">
        <v>3.5450415039062499</v>
      </c>
      <c r="AA632">
        <v>8.8626037597656249E-2</v>
      </c>
      <c r="AB632">
        <v>3.5450415039062499</v>
      </c>
      <c r="AC632">
        <v>0</v>
      </c>
      <c r="AD632">
        <v>3.5450415039062499</v>
      </c>
      <c r="AE632">
        <v>53.881574269783755</v>
      </c>
      <c r="AF632" s="1" t="s">
        <v>601</v>
      </c>
      <c r="AG632" s="1" t="s">
        <v>602</v>
      </c>
      <c r="AH632" s="1" t="s">
        <v>603</v>
      </c>
      <c r="AI632" s="1" t="str">
        <f>_xlfn.TEXTAFTER(_xlfn.TEXTBEFORE(batch_summary[[#This Row],[video]],"_",1),"-",3)</f>
        <v>20</v>
      </c>
      <c r="AJ632" s="1" t="str">
        <f>_xlfn.TEXTBEFORE(_xlfn.TEXTAFTER(batch_summary[[#This Row],[video]],"_",1),"_",1)</f>
        <v>20260317</v>
      </c>
      <c r="AK632" s="1" t="str">
        <f>_xlfn.TEXTBEFORE(_xlfn.TEXTAFTER(batch_summary[[#This Row],[video]],"_",2),".",1)</f>
        <v>070000</v>
      </c>
    </row>
    <row r="633" spans="1:37" x14ac:dyDescent="0.2">
      <c r="A633" s="1" t="s">
        <v>604</v>
      </c>
      <c r="B633" s="1" t="s">
        <v>605</v>
      </c>
      <c r="C633">
        <v>119.95833333333333</v>
      </c>
      <c r="D633">
        <v>2879</v>
      </c>
      <c r="E633">
        <v>0.31647735927253962</v>
      </c>
      <c r="F633">
        <v>43.414257185533643</v>
      </c>
      <c r="G633">
        <v>1.0992614076850977E-4</v>
      </c>
      <c r="H633">
        <v>1.5079630839018286E-2</v>
      </c>
      <c r="I633">
        <v>5</v>
      </c>
      <c r="J633" t="b">
        <v>1</v>
      </c>
      <c r="K633">
        <v>0.65</v>
      </c>
      <c r="L633">
        <v>1.3</v>
      </c>
      <c r="M633" t="b">
        <v>1</v>
      </c>
      <c r="N633">
        <v>200</v>
      </c>
      <c r="O633" t="b">
        <v>0</v>
      </c>
      <c r="P633" t="b">
        <v>0</v>
      </c>
      <c r="Q633">
        <v>0.7</v>
      </c>
      <c r="R633">
        <v>17346.457627892494</v>
      </c>
      <c r="S633">
        <v>16526.825080513954</v>
      </c>
      <c r="T633">
        <v>345.816162109375</v>
      </c>
      <c r="U633">
        <v>296.33334350585938</v>
      </c>
      <c r="V633">
        <v>33873.282708406448</v>
      </c>
      <c r="W633">
        <v>642.14950561523438</v>
      </c>
      <c r="X633">
        <v>282.37540291828924</v>
      </c>
      <c r="Y633">
        <v>5.3531045970009119</v>
      </c>
      <c r="Z633">
        <v>3.4581616210937498</v>
      </c>
      <c r="AA633">
        <v>0.16053737640380858</v>
      </c>
      <c r="AB633">
        <v>3.4581616210937498</v>
      </c>
      <c r="AC633">
        <v>2.9633334350585936</v>
      </c>
      <c r="AD633">
        <v>6.4214950561523434</v>
      </c>
      <c r="AE633">
        <v>52.749838491198297</v>
      </c>
      <c r="AF633" s="1" t="s">
        <v>606</v>
      </c>
      <c r="AG633" s="1" t="s">
        <v>607</v>
      </c>
      <c r="AH633" s="1" t="s">
        <v>608</v>
      </c>
      <c r="AI633" s="1" t="str">
        <f>_xlfn.TEXTAFTER(_xlfn.TEXTBEFORE(batch_summary[[#This Row],[video]],"_",1),"-",3)</f>
        <v>20</v>
      </c>
      <c r="AJ633" s="1" t="str">
        <f>_xlfn.TEXTBEFORE(_xlfn.TEXTAFTER(batch_summary[[#This Row],[video]],"_",1),"_",1)</f>
        <v>20260317</v>
      </c>
      <c r="AK633" s="1" t="str">
        <f>_xlfn.TEXTBEFORE(_xlfn.TEXTAFTER(batch_summary[[#This Row],[video]],"_",2),".",1)</f>
        <v>080000</v>
      </c>
    </row>
    <row r="634" spans="1:37" x14ac:dyDescent="0.2">
      <c r="A634" s="1" t="s">
        <v>609</v>
      </c>
      <c r="B634" s="1" t="s">
        <v>610</v>
      </c>
      <c r="C634">
        <v>119.95833333333333</v>
      </c>
      <c r="D634">
        <v>2879</v>
      </c>
      <c r="E634">
        <v>0.31325784418731928</v>
      </c>
      <c r="F634">
        <v>43.407585537061095</v>
      </c>
      <c r="G634">
        <v>1.0880786529604699E-4</v>
      </c>
      <c r="H634">
        <v>1.5077313489774608E-2</v>
      </c>
      <c r="I634">
        <v>5</v>
      </c>
      <c r="J634" t="b">
        <v>1</v>
      </c>
      <c r="K634">
        <v>0.65</v>
      </c>
      <c r="L634">
        <v>1.3</v>
      </c>
      <c r="M634" t="b">
        <v>1</v>
      </c>
      <c r="N634">
        <v>200</v>
      </c>
      <c r="O634" t="b">
        <v>0</v>
      </c>
      <c r="P634" t="b">
        <v>0</v>
      </c>
      <c r="Q634">
        <v>0.7</v>
      </c>
      <c r="R634">
        <v>87602.536553263664</v>
      </c>
      <c r="S634">
        <v>249980.33514285088</v>
      </c>
      <c r="T634">
        <v>39160.515029907227</v>
      </c>
      <c r="U634">
        <v>187919.13027954102</v>
      </c>
      <c r="V634">
        <v>337582.87169611454</v>
      </c>
      <c r="W634">
        <v>227079.64530944824</v>
      </c>
      <c r="X634">
        <v>2814.167739043678</v>
      </c>
      <c r="Y634">
        <v>1892.987664962403</v>
      </c>
      <c r="Z634">
        <v>1028.1100762939454</v>
      </c>
      <c r="AA634">
        <v>56.769911327362067</v>
      </c>
      <c r="AB634">
        <v>391.60515029907225</v>
      </c>
      <c r="AC634">
        <v>1879.1913027954101</v>
      </c>
      <c r="AD634">
        <v>2270.7964530944823</v>
      </c>
      <c r="AE634">
        <v>1.4866276157692613</v>
      </c>
      <c r="AF634" s="1" t="s">
        <v>611</v>
      </c>
      <c r="AG634" s="1" t="s">
        <v>612</v>
      </c>
      <c r="AH634" s="1" t="s">
        <v>613</v>
      </c>
      <c r="AI634" s="1" t="str">
        <f>_xlfn.TEXTAFTER(_xlfn.TEXTBEFORE(batch_summary[[#This Row],[video]],"_",1),"-",3)</f>
        <v>20</v>
      </c>
      <c r="AJ634" s="1" t="str">
        <f>_xlfn.TEXTBEFORE(_xlfn.TEXTAFTER(batch_summary[[#This Row],[video]],"_",1),"_",1)</f>
        <v>20260317</v>
      </c>
      <c r="AK634" s="1" t="str">
        <f>_xlfn.TEXTBEFORE(_xlfn.TEXTAFTER(batch_summary[[#This Row],[video]],"_",2),".",1)</f>
        <v>090000</v>
      </c>
    </row>
    <row r="635" spans="1:37" x14ac:dyDescent="0.2">
      <c r="A635" s="1" t="s">
        <v>614</v>
      </c>
      <c r="B635" s="1" t="s">
        <v>615</v>
      </c>
      <c r="C635">
        <v>119.95833333333333</v>
      </c>
      <c r="D635">
        <v>2879</v>
      </c>
      <c r="E635">
        <v>0.34481676388531923</v>
      </c>
      <c r="F635">
        <v>44.632937808521092</v>
      </c>
      <c r="G635">
        <v>1.1976962969271248E-4</v>
      </c>
      <c r="H635">
        <v>1.5502930812268528E-2</v>
      </c>
      <c r="I635">
        <v>5</v>
      </c>
      <c r="J635" t="b">
        <v>1</v>
      </c>
      <c r="K635">
        <v>0.65</v>
      </c>
      <c r="L635">
        <v>1.3</v>
      </c>
      <c r="M635" t="b">
        <v>1</v>
      </c>
      <c r="N635">
        <v>200</v>
      </c>
      <c r="O635" t="b">
        <v>0</v>
      </c>
      <c r="P635" t="b">
        <v>0</v>
      </c>
      <c r="Q635">
        <v>0.7</v>
      </c>
      <c r="R635">
        <v>1126910.204105556</v>
      </c>
      <c r="S635">
        <v>1134233.4633947611</v>
      </c>
      <c r="T635">
        <v>832475.69311475754</v>
      </c>
      <c r="U635">
        <v>889413.68895125389</v>
      </c>
      <c r="V635">
        <v>2261143.6675003171</v>
      </c>
      <c r="W635">
        <v>1721889.3820660114</v>
      </c>
      <c r="X635">
        <v>18849.408829457316</v>
      </c>
      <c r="Y635">
        <v>14354.06223326998</v>
      </c>
      <c r="Z635">
        <v>1822.199755859375</v>
      </c>
      <c r="AA635">
        <v>430.47234551650291</v>
      </c>
      <c r="AB635">
        <v>8324.7569311475745</v>
      </c>
      <c r="AC635">
        <v>8894.1368895125397</v>
      </c>
      <c r="AD635">
        <v>17218.893820660116</v>
      </c>
      <c r="AE635">
        <v>1.3131759165546864</v>
      </c>
      <c r="AF635" s="1" t="s">
        <v>616</v>
      </c>
      <c r="AG635" s="1" t="s">
        <v>617</v>
      </c>
      <c r="AH635" s="1" t="s">
        <v>618</v>
      </c>
      <c r="AI635" s="1" t="str">
        <f>_xlfn.TEXTAFTER(_xlfn.TEXTBEFORE(batch_summary[[#This Row],[video]],"_",1),"-",3)</f>
        <v>20</v>
      </c>
      <c r="AJ635" s="1" t="str">
        <f>_xlfn.TEXTBEFORE(_xlfn.TEXTAFTER(batch_summary[[#This Row],[video]],"_",1),"_",1)</f>
        <v>20260317</v>
      </c>
      <c r="AK635" s="1" t="str">
        <f>_xlfn.TEXTBEFORE(_xlfn.TEXTAFTER(batch_summary[[#This Row],[video]],"_",2),".",1)</f>
        <v>100000</v>
      </c>
    </row>
    <row r="636" spans="1:37" x14ac:dyDescent="0.2">
      <c r="A636" s="1" t="s">
        <v>619</v>
      </c>
      <c r="B636" s="1" t="s">
        <v>620</v>
      </c>
      <c r="C636">
        <v>119.95833333333333</v>
      </c>
      <c r="D636">
        <v>2879</v>
      </c>
      <c r="E636">
        <v>0.28520821500569582</v>
      </c>
      <c r="F636">
        <v>43.635880908928812</v>
      </c>
      <c r="G636">
        <v>9.9065027789404595E-5</v>
      </c>
      <c r="H636">
        <v>1.5156610249714765E-2</v>
      </c>
      <c r="I636">
        <v>5</v>
      </c>
      <c r="J636" t="b">
        <v>1</v>
      </c>
      <c r="K636">
        <v>0.65</v>
      </c>
      <c r="L636">
        <v>1.3</v>
      </c>
      <c r="M636" t="b">
        <v>1</v>
      </c>
      <c r="N636">
        <v>200</v>
      </c>
      <c r="O636" t="b">
        <v>0</v>
      </c>
      <c r="P636" t="b">
        <v>0</v>
      </c>
      <c r="Q636">
        <v>0.7</v>
      </c>
      <c r="R636">
        <v>16877486.682325661</v>
      </c>
      <c r="S636">
        <v>20822719.749719858</v>
      </c>
      <c r="T636">
        <v>15862178.380800903</v>
      </c>
      <c r="U636">
        <v>19577343.55406332</v>
      </c>
      <c r="V636">
        <v>37700206.432045519</v>
      </c>
      <c r="W636">
        <v>35439521.934864223</v>
      </c>
      <c r="X636">
        <v>314277.5110695007</v>
      </c>
      <c r="Y636">
        <v>295431.92998844787</v>
      </c>
      <c r="Z636">
        <v>12579.387764587402</v>
      </c>
      <c r="AA636">
        <v>8859.8804837160551</v>
      </c>
      <c r="AB636">
        <v>158621.78380800903</v>
      </c>
      <c r="AC636">
        <v>195773.43554063319</v>
      </c>
      <c r="AD636">
        <v>354395.21934864222</v>
      </c>
      <c r="AE636">
        <v>1.0637899264368267</v>
      </c>
      <c r="AF636" s="1" t="s">
        <v>621</v>
      </c>
      <c r="AG636" s="1" t="s">
        <v>622</v>
      </c>
      <c r="AH636" s="1" t="s">
        <v>623</v>
      </c>
      <c r="AI636" s="1" t="str">
        <f>_xlfn.TEXTAFTER(_xlfn.TEXTBEFORE(batch_summary[[#This Row],[video]],"_",1),"-",3)</f>
        <v>20</v>
      </c>
      <c r="AJ636" s="1" t="str">
        <f>_xlfn.TEXTBEFORE(_xlfn.TEXTAFTER(batch_summary[[#This Row],[video]],"_",1),"_",1)</f>
        <v>20260317</v>
      </c>
      <c r="AK636" s="1" t="str">
        <f>_xlfn.TEXTBEFORE(_xlfn.TEXTAFTER(batch_summary[[#This Row],[video]],"_",2),".",1)</f>
        <v>110000</v>
      </c>
    </row>
    <row r="637" spans="1:37" x14ac:dyDescent="0.2">
      <c r="A637" s="1" t="s">
        <v>624</v>
      </c>
      <c r="B637" s="1" t="s">
        <v>625</v>
      </c>
      <c r="C637">
        <v>119.95833333333333</v>
      </c>
      <c r="D637">
        <v>2879</v>
      </c>
      <c r="E637">
        <v>0.28496332466602325</v>
      </c>
      <c r="F637">
        <v>44.258401841856539</v>
      </c>
      <c r="G637">
        <v>9.8979966886426977E-5</v>
      </c>
      <c r="H637">
        <v>1.5372838430655275E-2</v>
      </c>
      <c r="I637">
        <v>5</v>
      </c>
      <c r="J637" t="b">
        <v>1</v>
      </c>
      <c r="K637">
        <v>0.65</v>
      </c>
      <c r="L637">
        <v>1.3</v>
      </c>
      <c r="M637" t="b">
        <v>1</v>
      </c>
      <c r="N637">
        <v>200</v>
      </c>
      <c r="O637" t="b">
        <v>0</v>
      </c>
      <c r="P637" t="b">
        <v>0</v>
      </c>
      <c r="Q637">
        <v>0.7</v>
      </c>
      <c r="R637">
        <v>19732136.015828073</v>
      </c>
      <c r="S637">
        <v>21499646.403989315</v>
      </c>
      <c r="T637">
        <v>18571822.533331573</v>
      </c>
      <c r="U637">
        <v>20261374.086123586</v>
      </c>
      <c r="V637">
        <v>41231782.419817388</v>
      </c>
      <c r="W637">
        <v>38833196.619455159</v>
      </c>
      <c r="X637">
        <v>343717.53319750517</v>
      </c>
      <c r="Y637">
        <v>323722.37543137337</v>
      </c>
      <c r="Z637">
        <v>13373.003299865723</v>
      </c>
      <c r="AA637">
        <v>9708.2991548637892</v>
      </c>
      <c r="AB637">
        <v>185718.22533331573</v>
      </c>
      <c r="AC637">
        <v>202613.74086123586</v>
      </c>
      <c r="AD637">
        <v>388331.96619455155</v>
      </c>
      <c r="AE637">
        <v>1.061766375399561</v>
      </c>
      <c r="AF637" s="1" t="s">
        <v>626</v>
      </c>
      <c r="AG637" s="1" t="s">
        <v>627</v>
      </c>
      <c r="AH637" s="1" t="s">
        <v>628</v>
      </c>
      <c r="AI637" s="1" t="str">
        <f>_xlfn.TEXTAFTER(_xlfn.TEXTBEFORE(batch_summary[[#This Row],[video]],"_",1),"-",3)</f>
        <v>20</v>
      </c>
      <c r="AJ637" s="1" t="str">
        <f>_xlfn.TEXTBEFORE(_xlfn.TEXTAFTER(batch_summary[[#This Row],[video]],"_",1),"_",1)</f>
        <v>20260317</v>
      </c>
      <c r="AK637" s="1" t="str">
        <f>_xlfn.TEXTBEFORE(_xlfn.TEXTAFTER(batch_summary[[#This Row],[video]],"_",2),".",1)</f>
        <v>120000</v>
      </c>
    </row>
    <row r="638" spans="1:37" x14ac:dyDescent="0.2">
      <c r="A638" s="1" t="s">
        <v>629</v>
      </c>
      <c r="B638" s="1" t="s">
        <v>630</v>
      </c>
      <c r="C638">
        <v>119.95833333333333</v>
      </c>
      <c r="D638">
        <v>2879</v>
      </c>
      <c r="E638">
        <v>0.30031201615929604</v>
      </c>
      <c r="F638">
        <v>44.47029596939683</v>
      </c>
      <c r="G638">
        <v>1.0431122478613964E-4</v>
      </c>
      <c r="H638">
        <v>1.544643833601835E-2</v>
      </c>
      <c r="I638">
        <v>5</v>
      </c>
      <c r="J638" t="b">
        <v>1</v>
      </c>
      <c r="K638">
        <v>0.65</v>
      </c>
      <c r="L638">
        <v>1.3</v>
      </c>
      <c r="M638" t="b">
        <v>1</v>
      </c>
      <c r="N638">
        <v>200</v>
      </c>
      <c r="O638" t="b">
        <v>0</v>
      </c>
      <c r="P638" t="b">
        <v>0</v>
      </c>
      <c r="Q638">
        <v>0.7</v>
      </c>
      <c r="R638">
        <v>16293127.158003807</v>
      </c>
      <c r="S638">
        <v>16348925.603947163</v>
      </c>
      <c r="T638">
        <v>15092762.344551444</v>
      </c>
      <c r="U638">
        <v>15152331.291419506</v>
      </c>
      <c r="V638">
        <v>32642052.76195097</v>
      </c>
      <c r="W638">
        <v>30245093.63597095</v>
      </c>
      <c r="X638">
        <v>272111.58954040409</v>
      </c>
      <c r="Y638">
        <v>252129.99210257133</v>
      </c>
      <c r="Z638">
        <v>10839.27904083252</v>
      </c>
      <c r="AA638">
        <v>7561.2734089927371</v>
      </c>
      <c r="AB638">
        <v>150927.62344551444</v>
      </c>
      <c r="AC638">
        <v>151523.31291419506</v>
      </c>
      <c r="AD638">
        <v>302450.93635970948</v>
      </c>
      <c r="AE638">
        <v>1.079251172267137</v>
      </c>
      <c r="AF638" s="1" t="s">
        <v>631</v>
      </c>
      <c r="AG638" s="1" t="s">
        <v>632</v>
      </c>
      <c r="AH638" s="1" t="s">
        <v>633</v>
      </c>
      <c r="AI638" s="1" t="str">
        <f>_xlfn.TEXTAFTER(_xlfn.TEXTBEFORE(batch_summary[[#This Row],[video]],"_",1),"-",3)</f>
        <v>20</v>
      </c>
      <c r="AJ638" s="1" t="str">
        <f>_xlfn.TEXTBEFORE(_xlfn.TEXTAFTER(batch_summary[[#This Row],[video]],"_",1),"_",1)</f>
        <v>20260317</v>
      </c>
      <c r="AK638" s="1" t="str">
        <f>_xlfn.TEXTBEFORE(_xlfn.TEXTAFTER(batch_summary[[#This Row],[video]],"_",2),".",1)</f>
        <v>130000</v>
      </c>
    </row>
    <row r="639" spans="1:37" x14ac:dyDescent="0.2">
      <c r="A639" s="1" t="s">
        <v>634</v>
      </c>
      <c r="B639" s="1" t="s">
        <v>635</v>
      </c>
      <c r="C639">
        <v>119.95833333333333</v>
      </c>
      <c r="D639">
        <v>2879</v>
      </c>
      <c r="E639">
        <v>0.29340959805995226</v>
      </c>
      <c r="F639">
        <v>43.524659431539476</v>
      </c>
      <c r="G639">
        <v>1.0191371936781947E-4</v>
      </c>
      <c r="H639">
        <v>1.5117978267294017E-2</v>
      </c>
      <c r="I639">
        <v>5</v>
      </c>
      <c r="J639" t="b">
        <v>1</v>
      </c>
      <c r="K639">
        <v>0.65</v>
      </c>
      <c r="L639">
        <v>1.3</v>
      </c>
      <c r="M639" t="b">
        <v>1</v>
      </c>
      <c r="N639">
        <v>200</v>
      </c>
      <c r="O639" t="b">
        <v>0</v>
      </c>
      <c r="P639" t="b">
        <v>0</v>
      </c>
      <c r="Q639">
        <v>0.7</v>
      </c>
      <c r="R639">
        <v>21156981.438149452</v>
      </c>
      <c r="S639">
        <v>21305846.16172123</v>
      </c>
      <c r="T639">
        <v>20138801.970891953</v>
      </c>
      <c r="U639">
        <v>20210984.415155411</v>
      </c>
      <c r="V639">
        <v>42462827.599870682</v>
      </c>
      <c r="W639">
        <v>40349786.386047363</v>
      </c>
      <c r="X639">
        <v>353979.80632056145</v>
      </c>
      <c r="Y639">
        <v>336365.01329112076</v>
      </c>
      <c r="Z639">
        <v>13914.802618408205</v>
      </c>
      <c r="AA639">
        <v>10087.44659651184</v>
      </c>
      <c r="AB639">
        <v>201388.01970891951</v>
      </c>
      <c r="AC639">
        <v>202109.84415155411</v>
      </c>
      <c r="AD639">
        <v>403497.86386047362</v>
      </c>
      <c r="AE639">
        <v>1.0523680892286953</v>
      </c>
      <c r="AF639" s="1" t="s">
        <v>636</v>
      </c>
      <c r="AG639" s="1" t="s">
        <v>637</v>
      </c>
      <c r="AH639" s="1" t="s">
        <v>638</v>
      </c>
      <c r="AI639" s="1" t="str">
        <f>_xlfn.TEXTAFTER(_xlfn.TEXTBEFORE(batch_summary[[#This Row],[video]],"_",1),"-",3)</f>
        <v>20</v>
      </c>
      <c r="AJ639" s="1" t="str">
        <f>_xlfn.TEXTBEFORE(_xlfn.TEXTAFTER(batch_summary[[#This Row],[video]],"_",1),"_",1)</f>
        <v>20260317</v>
      </c>
      <c r="AK639" s="1" t="str">
        <f>_xlfn.TEXTBEFORE(_xlfn.TEXTAFTER(batch_summary[[#This Row],[video]],"_",2),".",1)</f>
        <v>140000</v>
      </c>
    </row>
    <row r="640" spans="1:37" x14ac:dyDescent="0.2">
      <c r="A640" s="1" t="s">
        <v>639</v>
      </c>
      <c r="B640" s="1" t="s">
        <v>640</v>
      </c>
      <c r="C640">
        <v>119.95833333333333</v>
      </c>
      <c r="D640">
        <v>2879</v>
      </c>
      <c r="E640">
        <v>0.28215354960411787</v>
      </c>
      <c r="F640">
        <v>43.306654519401491</v>
      </c>
      <c r="G640">
        <v>9.800401167214931E-5</v>
      </c>
      <c r="H640">
        <v>1.5042255824731328E-2</v>
      </c>
      <c r="I640">
        <v>5</v>
      </c>
      <c r="J640" t="b">
        <v>1</v>
      </c>
      <c r="K640">
        <v>0.65</v>
      </c>
      <c r="L640">
        <v>1.3</v>
      </c>
      <c r="M640" t="b">
        <v>1</v>
      </c>
      <c r="N640">
        <v>200</v>
      </c>
      <c r="O640" t="b">
        <v>0</v>
      </c>
      <c r="P640" t="b">
        <v>0</v>
      </c>
      <c r="Q640">
        <v>0.7</v>
      </c>
      <c r="R640">
        <v>20202787.820587158</v>
      </c>
      <c r="S640">
        <v>22339971.144973755</v>
      </c>
      <c r="T640">
        <v>19062064.340301514</v>
      </c>
      <c r="U640">
        <v>21172345.579850256</v>
      </c>
      <c r="V640">
        <v>42542758.965560913</v>
      </c>
      <c r="W640">
        <v>40234409.92015177</v>
      </c>
      <c r="X640">
        <v>354646.13239786797</v>
      </c>
      <c r="Y640">
        <v>335403.20878209185</v>
      </c>
      <c r="Z640">
        <v>13534.878994750976</v>
      </c>
      <c r="AA640">
        <v>10058.602480037942</v>
      </c>
      <c r="AB640">
        <v>190620.64340301513</v>
      </c>
      <c r="AC640">
        <v>211723.45579850257</v>
      </c>
      <c r="AD640">
        <v>402344.0992015177</v>
      </c>
      <c r="AE640">
        <v>1.0573725090038659</v>
      </c>
      <c r="AF640" s="1" t="s">
        <v>641</v>
      </c>
      <c r="AG640" s="1" t="s">
        <v>642</v>
      </c>
      <c r="AH640" s="1" t="s">
        <v>643</v>
      </c>
      <c r="AI640" s="1" t="str">
        <f>_xlfn.TEXTAFTER(_xlfn.TEXTBEFORE(batch_summary[[#This Row],[video]],"_",1),"-",3)</f>
        <v>20</v>
      </c>
      <c r="AJ640" s="1" t="str">
        <f>_xlfn.TEXTBEFORE(_xlfn.TEXTAFTER(batch_summary[[#This Row],[video]],"_",1),"_",1)</f>
        <v>20260317</v>
      </c>
      <c r="AK640" s="1" t="str">
        <f>_xlfn.TEXTBEFORE(_xlfn.TEXTAFTER(batch_summary[[#This Row],[video]],"_",2),".",1)</f>
        <v>150000</v>
      </c>
    </row>
    <row r="641" spans="1:37" x14ac:dyDescent="0.2">
      <c r="A641" s="1" t="s">
        <v>644</v>
      </c>
      <c r="B641" s="1" t="s">
        <v>645</v>
      </c>
      <c r="C641">
        <v>119.95833333333333</v>
      </c>
      <c r="D641">
        <v>2879</v>
      </c>
      <c r="E641">
        <v>0.2850169837474823</v>
      </c>
      <c r="F641">
        <v>43.675972278229892</v>
      </c>
      <c r="G641">
        <v>9.8998604983495066E-5</v>
      </c>
      <c r="H641">
        <v>1.5170535699280964E-2</v>
      </c>
      <c r="I641">
        <v>5</v>
      </c>
      <c r="J641" t="b">
        <v>1</v>
      </c>
      <c r="K641">
        <v>0.65</v>
      </c>
      <c r="L641">
        <v>1.3</v>
      </c>
      <c r="M641" t="b">
        <v>1</v>
      </c>
      <c r="N641">
        <v>200</v>
      </c>
      <c r="O641" t="b">
        <v>0</v>
      </c>
      <c r="P641" t="b">
        <v>0</v>
      </c>
      <c r="Q641">
        <v>0.7</v>
      </c>
      <c r="R641">
        <v>13083918.778172016</v>
      </c>
      <c r="S641">
        <v>12841592.904614925</v>
      </c>
      <c r="T641">
        <v>11987079.05414319</v>
      </c>
      <c r="U641">
        <v>11693499.442508042</v>
      </c>
      <c r="V641">
        <v>25925511.682786942</v>
      </c>
      <c r="W641">
        <v>23680578.496651232</v>
      </c>
      <c r="X641">
        <v>216120.97269429892</v>
      </c>
      <c r="Y641">
        <v>197406.69813116692</v>
      </c>
      <c r="Z641">
        <v>9164.542066955566</v>
      </c>
      <c r="AA641">
        <v>5920.1446241628091</v>
      </c>
      <c r="AB641">
        <v>119870.79054143191</v>
      </c>
      <c r="AC641">
        <v>116934.99442508043</v>
      </c>
      <c r="AD641">
        <v>236805.78496651235</v>
      </c>
      <c r="AE641">
        <v>1.094800605756028</v>
      </c>
      <c r="AF641" s="1" t="s">
        <v>646</v>
      </c>
      <c r="AG641" s="1" t="s">
        <v>647</v>
      </c>
      <c r="AH641" s="1" t="s">
        <v>648</v>
      </c>
      <c r="AI641" s="1" t="str">
        <f>_xlfn.TEXTAFTER(_xlfn.TEXTBEFORE(batch_summary[[#This Row],[video]],"_",1),"-",3)</f>
        <v>20</v>
      </c>
      <c r="AJ641" s="1" t="str">
        <f>_xlfn.TEXTBEFORE(_xlfn.TEXTAFTER(batch_summary[[#This Row],[video]],"_",1),"_",1)</f>
        <v>20260317</v>
      </c>
      <c r="AK641" s="1" t="str">
        <f>_xlfn.TEXTBEFORE(_xlfn.TEXTAFTER(batch_summary[[#This Row],[video]],"_",2),".",1)</f>
        <v>160000</v>
      </c>
    </row>
    <row r="642" spans="1:37" x14ac:dyDescent="0.2">
      <c r="A642" s="1" t="s">
        <v>649</v>
      </c>
      <c r="B642" s="1" t="s">
        <v>650</v>
      </c>
      <c r="C642">
        <v>119.95833333333333</v>
      </c>
      <c r="D642">
        <v>2879</v>
      </c>
      <c r="E642">
        <v>0.28725544456392527</v>
      </c>
      <c r="F642">
        <v>44.052529472857714</v>
      </c>
      <c r="G642">
        <v>9.9776118292436706E-5</v>
      </c>
      <c r="H642">
        <v>1.5301330139929738E-2</v>
      </c>
      <c r="I642">
        <v>5</v>
      </c>
      <c r="J642" t="b">
        <v>1</v>
      </c>
      <c r="K642">
        <v>0.65</v>
      </c>
      <c r="L642">
        <v>1.3</v>
      </c>
      <c r="M642" t="b">
        <v>1</v>
      </c>
      <c r="N642">
        <v>200</v>
      </c>
      <c r="O642" t="b">
        <v>0</v>
      </c>
      <c r="P642" t="b">
        <v>0</v>
      </c>
      <c r="Q642">
        <v>0.7</v>
      </c>
      <c r="R642">
        <v>14589475.743659139</v>
      </c>
      <c r="S642">
        <v>13774732.828447402</v>
      </c>
      <c r="T642">
        <v>13631674.625080585</v>
      </c>
      <c r="U642">
        <v>12788301.397630453</v>
      </c>
      <c r="V642">
        <v>28364208.57210654</v>
      </c>
      <c r="W642">
        <v>26419976.022711039</v>
      </c>
      <c r="X642">
        <v>236450.50563756755</v>
      </c>
      <c r="Y642">
        <v>220242.94009901528</v>
      </c>
      <c r="Z642">
        <v>11225.715706787109</v>
      </c>
      <c r="AA642">
        <v>6604.9940056777605</v>
      </c>
      <c r="AB642">
        <v>136316.74625080585</v>
      </c>
      <c r="AC642">
        <v>127883.01397630453</v>
      </c>
      <c r="AD642">
        <v>264199.76022711035</v>
      </c>
      <c r="AE642">
        <v>1.0735894895485223</v>
      </c>
      <c r="AF642" s="1" t="s">
        <v>651</v>
      </c>
      <c r="AG642" s="1" t="s">
        <v>652</v>
      </c>
      <c r="AH642" s="1" t="s">
        <v>653</v>
      </c>
      <c r="AI642" s="1" t="str">
        <f>_xlfn.TEXTAFTER(_xlfn.TEXTBEFORE(batch_summary[[#This Row],[video]],"_",1),"-",3)</f>
        <v>20</v>
      </c>
      <c r="AJ642" s="1" t="str">
        <f>_xlfn.TEXTBEFORE(_xlfn.TEXTAFTER(batch_summary[[#This Row],[video]],"_",1),"_",1)</f>
        <v>20260317</v>
      </c>
      <c r="AK642" s="1" t="str">
        <f>_xlfn.TEXTBEFORE(_xlfn.TEXTAFTER(batch_summary[[#This Row],[video]],"_",2),".",1)</f>
        <v>170000</v>
      </c>
    </row>
    <row r="643" spans="1:37" x14ac:dyDescent="0.2">
      <c r="A643" s="1" t="s">
        <v>654</v>
      </c>
      <c r="B643" s="1" t="s">
        <v>655</v>
      </c>
      <c r="C643">
        <v>119.95833333333333</v>
      </c>
      <c r="D643">
        <v>2879</v>
      </c>
      <c r="E643">
        <v>0.29213139973580837</v>
      </c>
      <c r="F643">
        <v>44.281697895377874</v>
      </c>
      <c r="G643">
        <v>1.0146974634797095E-4</v>
      </c>
      <c r="H643">
        <v>1.5380930147751954E-2</v>
      </c>
      <c r="I643">
        <v>5</v>
      </c>
      <c r="J643" t="b">
        <v>1</v>
      </c>
      <c r="K643">
        <v>0.65</v>
      </c>
      <c r="L643">
        <v>1.3</v>
      </c>
      <c r="M643" t="b">
        <v>1</v>
      </c>
      <c r="N643">
        <v>200</v>
      </c>
      <c r="O643" t="b">
        <v>0</v>
      </c>
      <c r="P643" t="b">
        <v>0</v>
      </c>
      <c r="Q643">
        <v>0.7</v>
      </c>
      <c r="R643">
        <v>11952822.745431244</v>
      </c>
      <c r="S643">
        <v>10380273.428001881</v>
      </c>
      <c r="T643">
        <v>11134917.131435394</v>
      </c>
      <c r="U643">
        <v>9464590.3443288803</v>
      </c>
      <c r="V643">
        <v>22333096.173433125</v>
      </c>
      <c r="W643">
        <v>20599507.475764275</v>
      </c>
      <c r="X643">
        <v>186173.77845168288</v>
      </c>
      <c r="Y643">
        <v>171722.18805777791</v>
      </c>
      <c r="Z643">
        <v>8454.8673015165332</v>
      </c>
      <c r="AA643">
        <v>5149.876868941069</v>
      </c>
      <c r="AB643">
        <v>111349.17131435394</v>
      </c>
      <c r="AC643">
        <v>94645.9034432888</v>
      </c>
      <c r="AD643">
        <v>205995.07475764275</v>
      </c>
      <c r="AE643">
        <v>1.0841568032492259</v>
      </c>
      <c r="AF643" s="1" t="s">
        <v>656</v>
      </c>
      <c r="AG643" s="1" t="s">
        <v>657</v>
      </c>
      <c r="AH643" s="1" t="s">
        <v>658</v>
      </c>
      <c r="AI643" s="1" t="str">
        <f>_xlfn.TEXTAFTER(_xlfn.TEXTBEFORE(batch_summary[[#This Row],[video]],"_",1),"-",3)</f>
        <v>20</v>
      </c>
      <c r="AJ643" s="1" t="str">
        <f>_xlfn.TEXTBEFORE(_xlfn.TEXTAFTER(batch_summary[[#This Row],[video]],"_",1),"_",1)</f>
        <v>20260317</v>
      </c>
      <c r="AK643" s="1" t="str">
        <f>_xlfn.TEXTBEFORE(_xlfn.TEXTAFTER(batch_summary[[#This Row],[video]],"_",2),".",1)</f>
        <v>180000</v>
      </c>
    </row>
    <row r="644" spans="1:37" x14ac:dyDescent="0.2">
      <c r="A644" s="1" t="s">
        <v>659</v>
      </c>
      <c r="B644" s="1" t="s">
        <v>660</v>
      </c>
      <c r="C644">
        <v>119.95833333333333</v>
      </c>
      <c r="D644">
        <v>2879</v>
      </c>
      <c r="E644">
        <v>0.33773972745984793</v>
      </c>
      <c r="F644">
        <v>44.027519010007381</v>
      </c>
      <c r="G644">
        <v>1.1731147185128445E-4</v>
      </c>
      <c r="H644">
        <v>1.5292642935049455E-2</v>
      </c>
      <c r="I644">
        <v>5</v>
      </c>
      <c r="J644" t="b">
        <v>1</v>
      </c>
      <c r="K644">
        <v>0.65</v>
      </c>
      <c r="L644">
        <v>1.3</v>
      </c>
      <c r="M644" t="b">
        <v>1</v>
      </c>
      <c r="N644">
        <v>200</v>
      </c>
      <c r="O644" t="b">
        <v>0</v>
      </c>
      <c r="P644" t="b">
        <v>0</v>
      </c>
      <c r="Q644">
        <v>0.7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s="1" t="s">
        <v>661</v>
      </c>
      <c r="AG644" s="1" t="s">
        <v>662</v>
      </c>
      <c r="AH644" s="1" t="s">
        <v>663</v>
      </c>
      <c r="AI644" s="1" t="str">
        <f>_xlfn.TEXTAFTER(_xlfn.TEXTBEFORE(batch_summary[[#This Row],[video]],"_",1),"-",3)</f>
        <v>20</v>
      </c>
      <c r="AJ644" s="1" t="str">
        <f>_xlfn.TEXTBEFORE(_xlfn.TEXTAFTER(batch_summary[[#This Row],[video]],"_",1),"_",1)</f>
        <v>20260317</v>
      </c>
      <c r="AK644" s="1" t="str">
        <f>_xlfn.TEXTBEFORE(_xlfn.TEXTAFTER(batch_summary[[#This Row],[video]],"_",2),".",1)</f>
        <v>190000</v>
      </c>
    </row>
    <row r="645" spans="1:37" x14ac:dyDescent="0.2">
      <c r="A645" s="1" t="s">
        <v>664</v>
      </c>
      <c r="B645" s="1" t="s">
        <v>665</v>
      </c>
      <c r="C645">
        <v>119.95833333333333</v>
      </c>
      <c r="D645">
        <v>2879</v>
      </c>
      <c r="E645">
        <v>0.34414899069815874</v>
      </c>
      <c r="F645">
        <v>44.077185176312923</v>
      </c>
      <c r="G645">
        <v>1.1953768346584187E-4</v>
      </c>
      <c r="H645">
        <v>1.5309894121678682E-2</v>
      </c>
      <c r="I645">
        <v>5</v>
      </c>
      <c r="J645" t="b">
        <v>1</v>
      </c>
      <c r="K645">
        <v>0.65</v>
      </c>
      <c r="L645">
        <v>1.3</v>
      </c>
      <c r="M645" t="b">
        <v>1</v>
      </c>
      <c r="N645">
        <v>200</v>
      </c>
      <c r="O645" t="b">
        <v>0</v>
      </c>
      <c r="P645" t="b">
        <v>0</v>
      </c>
      <c r="Q645">
        <v>0.7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s="1" t="s">
        <v>666</v>
      </c>
      <c r="AG645" s="1" t="s">
        <v>667</v>
      </c>
      <c r="AH645" s="1" t="s">
        <v>668</v>
      </c>
      <c r="AI645" s="1" t="str">
        <f>_xlfn.TEXTAFTER(_xlfn.TEXTBEFORE(batch_summary[[#This Row],[video]],"_",1),"-",3)</f>
        <v>20</v>
      </c>
      <c r="AJ645" s="1" t="str">
        <f>_xlfn.TEXTBEFORE(_xlfn.TEXTAFTER(batch_summary[[#This Row],[video]],"_",1),"_",1)</f>
        <v>20260318</v>
      </c>
      <c r="AK645" s="1" t="str">
        <f>_xlfn.TEXTBEFORE(_xlfn.TEXTAFTER(batch_summary[[#This Row],[video]],"_",2),".",1)</f>
        <v>060000</v>
      </c>
    </row>
    <row r="646" spans="1:37" x14ac:dyDescent="0.2">
      <c r="A646" s="1" t="s">
        <v>669</v>
      </c>
      <c r="B646" s="1" t="s">
        <v>670</v>
      </c>
      <c r="C646">
        <v>119.95833333333333</v>
      </c>
      <c r="D646">
        <v>2879</v>
      </c>
      <c r="E646">
        <v>0.34416592121124268</v>
      </c>
      <c r="F646">
        <v>43.926128490827978</v>
      </c>
      <c r="G646">
        <v>1.1954356415812528E-4</v>
      </c>
      <c r="H646">
        <v>1.5257425665449107E-2</v>
      </c>
      <c r="I646">
        <v>5</v>
      </c>
      <c r="J646" t="b">
        <v>1</v>
      </c>
      <c r="K646">
        <v>0.65</v>
      </c>
      <c r="L646">
        <v>1.3</v>
      </c>
      <c r="M646" t="b">
        <v>1</v>
      </c>
      <c r="N646">
        <v>200</v>
      </c>
      <c r="O646" t="b">
        <v>0</v>
      </c>
      <c r="P646" t="b">
        <v>0</v>
      </c>
      <c r="Q646">
        <v>0.7</v>
      </c>
      <c r="R646">
        <v>108968.48665004969</v>
      </c>
      <c r="S646">
        <v>111093.06698226929</v>
      </c>
      <c r="T646">
        <v>14039.565795898438</v>
      </c>
      <c r="U646">
        <v>10939.223114013672</v>
      </c>
      <c r="V646">
        <v>220061.55363231897</v>
      </c>
      <c r="W646">
        <v>24978.788909912109</v>
      </c>
      <c r="X646">
        <v>1834.4832536212766</v>
      </c>
      <c r="Y646">
        <v>208.22887594230312</v>
      </c>
      <c r="Z646">
        <v>21.197805480957033</v>
      </c>
      <c r="AA646">
        <v>6.244697227478027</v>
      </c>
      <c r="AB646">
        <v>140.39565795898437</v>
      </c>
      <c r="AC646">
        <v>109.39223114013672</v>
      </c>
      <c r="AD646">
        <v>249.78788909912109</v>
      </c>
      <c r="AE646">
        <v>8.8099368798858748</v>
      </c>
      <c r="AF646" s="1" t="s">
        <v>671</v>
      </c>
      <c r="AG646" s="1" t="s">
        <v>672</v>
      </c>
      <c r="AH646" s="1" t="s">
        <v>673</v>
      </c>
      <c r="AI646" s="1" t="str">
        <f>_xlfn.TEXTAFTER(_xlfn.TEXTBEFORE(batch_summary[[#This Row],[video]],"_",1),"-",3)</f>
        <v>20</v>
      </c>
      <c r="AJ646" s="1" t="str">
        <f>_xlfn.TEXTBEFORE(_xlfn.TEXTAFTER(batch_summary[[#This Row],[video]],"_",1),"_",1)</f>
        <v>20260318</v>
      </c>
      <c r="AK646" s="1" t="str">
        <f>_xlfn.TEXTBEFORE(_xlfn.TEXTAFTER(batch_summary[[#This Row],[video]],"_",2),".",1)</f>
        <v>070000</v>
      </c>
    </row>
    <row r="647" spans="1:37" x14ac:dyDescent="0.2">
      <c r="A647" s="1" t="s">
        <v>674</v>
      </c>
      <c r="B647" s="1" t="s">
        <v>675</v>
      </c>
      <c r="C647">
        <v>119.95833333333333</v>
      </c>
      <c r="D647">
        <v>2879</v>
      </c>
      <c r="E647">
        <v>0.33156305272132158</v>
      </c>
      <c r="F647">
        <v>43.638040834106505</v>
      </c>
      <c r="G647">
        <v>1.1516604818385605E-4</v>
      </c>
      <c r="H647">
        <v>1.5157360484232895E-2</v>
      </c>
      <c r="I647">
        <v>5</v>
      </c>
      <c r="J647" t="b">
        <v>1</v>
      </c>
      <c r="K647">
        <v>0.65</v>
      </c>
      <c r="L647">
        <v>1.3</v>
      </c>
      <c r="M647" t="b">
        <v>1</v>
      </c>
      <c r="N647">
        <v>200</v>
      </c>
      <c r="O647" t="b">
        <v>0</v>
      </c>
      <c r="P647" t="b">
        <v>0</v>
      </c>
      <c r="Q647">
        <v>0.7</v>
      </c>
      <c r="R647">
        <v>123440.10226935148</v>
      </c>
      <c r="S647">
        <v>108852.25431221724</v>
      </c>
      <c r="T647">
        <v>48322.941635131836</v>
      </c>
      <c r="U647">
        <v>40492.815765380859</v>
      </c>
      <c r="V647">
        <v>232292.35658156872</v>
      </c>
      <c r="W647">
        <v>88815.757400512695</v>
      </c>
      <c r="X647">
        <v>1936.4420138790028</v>
      </c>
      <c r="Y647">
        <v>740.38839097336052</v>
      </c>
      <c r="Z647">
        <v>328.17008911132814</v>
      </c>
      <c r="AA647">
        <v>22.203939350128174</v>
      </c>
      <c r="AB647">
        <v>483.22941635131838</v>
      </c>
      <c r="AC647">
        <v>404.92815765380857</v>
      </c>
      <c r="AD647">
        <v>888.15757400512689</v>
      </c>
      <c r="AE647">
        <v>2.6154408111845679</v>
      </c>
      <c r="AF647" s="1" t="s">
        <v>676</v>
      </c>
      <c r="AG647" s="1" t="s">
        <v>677</v>
      </c>
      <c r="AH647" s="1" t="s">
        <v>678</v>
      </c>
      <c r="AI647" s="1" t="str">
        <f>_xlfn.TEXTAFTER(_xlfn.TEXTBEFORE(batch_summary[[#This Row],[video]],"_",1),"-",3)</f>
        <v>20</v>
      </c>
      <c r="AJ647" s="1" t="str">
        <f>_xlfn.TEXTBEFORE(_xlfn.TEXTAFTER(batch_summary[[#This Row],[video]],"_",1),"_",1)</f>
        <v>20260318</v>
      </c>
      <c r="AK647" s="1" t="str">
        <f>_xlfn.TEXTBEFORE(_xlfn.TEXTAFTER(batch_summary[[#This Row],[video]],"_",2),".",1)</f>
        <v>080000</v>
      </c>
    </row>
    <row r="648" spans="1:37" x14ac:dyDescent="0.2">
      <c r="A648" s="1" t="s">
        <v>679</v>
      </c>
      <c r="B648" s="1" t="s">
        <v>680</v>
      </c>
      <c r="C648">
        <v>119.95833333333333</v>
      </c>
      <c r="D648">
        <v>2879</v>
      </c>
      <c r="E648">
        <v>0.32200484536588192</v>
      </c>
      <c r="F648">
        <v>44.123824167065322</v>
      </c>
      <c r="G648">
        <v>1.1184607341642303E-4</v>
      </c>
      <c r="H648">
        <v>1.5326093840592331E-2</v>
      </c>
      <c r="I648">
        <v>5</v>
      </c>
      <c r="J648" t="b">
        <v>1</v>
      </c>
      <c r="K648">
        <v>0.65</v>
      </c>
      <c r="L648">
        <v>1.3</v>
      </c>
      <c r="M648" t="b">
        <v>1</v>
      </c>
      <c r="N648">
        <v>200</v>
      </c>
      <c r="O648" t="b">
        <v>0</v>
      </c>
      <c r="P648" t="b">
        <v>0</v>
      </c>
      <c r="Q648">
        <v>0.7</v>
      </c>
      <c r="R648">
        <v>362626.71719503403</v>
      </c>
      <c r="S648">
        <v>277878.09162610769</v>
      </c>
      <c r="T648">
        <v>288355.71726989746</v>
      </c>
      <c r="U648">
        <v>205811.93671035767</v>
      </c>
      <c r="V648">
        <v>640504.80882114172</v>
      </c>
      <c r="W648">
        <v>494167.65398025513</v>
      </c>
      <c r="X648">
        <v>5339.3940297698509</v>
      </c>
      <c r="Y648">
        <v>4119.4941630865314</v>
      </c>
      <c r="Z648">
        <v>745.69530563354488</v>
      </c>
      <c r="AA648">
        <v>123.54191349506377</v>
      </c>
      <c r="AB648">
        <v>2883.5571726989747</v>
      </c>
      <c r="AC648">
        <v>2058.1193671035767</v>
      </c>
      <c r="AD648">
        <v>4941.6765398025509</v>
      </c>
      <c r="AE648">
        <v>1.296128558116298</v>
      </c>
      <c r="AF648" s="1" t="s">
        <v>681</v>
      </c>
      <c r="AG648" s="1" t="s">
        <v>682</v>
      </c>
      <c r="AH648" s="1" t="s">
        <v>683</v>
      </c>
      <c r="AI648" s="1" t="str">
        <f>_xlfn.TEXTAFTER(_xlfn.TEXTBEFORE(batch_summary[[#This Row],[video]],"_",1),"-",3)</f>
        <v>20</v>
      </c>
      <c r="AJ648" s="1" t="str">
        <f>_xlfn.TEXTBEFORE(_xlfn.TEXTAFTER(batch_summary[[#This Row],[video]],"_",1),"_",1)</f>
        <v>20260318</v>
      </c>
      <c r="AK648" s="1" t="str">
        <f>_xlfn.TEXTBEFORE(_xlfn.TEXTAFTER(batch_summary[[#This Row],[video]],"_",2),".",1)</f>
        <v>090000</v>
      </c>
    </row>
    <row r="649" spans="1:37" x14ac:dyDescent="0.2">
      <c r="A649" s="1" t="s">
        <v>684</v>
      </c>
      <c r="B649" s="1" t="s">
        <v>685</v>
      </c>
      <c r="C649">
        <v>119.95833333333333</v>
      </c>
      <c r="D649">
        <v>2879</v>
      </c>
      <c r="E649">
        <v>0.32329887989908457</v>
      </c>
      <c r="F649">
        <v>45.044297975488007</v>
      </c>
      <c r="G649">
        <v>1.1229554702990086E-4</v>
      </c>
      <c r="H649">
        <v>1.5645813815730464E-2</v>
      </c>
      <c r="I649">
        <v>5</v>
      </c>
      <c r="J649" t="b">
        <v>1</v>
      </c>
      <c r="K649">
        <v>0.65</v>
      </c>
      <c r="L649">
        <v>1.3</v>
      </c>
      <c r="M649" t="b">
        <v>1</v>
      </c>
      <c r="N649">
        <v>200</v>
      </c>
      <c r="O649" t="b">
        <v>0</v>
      </c>
      <c r="P649" t="b">
        <v>0</v>
      </c>
      <c r="Q649">
        <v>0.7</v>
      </c>
      <c r="R649">
        <v>801615.18741232157</v>
      </c>
      <c r="S649">
        <v>703574.18724381924</v>
      </c>
      <c r="T649">
        <v>648582.46609020233</v>
      </c>
      <c r="U649">
        <v>528738.18061232567</v>
      </c>
      <c r="V649">
        <v>1505189.3746561408</v>
      </c>
      <c r="W649">
        <v>1177320.646702528</v>
      </c>
      <c r="X649">
        <v>12547.601594910519</v>
      </c>
      <c r="Y649">
        <v>9814.4131715389631</v>
      </c>
      <c r="Z649">
        <v>2421.3983082580567</v>
      </c>
      <c r="AA649">
        <v>294.33016167563198</v>
      </c>
      <c r="AB649">
        <v>6485.8246609020234</v>
      </c>
      <c r="AC649">
        <v>5287.3818061232569</v>
      </c>
      <c r="AD649">
        <v>11773.20646702528</v>
      </c>
      <c r="AE649">
        <v>1.2784871979200538</v>
      </c>
      <c r="AF649" s="1" t="s">
        <v>686</v>
      </c>
      <c r="AG649" s="1" t="s">
        <v>687</v>
      </c>
      <c r="AH649" s="1" t="s">
        <v>688</v>
      </c>
      <c r="AI649" s="1" t="str">
        <f>_xlfn.TEXTAFTER(_xlfn.TEXTBEFORE(batch_summary[[#This Row],[video]],"_",1),"-",3)</f>
        <v>20</v>
      </c>
      <c r="AJ649" s="1" t="str">
        <f>_xlfn.TEXTBEFORE(_xlfn.TEXTAFTER(batch_summary[[#This Row],[video]],"_",1),"_",1)</f>
        <v>20260318</v>
      </c>
      <c r="AK649" s="1" t="str">
        <f>_xlfn.TEXTBEFORE(_xlfn.TEXTAFTER(batch_summary[[#This Row],[video]],"_",2),".",1)</f>
        <v>100000</v>
      </c>
    </row>
    <row r="650" spans="1:37" x14ac:dyDescent="0.2">
      <c r="A650" s="1" t="s">
        <v>689</v>
      </c>
      <c r="B650" s="1" t="s">
        <v>690</v>
      </c>
      <c r="C650">
        <v>119.95833333333333</v>
      </c>
      <c r="D650">
        <v>2879</v>
      </c>
      <c r="E650">
        <v>0.32459946908056736</v>
      </c>
      <c r="F650">
        <v>44.239463122561574</v>
      </c>
      <c r="G650">
        <v>1.1274729735344472E-4</v>
      </c>
      <c r="H650">
        <v>1.5366260202348584E-2</v>
      </c>
      <c r="I650">
        <v>5</v>
      </c>
      <c r="J650" t="b">
        <v>1</v>
      </c>
      <c r="K650">
        <v>0.65</v>
      </c>
      <c r="L650">
        <v>1.3</v>
      </c>
      <c r="M650" t="b">
        <v>1</v>
      </c>
      <c r="N650">
        <v>200</v>
      </c>
      <c r="O650" t="b">
        <v>0</v>
      </c>
      <c r="P650" t="b">
        <v>0</v>
      </c>
      <c r="Q650">
        <v>0.7</v>
      </c>
      <c r="R650">
        <v>414974.06832540035</v>
      </c>
      <c r="S650">
        <v>419492.29344451427</v>
      </c>
      <c r="T650">
        <v>301627.93081855774</v>
      </c>
      <c r="U650">
        <v>306518.01393127441</v>
      </c>
      <c r="V650">
        <v>834466.36176991463</v>
      </c>
      <c r="W650">
        <v>608145.94474983215</v>
      </c>
      <c r="X650">
        <v>6956.3017306279789</v>
      </c>
      <c r="Y650">
        <v>5069.6431656811301</v>
      </c>
      <c r="Z650">
        <v>1119.055875492096</v>
      </c>
      <c r="AA650">
        <v>152.03648618745805</v>
      </c>
      <c r="AB650">
        <v>3016.2793081855775</v>
      </c>
      <c r="AC650">
        <v>3065.1801393127444</v>
      </c>
      <c r="AD650">
        <v>6081.4594474983223</v>
      </c>
      <c r="AE650">
        <v>1.3721481972771881</v>
      </c>
      <c r="AF650" s="1" t="s">
        <v>691</v>
      </c>
      <c r="AG650" s="1" t="s">
        <v>692</v>
      </c>
      <c r="AH650" s="1" t="s">
        <v>693</v>
      </c>
      <c r="AI650" s="1" t="str">
        <f>_xlfn.TEXTAFTER(_xlfn.TEXTBEFORE(batch_summary[[#This Row],[video]],"_",1),"-",3)</f>
        <v>20</v>
      </c>
      <c r="AJ650" s="1" t="str">
        <f>_xlfn.TEXTBEFORE(_xlfn.TEXTAFTER(batch_summary[[#This Row],[video]],"_",1),"_",1)</f>
        <v>20260318</v>
      </c>
      <c r="AK650" s="1" t="str">
        <f>_xlfn.TEXTBEFORE(_xlfn.TEXTAFTER(batch_summary[[#This Row],[video]],"_",2),".",1)</f>
        <v>110000</v>
      </c>
    </row>
    <row r="651" spans="1:37" x14ac:dyDescent="0.2">
      <c r="A651" s="1" t="s">
        <v>694</v>
      </c>
      <c r="B651" s="1" t="s">
        <v>695</v>
      </c>
      <c r="C651">
        <v>119.95833333333333</v>
      </c>
      <c r="D651">
        <v>2879</v>
      </c>
      <c r="E651">
        <v>0.33385555725544691</v>
      </c>
      <c r="F651">
        <v>44.103329742327332</v>
      </c>
      <c r="G651">
        <v>1.159623331904991E-4</v>
      </c>
      <c r="H651">
        <v>1.5318975249158503E-2</v>
      </c>
      <c r="I651">
        <v>5</v>
      </c>
      <c r="J651" t="b">
        <v>1</v>
      </c>
      <c r="K651">
        <v>0.65</v>
      </c>
      <c r="L651">
        <v>1.3</v>
      </c>
      <c r="M651" t="b">
        <v>1</v>
      </c>
      <c r="N651">
        <v>200</v>
      </c>
      <c r="O651" t="b">
        <v>0</v>
      </c>
      <c r="P651" t="b">
        <v>0</v>
      </c>
      <c r="Q651">
        <v>0.7</v>
      </c>
      <c r="R651">
        <v>800862.96467220783</v>
      </c>
      <c r="S651">
        <v>597689.31846308708</v>
      </c>
      <c r="T651">
        <v>640683.6819088459</v>
      </c>
      <c r="U651">
        <v>450636.47765231133</v>
      </c>
      <c r="V651">
        <v>1398552.2831352949</v>
      </c>
      <c r="W651">
        <v>1091320.1595611572</v>
      </c>
      <c r="X651">
        <v>11658.650501996206</v>
      </c>
      <c r="Y651">
        <v>9097.4935149245484</v>
      </c>
      <c r="Z651">
        <v>1355.6645158386232</v>
      </c>
      <c r="AA651">
        <v>272.8300398902893</v>
      </c>
      <c r="AB651">
        <v>6406.8368190884594</v>
      </c>
      <c r="AC651">
        <v>4506.3647765231135</v>
      </c>
      <c r="AD651">
        <v>10913.201595611572</v>
      </c>
      <c r="AE651">
        <v>1.2815233649653115</v>
      </c>
      <c r="AF651" s="1" t="s">
        <v>696</v>
      </c>
      <c r="AG651" s="1" t="s">
        <v>697</v>
      </c>
      <c r="AH651" s="1" t="s">
        <v>698</v>
      </c>
      <c r="AI651" s="1" t="str">
        <f>_xlfn.TEXTAFTER(_xlfn.TEXTBEFORE(batch_summary[[#This Row],[video]],"_",1),"-",3)</f>
        <v>20</v>
      </c>
      <c r="AJ651" s="1" t="str">
        <f>_xlfn.TEXTBEFORE(_xlfn.TEXTAFTER(batch_summary[[#This Row],[video]],"_",1),"_",1)</f>
        <v>20260318</v>
      </c>
      <c r="AK651" s="1" t="str">
        <f>_xlfn.TEXTBEFORE(_xlfn.TEXTAFTER(batch_summary[[#This Row],[video]],"_",2),".",1)</f>
        <v>120000</v>
      </c>
    </row>
    <row r="652" spans="1:37" x14ac:dyDescent="0.2">
      <c r="A652" s="1" t="s">
        <v>699</v>
      </c>
      <c r="B652" s="1" t="s">
        <v>700</v>
      </c>
      <c r="C652">
        <v>119.95833333333333</v>
      </c>
      <c r="D652">
        <v>2879</v>
      </c>
      <c r="E652">
        <v>0.31281671393662691</v>
      </c>
      <c r="F652">
        <v>43.623953511938453</v>
      </c>
      <c r="G652">
        <v>1.0865464186753279E-4</v>
      </c>
      <c r="H652">
        <v>1.5152467353920963E-2</v>
      </c>
      <c r="I652">
        <v>5</v>
      </c>
      <c r="J652" t="b">
        <v>1</v>
      </c>
      <c r="K652">
        <v>0.65</v>
      </c>
      <c r="L652">
        <v>1.3</v>
      </c>
      <c r="M652" t="b">
        <v>1</v>
      </c>
      <c r="N652">
        <v>200</v>
      </c>
      <c r="O652" t="b">
        <v>0</v>
      </c>
      <c r="P652" t="b">
        <v>0</v>
      </c>
      <c r="Q652">
        <v>0.7</v>
      </c>
      <c r="R652">
        <v>69346.751552343369</v>
      </c>
      <c r="S652">
        <v>107544.51353961229</v>
      </c>
      <c r="T652">
        <v>34403.816097855568</v>
      </c>
      <c r="U652">
        <v>60760.318923950195</v>
      </c>
      <c r="V652">
        <v>176891.26509195566</v>
      </c>
      <c r="W652">
        <v>95164.135021805763</v>
      </c>
      <c r="X652">
        <v>1474.6058917009157</v>
      </c>
      <c r="Y652">
        <v>793.30991334607097</v>
      </c>
      <c r="Z652">
        <v>291.00515747070312</v>
      </c>
      <c r="AA652">
        <v>23.791033755451441</v>
      </c>
      <c r="AB652">
        <v>344.03816097855565</v>
      </c>
      <c r="AC652">
        <v>607.60318923950194</v>
      </c>
      <c r="AD652">
        <v>951.6413502180576</v>
      </c>
      <c r="AE652">
        <v>1.8588017959856733</v>
      </c>
      <c r="AF652" s="1" t="s">
        <v>701</v>
      </c>
      <c r="AG652" s="1" t="s">
        <v>702</v>
      </c>
      <c r="AH652" s="1" t="s">
        <v>703</v>
      </c>
      <c r="AI652" s="1" t="str">
        <f>_xlfn.TEXTAFTER(_xlfn.TEXTBEFORE(batch_summary[[#This Row],[video]],"_",1),"-",3)</f>
        <v>20</v>
      </c>
      <c r="AJ652" s="1" t="str">
        <f>_xlfn.TEXTBEFORE(_xlfn.TEXTAFTER(batch_summary[[#This Row],[video]],"_",1),"_",1)</f>
        <v>20260318</v>
      </c>
      <c r="AK652" s="1" t="str">
        <f>_xlfn.TEXTBEFORE(_xlfn.TEXTAFTER(batch_summary[[#This Row],[video]],"_",2),".",1)</f>
        <v>130000</v>
      </c>
    </row>
    <row r="653" spans="1:37" x14ac:dyDescent="0.2">
      <c r="A653" s="1" t="s">
        <v>704</v>
      </c>
      <c r="B653" s="1" t="s">
        <v>705</v>
      </c>
      <c r="C653">
        <v>119.95833333333333</v>
      </c>
      <c r="D653">
        <v>2879</v>
      </c>
      <c r="E653">
        <v>0.3231056546792388</v>
      </c>
      <c r="F653">
        <v>44.922701187431812</v>
      </c>
      <c r="G653">
        <v>1.1222843163572031E-4</v>
      </c>
      <c r="H653">
        <v>1.560357804356784E-2</v>
      </c>
      <c r="I653">
        <v>5</v>
      </c>
      <c r="J653" t="b">
        <v>1</v>
      </c>
      <c r="K653">
        <v>0.65</v>
      </c>
      <c r="L653">
        <v>1.3</v>
      </c>
      <c r="M653" t="b">
        <v>1</v>
      </c>
      <c r="N653">
        <v>200</v>
      </c>
      <c r="O653" t="b">
        <v>0</v>
      </c>
      <c r="P653" t="b">
        <v>0</v>
      </c>
      <c r="Q653">
        <v>0.7</v>
      </c>
      <c r="R653">
        <v>4561517.0359235406</v>
      </c>
      <c r="S653">
        <v>4634787.9696987867</v>
      </c>
      <c r="T653">
        <v>4030817.7063800097</v>
      </c>
      <c r="U653">
        <v>4040354.2805476785</v>
      </c>
      <c r="V653">
        <v>9196305.0056223273</v>
      </c>
      <c r="W653">
        <v>8071171.9869276881</v>
      </c>
      <c r="X653">
        <v>76662.493968369527</v>
      </c>
      <c r="Y653">
        <v>67283.128755215192</v>
      </c>
      <c r="Z653">
        <v>4387.2091220664979</v>
      </c>
      <c r="AA653">
        <v>2017.7929967319221</v>
      </c>
      <c r="AB653">
        <v>40308.177063800096</v>
      </c>
      <c r="AC653">
        <v>40403.542805476784</v>
      </c>
      <c r="AD653">
        <v>80711.719869276887</v>
      </c>
      <c r="AE653">
        <v>1.1394014426302572</v>
      </c>
      <c r="AF653" s="1" t="s">
        <v>706</v>
      </c>
      <c r="AG653" s="1" t="s">
        <v>707</v>
      </c>
      <c r="AH653" s="1" t="s">
        <v>708</v>
      </c>
      <c r="AI653" s="1" t="str">
        <f>_xlfn.TEXTAFTER(_xlfn.TEXTBEFORE(batch_summary[[#This Row],[video]],"_",1),"-",3)</f>
        <v>20</v>
      </c>
      <c r="AJ653" s="1" t="str">
        <f>_xlfn.TEXTBEFORE(_xlfn.TEXTAFTER(batch_summary[[#This Row],[video]],"_",1),"_",1)</f>
        <v>20260318</v>
      </c>
      <c r="AK653" s="1" t="str">
        <f>_xlfn.TEXTBEFORE(_xlfn.TEXTAFTER(batch_summary[[#This Row],[video]],"_",2),".",1)</f>
        <v>140000</v>
      </c>
    </row>
    <row r="654" spans="1:37" x14ac:dyDescent="0.2">
      <c r="A654" s="1" t="s">
        <v>709</v>
      </c>
      <c r="B654" s="1" t="s">
        <v>710</v>
      </c>
      <c r="C654">
        <v>119.95833333333333</v>
      </c>
      <c r="D654">
        <v>2879</v>
      </c>
      <c r="E654">
        <v>0.34675685223191977</v>
      </c>
      <c r="F654">
        <v>44.885665576905012</v>
      </c>
      <c r="G654">
        <v>1.204435054643695E-4</v>
      </c>
      <c r="H654">
        <v>1.5590713989894065E-2</v>
      </c>
      <c r="I654">
        <v>5</v>
      </c>
      <c r="J654" t="b">
        <v>1</v>
      </c>
      <c r="K654">
        <v>0.65</v>
      </c>
      <c r="L654">
        <v>1.3</v>
      </c>
      <c r="M654" t="b">
        <v>1</v>
      </c>
      <c r="N654">
        <v>200</v>
      </c>
      <c r="O654" t="b">
        <v>0</v>
      </c>
      <c r="P654" t="b">
        <v>0</v>
      </c>
      <c r="Q654">
        <v>0.7</v>
      </c>
      <c r="R654">
        <v>2982862.7618342638</v>
      </c>
      <c r="S654">
        <v>2392821.823993504</v>
      </c>
      <c r="T654">
        <v>2591664.8936481476</v>
      </c>
      <c r="U654">
        <v>2039791.2193359137</v>
      </c>
      <c r="V654">
        <v>5375684.5858277678</v>
      </c>
      <c r="W654">
        <v>4631456.1129840612</v>
      </c>
      <c r="X654">
        <v>44812.931594257185</v>
      </c>
      <c r="Y654">
        <v>38608.873467043239</v>
      </c>
      <c r="Z654">
        <v>3522.0657387924193</v>
      </c>
      <c r="AA654">
        <v>1157.8640282460153</v>
      </c>
      <c r="AB654">
        <v>25916.648936481477</v>
      </c>
      <c r="AC654">
        <v>20397.912193359138</v>
      </c>
      <c r="AD654">
        <v>46314.561129840615</v>
      </c>
      <c r="AE654">
        <v>1.1606899546683167</v>
      </c>
      <c r="AF654" s="1" t="s">
        <v>711</v>
      </c>
      <c r="AG654" s="1" t="s">
        <v>712</v>
      </c>
      <c r="AH654" s="1" t="s">
        <v>713</v>
      </c>
      <c r="AI654" s="1" t="str">
        <f>_xlfn.TEXTAFTER(_xlfn.TEXTBEFORE(batch_summary[[#This Row],[video]],"_",1),"-",3)</f>
        <v>20</v>
      </c>
      <c r="AJ654" s="1" t="str">
        <f>_xlfn.TEXTBEFORE(_xlfn.TEXTAFTER(batch_summary[[#This Row],[video]],"_",1),"_",1)</f>
        <v>20260318</v>
      </c>
      <c r="AK654" s="1" t="str">
        <f>_xlfn.TEXTBEFORE(_xlfn.TEXTAFTER(batch_summary[[#This Row],[video]],"_",2),".",1)</f>
        <v>150000</v>
      </c>
    </row>
    <row r="655" spans="1:37" x14ac:dyDescent="0.2">
      <c r="A655" s="1" t="s">
        <v>714</v>
      </c>
      <c r="B655" s="1" t="s">
        <v>715</v>
      </c>
      <c r="C655">
        <v>119.95833333333333</v>
      </c>
      <c r="D655">
        <v>2879</v>
      </c>
      <c r="E655">
        <v>0.33166126161813736</v>
      </c>
      <c r="F655">
        <v>44.671961260028183</v>
      </c>
      <c r="G655">
        <v>1.15200160339749E-4</v>
      </c>
      <c r="H655">
        <v>1.5516485328248762E-2</v>
      </c>
      <c r="I655">
        <v>5</v>
      </c>
      <c r="J655" t="b">
        <v>1</v>
      </c>
      <c r="K655">
        <v>0.65</v>
      </c>
      <c r="L655">
        <v>1.3</v>
      </c>
      <c r="M655" t="b">
        <v>1</v>
      </c>
      <c r="N655">
        <v>200</v>
      </c>
      <c r="O655" t="b">
        <v>0</v>
      </c>
      <c r="P655" t="b">
        <v>0</v>
      </c>
      <c r="Q655">
        <v>0.7</v>
      </c>
      <c r="R655">
        <v>2320212.5694665909</v>
      </c>
      <c r="S655">
        <v>2571704.8289807439</v>
      </c>
      <c r="T655">
        <v>2013581.9844513535</v>
      </c>
      <c r="U655">
        <v>2241268.4006276131</v>
      </c>
      <c r="V655">
        <v>4891917.3984473348</v>
      </c>
      <c r="W655">
        <v>4254850.3850789666</v>
      </c>
      <c r="X655">
        <v>40780.138090564797</v>
      </c>
      <c r="Y655">
        <v>35469.402307014658</v>
      </c>
      <c r="Z655">
        <v>4269.4823119282719</v>
      </c>
      <c r="AA655">
        <v>1063.7125962697417</v>
      </c>
      <c r="AB655">
        <v>20135.819844513535</v>
      </c>
      <c r="AC655">
        <v>22412.684006276129</v>
      </c>
      <c r="AD655">
        <v>42548.503850789668</v>
      </c>
      <c r="AE655">
        <v>1.1497272420206486</v>
      </c>
      <c r="AF655" s="1" t="s">
        <v>716</v>
      </c>
      <c r="AG655" s="1" t="s">
        <v>717</v>
      </c>
      <c r="AH655" s="1" t="s">
        <v>718</v>
      </c>
      <c r="AI655" s="1" t="str">
        <f>_xlfn.TEXTAFTER(_xlfn.TEXTBEFORE(batch_summary[[#This Row],[video]],"_",1),"-",3)</f>
        <v>20</v>
      </c>
      <c r="AJ655" s="1" t="str">
        <f>_xlfn.TEXTBEFORE(_xlfn.TEXTAFTER(batch_summary[[#This Row],[video]],"_",1),"_",1)</f>
        <v>20260318</v>
      </c>
      <c r="AK655" s="1" t="str">
        <f>_xlfn.TEXTBEFORE(_xlfn.TEXTAFTER(batch_summary[[#This Row],[video]],"_",2),".",1)</f>
        <v>160000</v>
      </c>
    </row>
    <row r="656" spans="1:37" x14ac:dyDescent="0.2">
      <c r="A656" s="1" t="s">
        <v>719</v>
      </c>
      <c r="B656" s="1" t="s">
        <v>720</v>
      </c>
      <c r="C656">
        <v>119.95833333333333</v>
      </c>
      <c r="D656">
        <v>2879</v>
      </c>
      <c r="E656">
        <v>0.33226711768656969</v>
      </c>
      <c r="F656">
        <v>44.940269280225039</v>
      </c>
      <c r="G656">
        <v>1.1541060009953793E-4</v>
      </c>
      <c r="H656">
        <v>1.5609680194590149E-2</v>
      </c>
      <c r="I656">
        <v>5</v>
      </c>
      <c r="J656" t="b">
        <v>1</v>
      </c>
      <c r="K656">
        <v>0.65</v>
      </c>
      <c r="L656">
        <v>1.3</v>
      </c>
      <c r="M656" t="b">
        <v>1</v>
      </c>
      <c r="N656">
        <v>200</v>
      </c>
      <c r="O656" t="b">
        <v>0</v>
      </c>
      <c r="P656" t="b">
        <v>0</v>
      </c>
      <c r="Q656">
        <v>0.7</v>
      </c>
      <c r="R656">
        <v>3578013.7211908102</v>
      </c>
      <c r="S656">
        <v>2514621.9529293776</v>
      </c>
      <c r="T656">
        <v>3127016.6796427965</v>
      </c>
      <c r="U656">
        <v>2102182.6324446201</v>
      </c>
      <c r="V656">
        <v>6092635.6741201878</v>
      </c>
      <c r="W656">
        <v>5229199.3120874166</v>
      </c>
      <c r="X656">
        <v>50789.59922851147</v>
      </c>
      <c r="Y656">
        <v>43591.796974678015</v>
      </c>
      <c r="Z656">
        <v>3334.5454954332113</v>
      </c>
      <c r="AA656">
        <v>1307.2998280218542</v>
      </c>
      <c r="AB656">
        <v>31270.166796427966</v>
      </c>
      <c r="AC656">
        <v>21021.8263244462</v>
      </c>
      <c r="AD656">
        <v>52291.993120874162</v>
      </c>
      <c r="AE656">
        <v>1.1651182734681613</v>
      </c>
      <c r="AF656" s="1" t="s">
        <v>721</v>
      </c>
      <c r="AG656" s="1" t="s">
        <v>722</v>
      </c>
      <c r="AH656" s="1" t="s">
        <v>723</v>
      </c>
      <c r="AI656" s="1" t="str">
        <f>_xlfn.TEXTAFTER(_xlfn.TEXTBEFORE(batch_summary[[#This Row],[video]],"_",1),"-",3)</f>
        <v>20</v>
      </c>
      <c r="AJ656" s="1" t="str">
        <f>_xlfn.TEXTBEFORE(_xlfn.TEXTAFTER(batch_summary[[#This Row],[video]],"_",1),"_",1)</f>
        <v>20260318</v>
      </c>
      <c r="AK656" s="1" t="str">
        <f>_xlfn.TEXTBEFORE(_xlfn.TEXTAFTER(batch_summary[[#This Row],[video]],"_",2),".",1)</f>
        <v>170000</v>
      </c>
    </row>
    <row r="657" spans="1:37" x14ac:dyDescent="0.2">
      <c r="A657" s="1" t="s">
        <v>724</v>
      </c>
      <c r="B657" s="1" t="s">
        <v>725</v>
      </c>
      <c r="C657">
        <v>119.95833333333333</v>
      </c>
      <c r="D657">
        <v>2879</v>
      </c>
      <c r="E657">
        <v>0.34697606600821018</v>
      </c>
      <c r="F657">
        <v>43.938386267051101</v>
      </c>
      <c r="G657">
        <v>1.205196477972248E-4</v>
      </c>
      <c r="H657">
        <v>1.5261683316099723E-2</v>
      </c>
      <c r="I657">
        <v>5</v>
      </c>
      <c r="J657" t="b">
        <v>1</v>
      </c>
      <c r="K657">
        <v>0.65</v>
      </c>
      <c r="L657">
        <v>1.3</v>
      </c>
      <c r="M657" t="b">
        <v>1</v>
      </c>
      <c r="N657">
        <v>200</v>
      </c>
      <c r="O657" t="b">
        <v>0</v>
      </c>
      <c r="P657" t="b">
        <v>0</v>
      </c>
      <c r="Q657">
        <v>0.7</v>
      </c>
      <c r="R657">
        <v>355745.33326143026</v>
      </c>
      <c r="S657">
        <v>324005.09219557047</v>
      </c>
      <c r="T657">
        <v>281627.1485748291</v>
      </c>
      <c r="U657">
        <v>243523.94614624977</v>
      </c>
      <c r="V657">
        <v>679750.42545700073</v>
      </c>
      <c r="W657">
        <v>525151.09472107887</v>
      </c>
      <c r="X657">
        <v>5666.5544324307111</v>
      </c>
      <c r="Y657">
        <v>4377.7791848926345</v>
      </c>
      <c r="Z657">
        <v>1238.6182251667976</v>
      </c>
      <c r="AA657">
        <v>131.28777368026971</v>
      </c>
      <c r="AB657">
        <v>2816.2714857482911</v>
      </c>
      <c r="AC657">
        <v>2435.2394614624977</v>
      </c>
      <c r="AD657">
        <v>5251.5109472107888</v>
      </c>
      <c r="AE657">
        <v>1.2943901903470914</v>
      </c>
      <c r="AF657" s="1" t="s">
        <v>726</v>
      </c>
      <c r="AG657" s="1" t="s">
        <v>727</v>
      </c>
      <c r="AH657" s="1" t="s">
        <v>728</v>
      </c>
      <c r="AI657" s="1" t="str">
        <f>_xlfn.TEXTAFTER(_xlfn.TEXTBEFORE(batch_summary[[#This Row],[video]],"_",1),"-",3)</f>
        <v>20</v>
      </c>
      <c r="AJ657" s="1" t="str">
        <f>_xlfn.TEXTBEFORE(_xlfn.TEXTAFTER(batch_summary[[#This Row],[video]],"_",1),"_",1)</f>
        <v>20260318</v>
      </c>
      <c r="AK657" s="1" t="str">
        <f>_xlfn.TEXTBEFORE(_xlfn.TEXTAFTER(batch_summary[[#This Row],[video]],"_",2),".",1)</f>
        <v>180000</v>
      </c>
    </row>
    <row r="658" spans="1:37" x14ac:dyDescent="0.2">
      <c r="A658" s="1" t="s">
        <v>729</v>
      </c>
      <c r="B658" s="1" t="s">
        <v>730</v>
      </c>
      <c r="C658">
        <v>119.95833333333333</v>
      </c>
      <c r="D658">
        <v>2879</v>
      </c>
      <c r="E658">
        <v>0.32648951932787895</v>
      </c>
      <c r="F658">
        <v>43.506913964636624</v>
      </c>
      <c r="G658">
        <v>1.1340379275021847E-4</v>
      </c>
      <c r="H658">
        <v>1.5111814506646969E-2</v>
      </c>
      <c r="I658">
        <v>5</v>
      </c>
      <c r="J658" t="b">
        <v>1</v>
      </c>
      <c r="K658">
        <v>0.65</v>
      </c>
      <c r="L658">
        <v>1.3</v>
      </c>
      <c r="M658" t="b">
        <v>1</v>
      </c>
      <c r="N658">
        <v>200</v>
      </c>
      <c r="O658" t="b">
        <v>0</v>
      </c>
      <c r="P658" t="b">
        <v>0</v>
      </c>
      <c r="Q658">
        <v>0.7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s="1" t="s">
        <v>731</v>
      </c>
      <c r="AG658" s="1" t="s">
        <v>732</v>
      </c>
      <c r="AH658" s="1" t="s">
        <v>733</v>
      </c>
      <c r="AI658" s="1" t="str">
        <f>_xlfn.TEXTAFTER(_xlfn.TEXTBEFORE(batch_summary[[#This Row],[video]],"_",1),"-",3)</f>
        <v>20</v>
      </c>
      <c r="AJ658" s="1" t="str">
        <f>_xlfn.TEXTBEFORE(_xlfn.TEXTAFTER(batch_summary[[#This Row],[video]],"_",1),"_",1)</f>
        <v>20260318</v>
      </c>
      <c r="AK658" s="1" t="str">
        <f>_xlfn.TEXTBEFORE(_xlfn.TEXTAFTER(batch_summary[[#This Row],[video]],"_",2),".",1)</f>
        <v>190000</v>
      </c>
    </row>
    <row r="659" spans="1:37" x14ac:dyDescent="0.2">
      <c r="A659" s="1" t="s">
        <v>734</v>
      </c>
      <c r="B659" s="1" t="s">
        <v>735</v>
      </c>
      <c r="C659">
        <v>119.95833333333333</v>
      </c>
      <c r="D659">
        <v>2879</v>
      </c>
      <c r="E659">
        <v>0.35710357129573822</v>
      </c>
      <c r="F659">
        <v>45.298859696835279</v>
      </c>
      <c r="G659">
        <v>1.2403736411800562E-4</v>
      </c>
      <c r="H659">
        <v>1.5734234003763555E-2</v>
      </c>
      <c r="I659">
        <v>5</v>
      </c>
      <c r="J659" t="b">
        <v>1</v>
      </c>
      <c r="K659">
        <v>0.65</v>
      </c>
      <c r="L659">
        <v>1.3</v>
      </c>
      <c r="M659" t="b">
        <v>1</v>
      </c>
      <c r="N659">
        <v>200</v>
      </c>
      <c r="O659" t="b">
        <v>0</v>
      </c>
      <c r="P659" t="b">
        <v>0</v>
      </c>
      <c r="Q659">
        <v>0.7</v>
      </c>
      <c r="R659">
        <v>2169551.7526358962</v>
      </c>
      <c r="S659">
        <v>2032546.5682678223</v>
      </c>
      <c r="T659">
        <v>776242.07481366396</v>
      </c>
      <c r="U659">
        <v>719947.69579285383</v>
      </c>
      <c r="V659">
        <v>4202098.3209037185</v>
      </c>
      <c r="W659">
        <v>1496189.7706065178</v>
      </c>
      <c r="X659">
        <v>35029.649080128256</v>
      </c>
      <c r="Y659">
        <v>12472.578844931028</v>
      </c>
      <c r="Z659">
        <v>1955.3210070800781</v>
      </c>
      <c r="AA659">
        <v>374.04744265162947</v>
      </c>
      <c r="AB659">
        <v>7762.4207481366393</v>
      </c>
      <c r="AC659">
        <v>7199.4769579285385</v>
      </c>
      <c r="AD659">
        <v>14961.897706065178</v>
      </c>
      <c r="AE659">
        <v>2.8085329838876611</v>
      </c>
      <c r="AF659" s="1" t="s">
        <v>736</v>
      </c>
      <c r="AG659" s="1" t="s">
        <v>737</v>
      </c>
      <c r="AH659" s="1" t="s">
        <v>738</v>
      </c>
      <c r="AI659" s="1" t="str">
        <f>_xlfn.TEXTAFTER(_xlfn.TEXTBEFORE(batch_summary[[#This Row],[video]],"_",1),"-",3)</f>
        <v>20</v>
      </c>
      <c r="AJ659" s="1" t="str">
        <f>_xlfn.TEXTBEFORE(_xlfn.TEXTAFTER(batch_summary[[#This Row],[video]],"_",1),"_",1)</f>
        <v>20260319</v>
      </c>
      <c r="AK659" s="1" t="str">
        <f>_xlfn.TEXTBEFORE(_xlfn.TEXTAFTER(batch_summary[[#This Row],[video]],"_",2),".",1)</f>
        <v>070000</v>
      </c>
    </row>
    <row r="660" spans="1:37" x14ac:dyDescent="0.2">
      <c r="A660" s="1" t="s">
        <v>739</v>
      </c>
      <c r="B660" s="1" t="s">
        <v>740</v>
      </c>
      <c r="C660">
        <v>119.95833333333333</v>
      </c>
      <c r="D660">
        <v>2879</v>
      </c>
      <c r="E660">
        <v>0.33384943846613169</v>
      </c>
      <c r="F660">
        <v>43.70424047857523</v>
      </c>
      <c r="G660">
        <v>1.1596020787291827E-4</v>
      </c>
      <c r="H660">
        <v>1.5180354455913592E-2</v>
      </c>
      <c r="I660">
        <v>5</v>
      </c>
      <c r="J660" t="b">
        <v>1</v>
      </c>
      <c r="K660">
        <v>0.65</v>
      </c>
      <c r="L660">
        <v>1.3</v>
      </c>
      <c r="M660" t="b">
        <v>1</v>
      </c>
      <c r="N660">
        <v>200</v>
      </c>
      <c r="O660" t="b">
        <v>0</v>
      </c>
      <c r="P660" t="b">
        <v>0</v>
      </c>
      <c r="Q660">
        <v>0.7</v>
      </c>
      <c r="R660">
        <v>62536.296355485916</v>
      </c>
      <c r="S660">
        <v>163267.48396134377</v>
      </c>
      <c r="T660">
        <v>11107.51948261261</v>
      </c>
      <c r="U660">
        <v>110202.98706054688</v>
      </c>
      <c r="V660">
        <v>225803.78031682968</v>
      </c>
      <c r="W660">
        <v>121310.50654315948</v>
      </c>
      <c r="X660">
        <v>1882.3517636692993</v>
      </c>
      <c r="Y660">
        <v>1011.2720239790996</v>
      </c>
      <c r="Z660">
        <v>638.35122711181634</v>
      </c>
      <c r="AA660">
        <v>30.327626635789876</v>
      </c>
      <c r="AB660">
        <v>111.07519482612609</v>
      </c>
      <c r="AC660">
        <v>1102.0298706054687</v>
      </c>
      <c r="AD660">
        <v>1213.1050654315948</v>
      </c>
      <c r="AE660">
        <v>1.8613703524228042</v>
      </c>
      <c r="AF660" s="1" t="s">
        <v>741</v>
      </c>
      <c r="AG660" s="1" t="s">
        <v>742</v>
      </c>
      <c r="AH660" s="1" t="s">
        <v>743</v>
      </c>
      <c r="AI660" s="1" t="str">
        <f>_xlfn.TEXTAFTER(_xlfn.TEXTBEFORE(batch_summary[[#This Row],[video]],"_",1),"-",3)</f>
        <v>20</v>
      </c>
      <c r="AJ660" s="1" t="str">
        <f>_xlfn.TEXTBEFORE(_xlfn.TEXTAFTER(batch_summary[[#This Row],[video]],"_",1),"_",1)</f>
        <v>20260319</v>
      </c>
      <c r="AK660" s="1" t="str">
        <f>_xlfn.TEXTBEFORE(_xlfn.TEXTAFTER(batch_summary[[#This Row],[video]],"_",2),".",1)</f>
        <v>090000</v>
      </c>
    </row>
    <row r="661" spans="1:37" x14ac:dyDescent="0.2">
      <c r="A661" s="1" t="s">
        <v>744</v>
      </c>
      <c r="B661" s="1" t="s">
        <v>745</v>
      </c>
      <c r="C661">
        <v>119.95833333333333</v>
      </c>
      <c r="D661">
        <v>2879</v>
      </c>
      <c r="E661">
        <v>0.33285608608275652</v>
      </c>
      <c r="F661">
        <v>43.656905168667436</v>
      </c>
      <c r="G661">
        <v>1.156151740475014E-4</v>
      </c>
      <c r="H661">
        <v>1.5163912875535753E-2</v>
      </c>
      <c r="I661">
        <v>5</v>
      </c>
      <c r="J661" t="b">
        <v>1</v>
      </c>
      <c r="K661">
        <v>0.65</v>
      </c>
      <c r="L661">
        <v>1.3</v>
      </c>
      <c r="M661" t="b">
        <v>1</v>
      </c>
      <c r="N661">
        <v>200</v>
      </c>
      <c r="O661" t="b">
        <v>0</v>
      </c>
      <c r="P661" t="b">
        <v>0</v>
      </c>
      <c r="Q661">
        <v>0.7</v>
      </c>
      <c r="R661">
        <v>239962.99106186628</v>
      </c>
      <c r="S661">
        <v>199458.11130434275</v>
      </c>
      <c r="T661">
        <v>201909.62373256683</v>
      </c>
      <c r="U661">
        <v>157665.89603614807</v>
      </c>
      <c r="V661">
        <v>439421.10236620903</v>
      </c>
      <c r="W661">
        <v>359575.5197687149</v>
      </c>
      <c r="X661">
        <v>3663.1144344525937</v>
      </c>
      <c r="Y661">
        <v>2997.5034645533719</v>
      </c>
      <c r="Z661">
        <v>1112.1126094055176</v>
      </c>
      <c r="AA661">
        <v>89.893879942178728</v>
      </c>
      <c r="AB661">
        <v>2019.0962373256684</v>
      </c>
      <c r="AC661">
        <v>1576.6589603614807</v>
      </c>
      <c r="AD661">
        <v>3595.7551976871491</v>
      </c>
      <c r="AE661">
        <v>1.2220551127864661</v>
      </c>
      <c r="AF661" s="1" t="s">
        <v>746</v>
      </c>
      <c r="AG661" s="1" t="s">
        <v>747</v>
      </c>
      <c r="AH661" s="1" t="s">
        <v>748</v>
      </c>
      <c r="AI661" s="1" t="str">
        <f>_xlfn.TEXTAFTER(_xlfn.TEXTBEFORE(batch_summary[[#This Row],[video]],"_",1),"-",3)</f>
        <v>20</v>
      </c>
      <c r="AJ661" s="1" t="str">
        <f>_xlfn.TEXTBEFORE(_xlfn.TEXTAFTER(batch_summary[[#This Row],[video]],"_",1),"_",1)</f>
        <v>20260319</v>
      </c>
      <c r="AK661" s="1" t="str">
        <f>_xlfn.TEXTBEFORE(_xlfn.TEXTAFTER(batch_summary[[#This Row],[video]],"_",2),".",1)</f>
        <v>100000</v>
      </c>
    </row>
    <row r="662" spans="1:37" x14ac:dyDescent="0.2">
      <c r="A662" s="1" t="s">
        <v>749</v>
      </c>
      <c r="B662" s="1" t="s">
        <v>750</v>
      </c>
      <c r="C662">
        <v>119.95833333333333</v>
      </c>
      <c r="D662">
        <v>2879</v>
      </c>
      <c r="E662">
        <v>0.32120294962078333</v>
      </c>
      <c r="F662">
        <v>44.574549531564116</v>
      </c>
      <c r="G662">
        <v>1.1156754068106402E-4</v>
      </c>
      <c r="H662">
        <v>1.5482650063064993E-2</v>
      </c>
      <c r="I662">
        <v>5</v>
      </c>
      <c r="J662" t="b">
        <v>1</v>
      </c>
      <c r="K662">
        <v>0.65</v>
      </c>
      <c r="L662">
        <v>1.3</v>
      </c>
      <c r="M662" t="b">
        <v>1</v>
      </c>
      <c r="N662">
        <v>200</v>
      </c>
      <c r="O662" t="b">
        <v>0</v>
      </c>
      <c r="P662" t="b">
        <v>0</v>
      </c>
      <c r="Q662">
        <v>0.7</v>
      </c>
      <c r="R662">
        <v>7828080.3470256925</v>
      </c>
      <c r="S662">
        <v>11687000.958145082</v>
      </c>
      <c r="T662">
        <v>6995787.6077086926</v>
      </c>
      <c r="U662">
        <v>10669629.641506076</v>
      </c>
      <c r="V662">
        <v>19515081.305170774</v>
      </c>
      <c r="W662">
        <v>17665417.249214768</v>
      </c>
      <c r="X662">
        <v>162682.16440573067</v>
      </c>
      <c r="Y662">
        <v>147262.94337657327</v>
      </c>
      <c r="Z662">
        <v>10872.267443504334</v>
      </c>
      <c r="AA662">
        <v>4416.3543123036925</v>
      </c>
      <c r="AB662">
        <v>69957.876077086927</v>
      </c>
      <c r="AC662">
        <v>106696.29641506076</v>
      </c>
      <c r="AD662">
        <v>176654.17249214769</v>
      </c>
      <c r="AE662">
        <v>1.1047053703777205</v>
      </c>
      <c r="AF662" s="1" t="s">
        <v>751</v>
      </c>
      <c r="AG662" s="1" t="s">
        <v>752</v>
      </c>
      <c r="AH662" s="1" t="s">
        <v>753</v>
      </c>
      <c r="AI662" s="1" t="str">
        <f>_xlfn.TEXTAFTER(_xlfn.TEXTBEFORE(batch_summary[[#This Row],[video]],"_",1),"-",3)</f>
        <v>20</v>
      </c>
      <c r="AJ662" s="1" t="str">
        <f>_xlfn.TEXTBEFORE(_xlfn.TEXTAFTER(batch_summary[[#This Row],[video]],"_",1),"_",1)</f>
        <v>20260319</v>
      </c>
      <c r="AK662" s="1" t="str">
        <f>_xlfn.TEXTBEFORE(_xlfn.TEXTAFTER(batch_summary[[#This Row],[video]],"_",2),".",1)</f>
        <v>110000</v>
      </c>
    </row>
    <row r="663" spans="1:37" x14ac:dyDescent="0.2">
      <c r="A663" s="1" t="s">
        <v>754</v>
      </c>
      <c r="B663" s="1" t="s">
        <v>755</v>
      </c>
      <c r="C663">
        <v>119.95833333333333</v>
      </c>
      <c r="D663">
        <v>2879</v>
      </c>
      <c r="E663">
        <v>0.28898889198899269</v>
      </c>
      <c r="F663">
        <v>44.001656731590629</v>
      </c>
      <c r="G663">
        <v>1.0037821882215794E-4</v>
      </c>
      <c r="H663">
        <v>1.5283659858141934E-2</v>
      </c>
      <c r="I663">
        <v>5</v>
      </c>
      <c r="J663" t="b">
        <v>1</v>
      </c>
      <c r="K663">
        <v>0.65</v>
      </c>
      <c r="L663">
        <v>1.3</v>
      </c>
      <c r="M663" t="b">
        <v>1</v>
      </c>
      <c r="N663">
        <v>200</v>
      </c>
      <c r="O663" t="b">
        <v>0</v>
      </c>
      <c r="P663" t="b">
        <v>0</v>
      </c>
      <c r="Q663">
        <v>0.7</v>
      </c>
      <c r="R663">
        <v>16382998.538373947</v>
      </c>
      <c r="S663">
        <v>20993204.122821867</v>
      </c>
      <c r="T663">
        <v>15296050.424844921</v>
      </c>
      <c r="U663">
        <v>19752991.158599973</v>
      </c>
      <c r="V663">
        <v>37376202.661195815</v>
      </c>
      <c r="W663">
        <v>35049041.583444893</v>
      </c>
      <c r="X663">
        <v>311576.54180920444</v>
      </c>
      <c r="Y663">
        <v>292176.79680537601</v>
      </c>
      <c r="Z663">
        <v>12241.686852416991</v>
      </c>
      <c r="AA663">
        <v>8762.2603958612235</v>
      </c>
      <c r="AB663">
        <v>152960.5042484492</v>
      </c>
      <c r="AC663">
        <v>197529.91158599974</v>
      </c>
      <c r="AD663">
        <v>350490.41583444894</v>
      </c>
      <c r="AE663">
        <v>1.0663972814266662</v>
      </c>
      <c r="AF663" s="1" t="s">
        <v>756</v>
      </c>
      <c r="AG663" s="1" t="s">
        <v>757</v>
      </c>
      <c r="AH663" s="1" t="s">
        <v>758</v>
      </c>
      <c r="AI663" s="1" t="str">
        <f>_xlfn.TEXTAFTER(_xlfn.TEXTBEFORE(batch_summary[[#This Row],[video]],"_",1),"-",3)</f>
        <v>20</v>
      </c>
      <c r="AJ663" s="1" t="str">
        <f>_xlfn.TEXTBEFORE(_xlfn.TEXTAFTER(batch_summary[[#This Row],[video]],"_",1),"_",1)</f>
        <v>20260319</v>
      </c>
      <c r="AK663" s="1" t="str">
        <f>_xlfn.TEXTBEFORE(_xlfn.TEXTAFTER(batch_summary[[#This Row],[video]],"_",2),".",1)</f>
        <v>120000</v>
      </c>
    </row>
    <row r="664" spans="1:37" x14ac:dyDescent="0.2">
      <c r="A664" s="1" t="s">
        <v>759</v>
      </c>
      <c r="B664" s="1" t="s">
        <v>760</v>
      </c>
      <c r="C664">
        <v>119.95833333333333</v>
      </c>
      <c r="D664">
        <v>2879</v>
      </c>
      <c r="E664">
        <v>0.27360343001782894</v>
      </c>
      <c r="F664">
        <v>43.645487478002906</v>
      </c>
      <c r="G664">
        <v>9.5034188960690843E-5</v>
      </c>
      <c r="H664">
        <v>1.5159947022578293E-2</v>
      </c>
      <c r="I664">
        <v>5</v>
      </c>
      <c r="J664" t="b">
        <v>1</v>
      </c>
      <c r="K664">
        <v>0.65</v>
      </c>
      <c r="L664">
        <v>1.3</v>
      </c>
      <c r="M664" t="b">
        <v>1</v>
      </c>
      <c r="N664">
        <v>200</v>
      </c>
      <c r="O664" t="b">
        <v>0</v>
      </c>
      <c r="P664" t="b">
        <v>0</v>
      </c>
      <c r="Q664">
        <v>0.7</v>
      </c>
      <c r="R664">
        <v>14313749.116272569</v>
      </c>
      <c r="S664">
        <v>17465018.143259764</v>
      </c>
      <c r="T664">
        <v>13311287.111588478</v>
      </c>
      <c r="U664">
        <v>16309521.85953027</v>
      </c>
      <c r="V664">
        <v>31778767.259532332</v>
      </c>
      <c r="W664">
        <v>29620808.971118748</v>
      </c>
      <c r="X664">
        <v>264915.04488668841</v>
      </c>
      <c r="Y664">
        <v>246925.81288879819</v>
      </c>
      <c r="Z664">
        <v>11035.643176269532</v>
      </c>
      <c r="AA664">
        <v>7405.2022427796883</v>
      </c>
      <c r="AB664">
        <v>133112.87111588477</v>
      </c>
      <c r="AC664">
        <v>163095.21859530269</v>
      </c>
      <c r="AD664">
        <v>296208.08971118747</v>
      </c>
      <c r="AE664">
        <v>1.0728527803044698</v>
      </c>
      <c r="AF664" s="1" t="s">
        <v>761</v>
      </c>
      <c r="AG664" s="1" t="s">
        <v>762</v>
      </c>
      <c r="AH664" s="1" t="s">
        <v>763</v>
      </c>
      <c r="AI664" s="1" t="str">
        <f>_xlfn.TEXTAFTER(_xlfn.TEXTBEFORE(batch_summary[[#This Row],[video]],"_",1),"-",3)</f>
        <v>20</v>
      </c>
      <c r="AJ664" s="1" t="str">
        <f>_xlfn.TEXTBEFORE(_xlfn.TEXTAFTER(batch_summary[[#This Row],[video]],"_",1),"_",1)</f>
        <v>20260319</v>
      </c>
      <c r="AK664" s="1" t="str">
        <f>_xlfn.TEXTBEFORE(_xlfn.TEXTAFTER(batch_summary[[#This Row],[video]],"_",2),".",1)</f>
        <v>130000</v>
      </c>
    </row>
    <row r="665" spans="1:37" x14ac:dyDescent="0.2">
      <c r="A665" s="1" t="s">
        <v>764</v>
      </c>
      <c r="B665" s="1" t="s">
        <v>765</v>
      </c>
      <c r="C665">
        <v>119.95833333333333</v>
      </c>
      <c r="D665">
        <v>2879</v>
      </c>
      <c r="E665">
        <v>0.28388806246221066</v>
      </c>
      <c r="F665">
        <v>43.761010818183422</v>
      </c>
      <c r="G665">
        <v>9.8606482272389949E-5</v>
      </c>
      <c r="H665">
        <v>1.5200073226183891E-2</v>
      </c>
      <c r="I665">
        <v>5</v>
      </c>
      <c r="J665" t="b">
        <v>1</v>
      </c>
      <c r="K665">
        <v>0.65</v>
      </c>
      <c r="L665">
        <v>1.3</v>
      </c>
      <c r="M665" t="b">
        <v>1</v>
      </c>
      <c r="N665">
        <v>200</v>
      </c>
      <c r="O665" t="b">
        <v>0</v>
      </c>
      <c r="P665" t="b">
        <v>0</v>
      </c>
      <c r="Q665">
        <v>0.7</v>
      </c>
      <c r="R665">
        <v>22049076.170219421</v>
      </c>
      <c r="S665">
        <v>19073272.852392197</v>
      </c>
      <c r="T665">
        <v>20791935.204886198</v>
      </c>
      <c r="U665">
        <v>17853813.585791111</v>
      </c>
      <c r="V665">
        <v>41122349.022611618</v>
      </c>
      <c r="W665">
        <v>38645748.790677309</v>
      </c>
      <c r="X665">
        <v>342805.27146324381</v>
      </c>
      <c r="Y665">
        <v>322159.76761940098</v>
      </c>
      <c r="Z665">
        <v>12847.728430175783</v>
      </c>
      <c r="AA665">
        <v>9661.4371976693274</v>
      </c>
      <c r="AB665">
        <v>207919.35204886197</v>
      </c>
      <c r="AC665">
        <v>178538.13585791111</v>
      </c>
      <c r="AD665">
        <v>386457.48790677311</v>
      </c>
      <c r="AE665">
        <v>1.0640846744967651</v>
      </c>
      <c r="AF665" s="1" t="s">
        <v>766</v>
      </c>
      <c r="AG665" s="1" t="s">
        <v>767</v>
      </c>
      <c r="AH665" s="1" t="s">
        <v>768</v>
      </c>
      <c r="AI665" s="1" t="str">
        <f>_xlfn.TEXTAFTER(_xlfn.TEXTBEFORE(batch_summary[[#This Row],[video]],"_",1),"-",3)</f>
        <v>20</v>
      </c>
      <c r="AJ665" s="1" t="str">
        <f>_xlfn.TEXTBEFORE(_xlfn.TEXTAFTER(batch_summary[[#This Row],[video]],"_",1),"_",1)</f>
        <v>20260319</v>
      </c>
      <c r="AK665" s="1" t="str">
        <f>_xlfn.TEXTBEFORE(_xlfn.TEXTAFTER(batch_summary[[#This Row],[video]],"_",2),".",1)</f>
        <v>140000</v>
      </c>
    </row>
    <row r="666" spans="1:37" x14ac:dyDescent="0.2">
      <c r="A666" s="1" t="s">
        <v>769</v>
      </c>
      <c r="B666" s="1" t="s">
        <v>770</v>
      </c>
      <c r="C666">
        <v>119.95833333333333</v>
      </c>
      <c r="D666">
        <v>2879</v>
      </c>
      <c r="E666">
        <v>0.33211743086576462</v>
      </c>
      <c r="F666">
        <v>44.693541504442692</v>
      </c>
      <c r="G666">
        <v>1.1535860745597937E-4</v>
      </c>
      <c r="H666">
        <v>1.5523981071359045E-2</v>
      </c>
      <c r="I666">
        <v>5</v>
      </c>
      <c r="J666" t="b">
        <v>1</v>
      </c>
      <c r="K666">
        <v>0.65</v>
      </c>
      <c r="L666">
        <v>1.3</v>
      </c>
      <c r="M666" t="b">
        <v>1</v>
      </c>
      <c r="N666">
        <v>200</v>
      </c>
      <c r="O666" t="b">
        <v>0</v>
      </c>
      <c r="P666" t="b">
        <v>0</v>
      </c>
      <c r="Q666">
        <v>0.7</v>
      </c>
      <c r="R666">
        <v>11696396.765342474</v>
      </c>
      <c r="S666">
        <v>6811709.9297254086</v>
      </c>
      <c r="T666">
        <v>10836056.308978498</v>
      </c>
      <c r="U666">
        <v>6045528.8936211467</v>
      </c>
      <c r="V666">
        <v>18508106.695067883</v>
      </c>
      <c r="W666">
        <v>16881585.202599645</v>
      </c>
      <c r="X666">
        <v>154287.79460980522</v>
      </c>
      <c r="Y666">
        <v>140728.74083445346</v>
      </c>
      <c r="Z666">
        <v>8274.3845819091803</v>
      </c>
      <c r="AA666">
        <v>4220.3963006499116</v>
      </c>
      <c r="AB666">
        <v>108360.56308978498</v>
      </c>
      <c r="AC666">
        <v>60455.288936211466</v>
      </c>
      <c r="AD666">
        <v>168815.85202599643</v>
      </c>
      <c r="AE666">
        <v>1.0963488601898455</v>
      </c>
      <c r="AF666" s="1" t="s">
        <v>771</v>
      </c>
      <c r="AG666" s="1" t="s">
        <v>772</v>
      </c>
      <c r="AH666" s="1" t="s">
        <v>773</v>
      </c>
      <c r="AI666" s="1" t="str">
        <f>_xlfn.TEXTAFTER(_xlfn.TEXTBEFORE(batch_summary[[#This Row],[video]],"_",1),"-",3)</f>
        <v>20</v>
      </c>
      <c r="AJ666" s="1" t="str">
        <f>_xlfn.TEXTBEFORE(_xlfn.TEXTAFTER(batch_summary[[#This Row],[video]],"_",1),"_",1)</f>
        <v>20260319</v>
      </c>
      <c r="AK666" s="1" t="str">
        <f>_xlfn.TEXTBEFORE(_xlfn.TEXTAFTER(batch_summary[[#This Row],[video]],"_",2),".",1)</f>
        <v>150000</v>
      </c>
    </row>
    <row r="667" spans="1:37" x14ac:dyDescent="0.2">
      <c r="A667" s="1" t="s">
        <v>774</v>
      </c>
      <c r="B667" s="1" t="s">
        <v>775</v>
      </c>
      <c r="C667">
        <v>119.95833333333333</v>
      </c>
      <c r="D667">
        <v>2879</v>
      </c>
      <c r="E667">
        <v>0.29021120350807905</v>
      </c>
      <c r="F667">
        <v>44.234606097452343</v>
      </c>
      <c r="G667">
        <v>1.0080277996112507E-4</v>
      </c>
      <c r="H667">
        <v>1.5364573149514534E-2</v>
      </c>
      <c r="I667">
        <v>5</v>
      </c>
      <c r="J667" t="b">
        <v>1</v>
      </c>
      <c r="K667">
        <v>0.65</v>
      </c>
      <c r="L667">
        <v>1.3</v>
      </c>
      <c r="M667" t="b">
        <v>1</v>
      </c>
      <c r="N667">
        <v>200</v>
      </c>
      <c r="O667" t="b">
        <v>0</v>
      </c>
      <c r="P667" t="b">
        <v>0</v>
      </c>
      <c r="Q667">
        <v>0.7</v>
      </c>
      <c r="R667">
        <v>7286139.6828385592</v>
      </c>
      <c r="S667">
        <v>7796342.174069643</v>
      </c>
      <c r="T667">
        <v>6568232.4856948853</v>
      </c>
      <c r="U667">
        <v>6981232.6840713024</v>
      </c>
      <c r="V667">
        <v>15082481.856908202</v>
      </c>
      <c r="W667">
        <v>13549465.169766188</v>
      </c>
      <c r="X667">
        <v>125731.0054066679</v>
      </c>
      <c r="Y667">
        <v>112951.42899423013</v>
      </c>
      <c r="Z667">
        <v>7274.8121893310545</v>
      </c>
      <c r="AA667">
        <v>3387.3662924415466</v>
      </c>
      <c r="AB667">
        <v>65682.32485694885</v>
      </c>
      <c r="AC667">
        <v>69812.326840713024</v>
      </c>
      <c r="AD667">
        <v>135494.65169766187</v>
      </c>
      <c r="AE667">
        <v>1.1131422287104538</v>
      </c>
      <c r="AF667" s="1" t="s">
        <v>776</v>
      </c>
      <c r="AG667" s="1" t="s">
        <v>777</v>
      </c>
      <c r="AH667" s="1" t="s">
        <v>778</v>
      </c>
      <c r="AI667" s="1" t="str">
        <f>_xlfn.TEXTAFTER(_xlfn.TEXTBEFORE(batch_summary[[#This Row],[video]],"_",1),"-",3)</f>
        <v>20</v>
      </c>
      <c r="AJ667" s="1" t="str">
        <f>_xlfn.TEXTBEFORE(_xlfn.TEXTAFTER(batch_summary[[#This Row],[video]],"_",1),"_",1)</f>
        <v>20260319</v>
      </c>
      <c r="AK667" s="1" t="str">
        <f>_xlfn.TEXTBEFORE(_xlfn.TEXTAFTER(batch_summary[[#This Row],[video]],"_",2),".",1)</f>
        <v>160000</v>
      </c>
    </row>
    <row r="668" spans="1:37" x14ac:dyDescent="0.2">
      <c r="A668" s="1" t="s">
        <v>779</v>
      </c>
      <c r="B668" s="1" t="s">
        <v>780</v>
      </c>
      <c r="C668">
        <v>119.95833333333333</v>
      </c>
      <c r="D668">
        <v>2879</v>
      </c>
      <c r="E668">
        <v>0.30229929368942976</v>
      </c>
      <c r="F668">
        <v>44.24671942088753</v>
      </c>
      <c r="G668">
        <v>1.0500149138222638E-4</v>
      </c>
      <c r="H668">
        <v>1.5368780625525366E-2</v>
      </c>
      <c r="I668">
        <v>5</v>
      </c>
      <c r="J668" t="b">
        <v>1</v>
      </c>
      <c r="K668">
        <v>0.65</v>
      </c>
      <c r="L668">
        <v>1.3</v>
      </c>
      <c r="M668" t="b">
        <v>1</v>
      </c>
      <c r="N668">
        <v>200</v>
      </c>
      <c r="O668" t="b">
        <v>0</v>
      </c>
      <c r="P668" t="b">
        <v>0</v>
      </c>
      <c r="Q668">
        <v>0.7</v>
      </c>
      <c r="R668">
        <v>9954336.3813946247</v>
      </c>
      <c r="S668">
        <v>10200553.477823436</v>
      </c>
      <c r="T668">
        <v>9254275.4425208569</v>
      </c>
      <c r="U668">
        <v>9435224.543746829</v>
      </c>
      <c r="V668">
        <v>20154889.859218061</v>
      </c>
      <c r="W668">
        <v>18689499.986267686</v>
      </c>
      <c r="X668">
        <v>168015.7542970592</v>
      </c>
      <c r="Y668">
        <v>155799.93041695884</v>
      </c>
      <c r="Z668">
        <v>8357.1561946868896</v>
      </c>
      <c r="AA668">
        <v>4672.3749965669213</v>
      </c>
      <c r="AB668">
        <v>92542.754425208564</v>
      </c>
      <c r="AC668">
        <v>94352.245437468286</v>
      </c>
      <c r="AD668">
        <v>186894.99986267684</v>
      </c>
      <c r="AE668">
        <v>1.0784071202561378</v>
      </c>
      <c r="AF668" s="1" t="s">
        <v>781</v>
      </c>
      <c r="AG668" s="1" t="s">
        <v>782</v>
      </c>
      <c r="AH668" s="1" t="s">
        <v>783</v>
      </c>
      <c r="AI668" s="1" t="str">
        <f>_xlfn.TEXTAFTER(_xlfn.TEXTBEFORE(batch_summary[[#This Row],[video]],"_",1),"-",3)</f>
        <v>20</v>
      </c>
      <c r="AJ668" s="1" t="str">
        <f>_xlfn.TEXTBEFORE(_xlfn.TEXTAFTER(batch_summary[[#This Row],[video]],"_",1),"_",1)</f>
        <v>20260319</v>
      </c>
      <c r="AK668" s="1" t="str">
        <f>_xlfn.TEXTBEFORE(_xlfn.TEXTAFTER(batch_summary[[#This Row],[video]],"_",2),".",1)</f>
        <v>170000</v>
      </c>
    </row>
    <row r="669" spans="1:37" x14ac:dyDescent="0.2">
      <c r="A669" s="1" t="s">
        <v>784</v>
      </c>
      <c r="B669" s="1" t="s">
        <v>785</v>
      </c>
      <c r="C669">
        <v>119.95833333333333</v>
      </c>
      <c r="D669">
        <v>2879</v>
      </c>
      <c r="E669">
        <v>0.33085003308951855</v>
      </c>
      <c r="F669">
        <v>44.683195197023451</v>
      </c>
      <c r="G669">
        <v>1.1491838592897484E-4</v>
      </c>
      <c r="H669">
        <v>1.55203873556872E-2</v>
      </c>
      <c r="I669">
        <v>5</v>
      </c>
      <c r="J669" t="b">
        <v>1</v>
      </c>
      <c r="K669">
        <v>0.65</v>
      </c>
      <c r="L669">
        <v>1.3</v>
      </c>
      <c r="M669" t="b">
        <v>1</v>
      </c>
      <c r="N669">
        <v>200</v>
      </c>
      <c r="O669" t="b">
        <v>0</v>
      </c>
      <c r="P669" t="b">
        <v>0</v>
      </c>
      <c r="Q669">
        <v>0.7</v>
      </c>
      <c r="R669">
        <v>2439002.6531785131</v>
      </c>
      <c r="S669">
        <v>2396399.2792959809</v>
      </c>
      <c r="T669">
        <v>2174382.7604079247</v>
      </c>
      <c r="U669">
        <v>2101421.5428094268</v>
      </c>
      <c r="V669">
        <v>4835401.932474494</v>
      </c>
      <c r="W669">
        <v>4275804.3032173514</v>
      </c>
      <c r="X669">
        <v>40309.012288776612</v>
      </c>
      <c r="Y669">
        <v>35644.078943110952</v>
      </c>
      <c r="Z669">
        <v>5736.0502591514587</v>
      </c>
      <c r="AA669">
        <v>1068.951075804338</v>
      </c>
      <c r="AB669">
        <v>21743.827604079248</v>
      </c>
      <c r="AC669">
        <v>21014.215428094267</v>
      </c>
      <c r="AD669">
        <v>42758.043032173518</v>
      </c>
      <c r="AE669">
        <v>1.1308754071920621</v>
      </c>
      <c r="AF669" s="1" t="s">
        <v>786</v>
      </c>
      <c r="AG669" s="1" t="s">
        <v>787</v>
      </c>
      <c r="AH669" s="1" t="s">
        <v>788</v>
      </c>
      <c r="AI669" s="1" t="str">
        <f>_xlfn.TEXTAFTER(_xlfn.TEXTBEFORE(batch_summary[[#This Row],[video]],"_",1),"-",3)</f>
        <v>20</v>
      </c>
      <c r="AJ669" s="1" t="str">
        <f>_xlfn.TEXTBEFORE(_xlfn.TEXTAFTER(batch_summary[[#This Row],[video]],"_",1),"_",1)</f>
        <v>20260319</v>
      </c>
      <c r="AK669" s="1" t="str">
        <f>_xlfn.TEXTBEFORE(_xlfn.TEXTAFTER(batch_summary[[#This Row],[video]],"_",2),".",1)</f>
        <v>180000</v>
      </c>
    </row>
    <row r="670" spans="1:37" x14ac:dyDescent="0.2">
      <c r="A670" s="1" t="s">
        <v>789</v>
      </c>
      <c r="B670" s="1" t="s">
        <v>790</v>
      </c>
      <c r="C670">
        <v>119.95833333333333</v>
      </c>
      <c r="D670">
        <v>2879</v>
      </c>
      <c r="E670">
        <v>0.35192173905670643</v>
      </c>
      <c r="F670">
        <v>44.413468383252621</v>
      </c>
      <c r="G670">
        <v>1.2223749185714012E-4</v>
      </c>
      <c r="H670">
        <v>1.5426699681574374E-2</v>
      </c>
      <c r="I670">
        <v>5</v>
      </c>
      <c r="J670" t="b">
        <v>1</v>
      </c>
      <c r="K670">
        <v>0.65</v>
      </c>
      <c r="L670">
        <v>1.3</v>
      </c>
      <c r="M670" t="b">
        <v>1</v>
      </c>
      <c r="N670">
        <v>200</v>
      </c>
      <c r="O670" t="b">
        <v>0</v>
      </c>
      <c r="P670" t="b">
        <v>0</v>
      </c>
      <c r="Q670">
        <v>0.7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s="1" t="s">
        <v>791</v>
      </c>
      <c r="AG670" s="1" t="s">
        <v>792</v>
      </c>
      <c r="AH670" s="1" t="s">
        <v>793</v>
      </c>
      <c r="AI670" s="1" t="str">
        <f>_xlfn.TEXTAFTER(_xlfn.TEXTBEFORE(batch_summary[[#This Row],[video]],"_",1),"-",3)</f>
        <v>20</v>
      </c>
      <c r="AJ670" s="1" t="str">
        <f>_xlfn.TEXTBEFORE(_xlfn.TEXTAFTER(batch_summary[[#This Row],[video]],"_",1),"_",1)</f>
        <v>20260319</v>
      </c>
      <c r="AK670" s="1" t="str">
        <f>_xlfn.TEXTBEFORE(_xlfn.TEXTAFTER(batch_summary[[#This Row],[video]],"_",2),".",1)</f>
        <v>190000</v>
      </c>
    </row>
    <row r="671" spans="1:37" x14ac:dyDescent="0.2">
      <c r="A671" s="1" t="s">
        <v>794</v>
      </c>
      <c r="B671" s="1" t="s">
        <v>795</v>
      </c>
      <c r="C671">
        <v>119.95833333333333</v>
      </c>
      <c r="D671">
        <v>2879</v>
      </c>
      <c r="E671">
        <v>0.3413242269307375</v>
      </c>
      <c r="F671">
        <v>44.046240895986557</v>
      </c>
      <c r="G671">
        <v>1.1855652203221171E-4</v>
      </c>
      <c r="H671">
        <v>1.5299145847859172E-2</v>
      </c>
      <c r="I671">
        <v>5</v>
      </c>
      <c r="J671" t="b">
        <v>1</v>
      </c>
      <c r="K671">
        <v>0.65</v>
      </c>
      <c r="L671">
        <v>1.3</v>
      </c>
      <c r="M671" t="b">
        <v>1</v>
      </c>
      <c r="N671">
        <v>200</v>
      </c>
      <c r="O671" t="b">
        <v>0</v>
      </c>
      <c r="P671" t="b">
        <v>0</v>
      </c>
      <c r="Q671">
        <v>0.7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s="1" t="s">
        <v>796</v>
      </c>
      <c r="AG671" s="1" t="s">
        <v>797</v>
      </c>
      <c r="AH671" s="1" t="s">
        <v>798</v>
      </c>
      <c r="AI671" s="1" t="str">
        <f>_xlfn.TEXTAFTER(_xlfn.TEXTBEFORE(batch_summary[[#This Row],[video]],"_",1),"-",3)</f>
        <v>20</v>
      </c>
      <c r="AJ671" s="1" t="str">
        <f>_xlfn.TEXTBEFORE(_xlfn.TEXTAFTER(batch_summary[[#This Row],[video]],"_",1),"_",1)</f>
        <v>20260320</v>
      </c>
      <c r="AK671" s="1" t="str">
        <f>_xlfn.TEXTBEFORE(_xlfn.TEXTAFTER(batch_summary[[#This Row],[video]],"_",2),".",1)</f>
        <v>060000</v>
      </c>
    </row>
    <row r="672" spans="1:37" x14ac:dyDescent="0.2">
      <c r="A672" s="1" t="s">
        <v>799</v>
      </c>
      <c r="B672" s="1" t="s">
        <v>800</v>
      </c>
      <c r="C672">
        <v>119.95833333333333</v>
      </c>
      <c r="D672">
        <v>2879</v>
      </c>
      <c r="E672">
        <v>0.32019436359405518</v>
      </c>
      <c r="F672">
        <v>43.508756524883211</v>
      </c>
      <c r="G672">
        <v>1.1121721555889378E-4</v>
      </c>
      <c r="H672">
        <v>1.5112454506732619E-2</v>
      </c>
      <c r="I672">
        <v>5</v>
      </c>
      <c r="J672" t="b">
        <v>1</v>
      </c>
      <c r="K672">
        <v>0.65</v>
      </c>
      <c r="L672">
        <v>1.3</v>
      </c>
      <c r="M672" t="b">
        <v>1</v>
      </c>
      <c r="N672">
        <v>200</v>
      </c>
      <c r="O672" t="b">
        <v>0</v>
      </c>
      <c r="P672" t="b">
        <v>0</v>
      </c>
      <c r="Q672">
        <v>0.7</v>
      </c>
      <c r="R672">
        <v>14655.764615476131</v>
      </c>
      <c r="S672">
        <v>12761.114874958992</v>
      </c>
      <c r="T672">
        <v>0</v>
      </c>
      <c r="U672">
        <v>444.19873046875</v>
      </c>
      <c r="V672">
        <v>27416.879490435123</v>
      </c>
      <c r="W672">
        <v>444.19873046875</v>
      </c>
      <c r="X672">
        <v>228.55335455729175</v>
      </c>
      <c r="Y672">
        <v>3.7029418309308788</v>
      </c>
      <c r="Z672">
        <v>4.4419873046875002</v>
      </c>
      <c r="AA672">
        <v>0.11104968261718751</v>
      </c>
      <c r="AB672">
        <v>0</v>
      </c>
      <c r="AC672">
        <v>4.4419873046875002</v>
      </c>
      <c r="AD672">
        <v>4.4419873046875002</v>
      </c>
      <c r="AE672">
        <v>61.722102315562424</v>
      </c>
      <c r="AF672" s="1" t="s">
        <v>801</v>
      </c>
      <c r="AG672" s="1" t="s">
        <v>802</v>
      </c>
      <c r="AH672" s="1" t="s">
        <v>803</v>
      </c>
      <c r="AI672" s="1" t="str">
        <f>_xlfn.TEXTAFTER(_xlfn.TEXTBEFORE(batch_summary[[#This Row],[video]],"_",1),"-",3)</f>
        <v>20</v>
      </c>
      <c r="AJ672" s="1" t="str">
        <f>_xlfn.TEXTBEFORE(_xlfn.TEXTAFTER(batch_summary[[#This Row],[video]],"_",1),"_",1)</f>
        <v>20260320</v>
      </c>
      <c r="AK672" s="1" t="str">
        <f>_xlfn.TEXTBEFORE(_xlfn.TEXTAFTER(batch_summary[[#This Row],[video]],"_",2),".",1)</f>
        <v>070000</v>
      </c>
    </row>
    <row r="673" spans="1:37" x14ac:dyDescent="0.2">
      <c r="A673" s="1" t="s">
        <v>804</v>
      </c>
      <c r="B673" s="1" t="s">
        <v>805</v>
      </c>
      <c r="C673">
        <v>119.95833333333333</v>
      </c>
      <c r="D673">
        <v>2879</v>
      </c>
      <c r="E673">
        <v>0.32217201497405767</v>
      </c>
      <c r="F673">
        <v>43.190426011569798</v>
      </c>
      <c r="G673">
        <v>1.1190413858077724E-4</v>
      </c>
      <c r="H673">
        <v>1.50018846862E-2</v>
      </c>
      <c r="I673">
        <v>5</v>
      </c>
      <c r="J673" t="b">
        <v>1</v>
      </c>
      <c r="K673">
        <v>0.65</v>
      </c>
      <c r="L673">
        <v>1.3</v>
      </c>
      <c r="M673" t="b">
        <v>1</v>
      </c>
      <c r="N673">
        <v>200</v>
      </c>
      <c r="O673" t="b">
        <v>0</v>
      </c>
      <c r="P673" t="b">
        <v>0</v>
      </c>
      <c r="Q673">
        <v>0.7</v>
      </c>
      <c r="R673">
        <v>105892.42997688055</v>
      </c>
      <c r="S673">
        <v>79556.90804797411</v>
      </c>
      <c r="T673">
        <v>79335.952394485474</v>
      </c>
      <c r="U673">
        <v>51022.844635009766</v>
      </c>
      <c r="V673">
        <v>185449.33802485466</v>
      </c>
      <c r="W673">
        <v>130358.79702949524</v>
      </c>
      <c r="X673">
        <v>1545.9479376854852</v>
      </c>
      <c r="Y673">
        <v>1086.7006351885675</v>
      </c>
      <c r="Z673">
        <v>809.89291332244875</v>
      </c>
      <c r="AA673">
        <v>32.589699257373809</v>
      </c>
      <c r="AB673">
        <v>793.35952394485469</v>
      </c>
      <c r="AC673">
        <v>510.22844635009767</v>
      </c>
      <c r="AD673">
        <v>1303.5879702949524</v>
      </c>
      <c r="AE673">
        <v>1.4226070065903917</v>
      </c>
      <c r="AF673" s="1" t="s">
        <v>806</v>
      </c>
      <c r="AG673" s="1" t="s">
        <v>807</v>
      </c>
      <c r="AH673" s="1" t="s">
        <v>808</v>
      </c>
      <c r="AI673" s="1" t="str">
        <f>_xlfn.TEXTAFTER(_xlfn.TEXTBEFORE(batch_summary[[#This Row],[video]],"_",1),"-",3)</f>
        <v>20</v>
      </c>
      <c r="AJ673" s="1" t="str">
        <f>_xlfn.TEXTBEFORE(_xlfn.TEXTAFTER(batch_summary[[#This Row],[video]],"_",1),"_",1)</f>
        <v>20260320</v>
      </c>
      <c r="AK673" s="1" t="str">
        <f>_xlfn.TEXTBEFORE(_xlfn.TEXTAFTER(batch_summary[[#This Row],[video]],"_",2),".",1)</f>
        <v>080000</v>
      </c>
    </row>
    <row r="674" spans="1:37" x14ac:dyDescent="0.2">
      <c r="A674" s="1" t="s">
        <v>809</v>
      </c>
      <c r="B674" s="1" t="s">
        <v>810</v>
      </c>
      <c r="C674">
        <v>119.95833333333333</v>
      </c>
      <c r="D674">
        <v>2879</v>
      </c>
      <c r="E674">
        <v>0.33059618528932333</v>
      </c>
      <c r="F674">
        <v>43.362519976682961</v>
      </c>
      <c r="G674">
        <v>1.1483021371633321E-4</v>
      </c>
      <c r="H674">
        <v>1.5061660290615826E-2</v>
      </c>
      <c r="I674">
        <v>5</v>
      </c>
      <c r="J674" t="b">
        <v>1</v>
      </c>
      <c r="K674">
        <v>0.65</v>
      </c>
      <c r="L674">
        <v>1.3</v>
      </c>
      <c r="M674" t="b">
        <v>1</v>
      </c>
      <c r="N674">
        <v>200</v>
      </c>
      <c r="O674" t="b">
        <v>0</v>
      </c>
      <c r="P674" t="b">
        <v>0</v>
      </c>
      <c r="Q674">
        <v>0.7</v>
      </c>
      <c r="R674">
        <v>25185.317132115364</v>
      </c>
      <c r="S674">
        <v>18686.694770753384</v>
      </c>
      <c r="T674">
        <v>264.17117309570312</v>
      </c>
      <c r="U674">
        <v>664.74029541015625</v>
      </c>
      <c r="V674">
        <v>43872.011902868748</v>
      </c>
      <c r="W674">
        <v>928.91146850585938</v>
      </c>
      <c r="X674">
        <v>365.72708776271276</v>
      </c>
      <c r="Y674">
        <v>7.7436176603475602</v>
      </c>
      <c r="Z674">
        <v>3.6945178222656252</v>
      </c>
      <c r="AA674">
        <v>0.23222786712646487</v>
      </c>
      <c r="AB674">
        <v>2.6417117309570313</v>
      </c>
      <c r="AC674">
        <v>6.6474029541015627</v>
      </c>
      <c r="AD674">
        <v>9.2891146850585944</v>
      </c>
      <c r="AE674">
        <v>47.229486759848321</v>
      </c>
      <c r="AF674" s="1" t="s">
        <v>811</v>
      </c>
      <c r="AG674" s="1" t="s">
        <v>812</v>
      </c>
      <c r="AH674" s="1" t="s">
        <v>813</v>
      </c>
      <c r="AI674" s="1" t="str">
        <f>_xlfn.TEXTAFTER(_xlfn.TEXTBEFORE(batch_summary[[#This Row],[video]],"_",1),"-",3)</f>
        <v>20</v>
      </c>
      <c r="AJ674" s="1" t="str">
        <f>_xlfn.TEXTBEFORE(_xlfn.TEXTAFTER(batch_summary[[#This Row],[video]],"_",1),"_",1)</f>
        <v>20260320</v>
      </c>
      <c r="AK674" s="1" t="str">
        <f>_xlfn.TEXTBEFORE(_xlfn.TEXTAFTER(batch_summary[[#This Row],[video]],"_",2),".",1)</f>
        <v>090000</v>
      </c>
    </row>
    <row r="675" spans="1:37" x14ac:dyDescent="0.2">
      <c r="A675" s="1" t="s">
        <v>814</v>
      </c>
      <c r="B675" s="1" t="s">
        <v>815</v>
      </c>
      <c r="C675">
        <v>119.95833333333333</v>
      </c>
      <c r="D675">
        <v>2879</v>
      </c>
      <c r="E675">
        <v>0.33509091846644878</v>
      </c>
      <c r="F675">
        <v>44.717550902627409</v>
      </c>
      <c r="G675">
        <v>1.1639142704635248E-4</v>
      </c>
      <c r="H675">
        <v>1.5532320563607992E-2</v>
      </c>
      <c r="I675">
        <v>5</v>
      </c>
      <c r="J675" t="b">
        <v>1</v>
      </c>
      <c r="K675">
        <v>0.65</v>
      </c>
      <c r="L675">
        <v>1.3</v>
      </c>
      <c r="M675" t="b">
        <v>1</v>
      </c>
      <c r="N675">
        <v>200</v>
      </c>
      <c r="O675" t="b">
        <v>0</v>
      </c>
      <c r="P675" t="b">
        <v>0</v>
      </c>
      <c r="Q675">
        <v>0.7</v>
      </c>
      <c r="R675">
        <v>3132841.721398592</v>
      </c>
      <c r="S675">
        <v>2705730.563408196</v>
      </c>
      <c r="T675">
        <v>2702811.3232579231</v>
      </c>
      <c r="U675">
        <v>2292540.9941637516</v>
      </c>
      <c r="V675">
        <v>5838572.284806788</v>
      </c>
      <c r="W675">
        <v>4995352.3174216747</v>
      </c>
      <c r="X675">
        <v>48671.668925100006</v>
      </c>
      <c r="Y675">
        <v>41642.395143494337</v>
      </c>
      <c r="Z675">
        <v>7001.3905050659178</v>
      </c>
      <c r="AA675">
        <v>1248.8380793554188</v>
      </c>
      <c r="AB675">
        <v>27028.113232579231</v>
      </c>
      <c r="AC675">
        <v>22925.409941637517</v>
      </c>
      <c r="AD675">
        <v>49953.523174216753</v>
      </c>
      <c r="AE675">
        <v>1.1688009000775219</v>
      </c>
      <c r="AF675" s="1" t="s">
        <v>816</v>
      </c>
      <c r="AG675" s="1" t="s">
        <v>817</v>
      </c>
      <c r="AH675" s="1" t="s">
        <v>818</v>
      </c>
      <c r="AI675" s="1" t="str">
        <f>_xlfn.TEXTAFTER(_xlfn.TEXTBEFORE(batch_summary[[#This Row],[video]],"_",1),"-",3)</f>
        <v>20</v>
      </c>
      <c r="AJ675" s="1" t="str">
        <f>_xlfn.TEXTBEFORE(_xlfn.TEXTAFTER(batch_summary[[#This Row],[video]],"_",1),"_",1)</f>
        <v>20260320</v>
      </c>
      <c r="AK675" s="1" t="str">
        <f>_xlfn.TEXTBEFORE(_xlfn.TEXTAFTER(batch_summary[[#This Row],[video]],"_",2),".",1)</f>
        <v>100000</v>
      </c>
    </row>
    <row r="676" spans="1:37" x14ac:dyDescent="0.2">
      <c r="A676" s="1" t="s">
        <v>819</v>
      </c>
      <c r="B676" s="1" t="s">
        <v>820</v>
      </c>
      <c r="C676">
        <v>119.95833333333333</v>
      </c>
      <c r="D676">
        <v>2879</v>
      </c>
      <c r="E676">
        <v>0.30352408532053232</v>
      </c>
      <c r="F676">
        <v>43.976288974285126</v>
      </c>
      <c r="G676">
        <v>1.0542691397031342E-4</v>
      </c>
      <c r="H676">
        <v>1.5274848549595389E-2</v>
      </c>
      <c r="I676">
        <v>5</v>
      </c>
      <c r="J676" t="b">
        <v>1</v>
      </c>
      <c r="K676">
        <v>0.65</v>
      </c>
      <c r="L676">
        <v>1.3</v>
      </c>
      <c r="M676" t="b">
        <v>1</v>
      </c>
      <c r="N676">
        <v>200</v>
      </c>
      <c r="O676" t="b">
        <v>0</v>
      </c>
      <c r="P676" t="b">
        <v>0</v>
      </c>
      <c r="Q676">
        <v>0.7</v>
      </c>
      <c r="R676">
        <v>14746298.682978153</v>
      </c>
      <c r="S676">
        <v>16642655.461935997</v>
      </c>
      <c r="T676">
        <v>13615777.334852219</v>
      </c>
      <c r="U676">
        <v>15348729.754847884</v>
      </c>
      <c r="V676">
        <v>31388954.14491415</v>
      </c>
      <c r="W676">
        <v>28964507.089700103</v>
      </c>
      <c r="X676">
        <v>261665.47394162545</v>
      </c>
      <c r="Y676">
        <v>241454.73086238364</v>
      </c>
      <c r="Z676">
        <v>12452.404688644408</v>
      </c>
      <c r="AA676">
        <v>7241.1267724250256</v>
      </c>
      <c r="AB676">
        <v>136157.7733485222</v>
      </c>
      <c r="AC676">
        <v>153487.29754847885</v>
      </c>
      <c r="AD676">
        <v>289645.07089700107</v>
      </c>
      <c r="AE676">
        <v>1.0837040674542047</v>
      </c>
      <c r="AF676" s="1" t="s">
        <v>821</v>
      </c>
      <c r="AG676" s="1" t="s">
        <v>822</v>
      </c>
      <c r="AH676" s="1" t="s">
        <v>823</v>
      </c>
      <c r="AI676" s="1" t="str">
        <f>_xlfn.TEXTAFTER(_xlfn.TEXTBEFORE(batch_summary[[#This Row],[video]],"_",1),"-",3)</f>
        <v>20</v>
      </c>
      <c r="AJ676" s="1" t="str">
        <f>_xlfn.TEXTBEFORE(_xlfn.TEXTAFTER(batch_summary[[#This Row],[video]],"_",1),"_",1)</f>
        <v>20260320</v>
      </c>
      <c r="AK676" s="1" t="str">
        <f>_xlfn.TEXTBEFORE(_xlfn.TEXTAFTER(batch_summary[[#This Row],[video]],"_",2),".",1)</f>
        <v>110000</v>
      </c>
    </row>
    <row r="677" spans="1:37" x14ac:dyDescent="0.2">
      <c r="A677" s="1" t="s">
        <v>824</v>
      </c>
      <c r="B677" s="1" t="s">
        <v>825</v>
      </c>
      <c r="C677">
        <v>119.95833333333333</v>
      </c>
      <c r="D677">
        <v>2879</v>
      </c>
      <c r="E677">
        <v>0.29014314524829388</v>
      </c>
      <c r="F677">
        <v>44.083352696150541</v>
      </c>
      <c r="G677">
        <v>1.0077914041274536E-4</v>
      </c>
      <c r="H677">
        <v>1.5312036365456944E-2</v>
      </c>
      <c r="I677">
        <v>5</v>
      </c>
      <c r="J677" t="b">
        <v>1</v>
      </c>
      <c r="K677">
        <v>0.65</v>
      </c>
      <c r="L677">
        <v>1.3</v>
      </c>
      <c r="M677" t="b">
        <v>1</v>
      </c>
      <c r="N677">
        <v>200</v>
      </c>
      <c r="O677" t="b">
        <v>0</v>
      </c>
      <c r="P677" t="b">
        <v>0</v>
      </c>
      <c r="Q677">
        <v>0.7</v>
      </c>
      <c r="R677">
        <v>17281036.262162924</v>
      </c>
      <c r="S677">
        <v>16653177.151372969</v>
      </c>
      <c r="T677">
        <v>16068951.157530546</v>
      </c>
      <c r="U677">
        <v>15379143.909641683</v>
      </c>
      <c r="V677">
        <v>33934213.413535893</v>
      </c>
      <c r="W677">
        <v>31448095.067172229</v>
      </c>
      <c r="X677">
        <v>282883.33515972958</v>
      </c>
      <c r="Y677">
        <v>262158.48614523566</v>
      </c>
      <c r="Z677">
        <v>10659.256901454926</v>
      </c>
      <c r="AA677">
        <v>7862.0237667930578</v>
      </c>
      <c r="AB677">
        <v>160689.51157530546</v>
      </c>
      <c r="AC677">
        <v>153791.43909641684</v>
      </c>
      <c r="AD677">
        <v>314480.9506717223</v>
      </c>
      <c r="AE677">
        <v>1.0790546562853294</v>
      </c>
      <c r="AF677" s="1" t="s">
        <v>826</v>
      </c>
      <c r="AG677" s="1" t="s">
        <v>827</v>
      </c>
      <c r="AH677" s="1" t="s">
        <v>828</v>
      </c>
      <c r="AI677" s="1" t="str">
        <f>_xlfn.TEXTAFTER(_xlfn.TEXTBEFORE(batch_summary[[#This Row],[video]],"_",1),"-",3)</f>
        <v>20</v>
      </c>
      <c r="AJ677" s="1" t="str">
        <f>_xlfn.TEXTBEFORE(_xlfn.TEXTAFTER(batch_summary[[#This Row],[video]],"_",1),"_",1)</f>
        <v>20260320</v>
      </c>
      <c r="AK677" s="1" t="str">
        <f>_xlfn.TEXTBEFORE(_xlfn.TEXTAFTER(batch_summary[[#This Row],[video]],"_",2),".",1)</f>
        <v>120000</v>
      </c>
    </row>
    <row r="678" spans="1:37" x14ac:dyDescent="0.2">
      <c r="A678" s="1" t="s">
        <v>829</v>
      </c>
      <c r="B678" s="1" t="s">
        <v>830</v>
      </c>
      <c r="C678">
        <v>119.95833333333333</v>
      </c>
      <c r="D678">
        <v>2879</v>
      </c>
      <c r="E678">
        <v>0.29852310754358768</v>
      </c>
      <c r="F678">
        <v>44.225357376970351</v>
      </c>
      <c r="G678">
        <v>1.0368986020965186E-4</v>
      </c>
      <c r="H678">
        <v>1.5361360672792758E-2</v>
      </c>
      <c r="I678">
        <v>5</v>
      </c>
      <c r="J678" t="b">
        <v>1</v>
      </c>
      <c r="K678">
        <v>0.65</v>
      </c>
      <c r="L678">
        <v>1.3</v>
      </c>
      <c r="M678" t="b">
        <v>1</v>
      </c>
      <c r="N678">
        <v>200</v>
      </c>
      <c r="O678" t="b">
        <v>0</v>
      </c>
      <c r="P678" t="b">
        <v>0</v>
      </c>
      <c r="Q678">
        <v>0.7</v>
      </c>
      <c r="R678">
        <v>12859501.314842284</v>
      </c>
      <c r="S678">
        <v>11588881.285525322</v>
      </c>
      <c r="T678">
        <v>11733374.419878602</v>
      </c>
      <c r="U678">
        <v>10477990.090651989</v>
      </c>
      <c r="V678">
        <v>24448382.600367606</v>
      </c>
      <c r="W678">
        <v>22211364.510530591</v>
      </c>
      <c r="X678">
        <v>203807.28808920548</v>
      </c>
      <c r="Y678">
        <v>185158.99557232865</v>
      </c>
      <c r="Z678">
        <v>8482.0954238891609</v>
      </c>
      <c r="AA678">
        <v>5552.8411276326478</v>
      </c>
      <c r="AB678">
        <v>117333.74419878602</v>
      </c>
      <c r="AC678">
        <v>104779.90090651989</v>
      </c>
      <c r="AD678">
        <v>222113.64510530591</v>
      </c>
      <c r="AE678">
        <v>1.1007150231034399</v>
      </c>
      <c r="AF678" s="1" t="s">
        <v>831</v>
      </c>
      <c r="AG678" s="1" t="s">
        <v>832</v>
      </c>
      <c r="AH678" s="1" t="s">
        <v>833</v>
      </c>
      <c r="AI678" s="1" t="str">
        <f>_xlfn.TEXTAFTER(_xlfn.TEXTBEFORE(batch_summary[[#This Row],[video]],"_",1),"-",3)</f>
        <v>20</v>
      </c>
      <c r="AJ678" s="1" t="str">
        <f>_xlfn.TEXTBEFORE(_xlfn.TEXTAFTER(batch_summary[[#This Row],[video]],"_",1),"_",1)</f>
        <v>20260320</v>
      </c>
      <c r="AK678" s="1" t="str">
        <f>_xlfn.TEXTBEFORE(_xlfn.TEXTAFTER(batch_summary[[#This Row],[video]],"_",2),".",1)</f>
        <v>130000</v>
      </c>
    </row>
    <row r="679" spans="1:37" x14ac:dyDescent="0.2">
      <c r="A679" s="1" t="s">
        <v>834</v>
      </c>
      <c r="B679" s="1" t="s">
        <v>835</v>
      </c>
      <c r="C679">
        <v>119.95833333333333</v>
      </c>
      <c r="D679">
        <v>2879</v>
      </c>
      <c r="E679">
        <v>0.29609582386910915</v>
      </c>
      <c r="F679">
        <v>43.850521374493837</v>
      </c>
      <c r="G679">
        <v>1.0284676063532794E-4</v>
      </c>
      <c r="H679">
        <v>1.5231164075892267E-2</v>
      </c>
      <c r="I679">
        <v>5</v>
      </c>
      <c r="J679" t="b">
        <v>1</v>
      </c>
      <c r="K679">
        <v>0.65</v>
      </c>
      <c r="L679">
        <v>1.3</v>
      </c>
      <c r="M679" t="b">
        <v>1</v>
      </c>
      <c r="N679">
        <v>200</v>
      </c>
      <c r="O679" t="b">
        <v>0</v>
      </c>
      <c r="P679" t="b">
        <v>0</v>
      </c>
      <c r="Q679">
        <v>0.7</v>
      </c>
      <c r="R679">
        <v>15435792.570090175</v>
      </c>
      <c r="S679">
        <v>17606929.163501501</v>
      </c>
      <c r="T679">
        <v>14314601.32116133</v>
      </c>
      <c r="U679">
        <v>16450167.468152523</v>
      </c>
      <c r="V679">
        <v>33042721.733591676</v>
      </c>
      <c r="W679">
        <v>30764768.789313853</v>
      </c>
      <c r="X679">
        <v>275451.65738318872</v>
      </c>
      <c r="Y679">
        <v>256462.12259240448</v>
      </c>
      <c r="Z679">
        <v>11470.740013198852</v>
      </c>
      <c r="AA679">
        <v>7691.1921973284625</v>
      </c>
      <c r="AB679">
        <v>143146.01321161329</v>
      </c>
      <c r="AC679">
        <v>164501.67468152524</v>
      </c>
      <c r="AD679">
        <v>307647.6878931385</v>
      </c>
      <c r="AE679">
        <v>1.0740442081615471</v>
      </c>
      <c r="AF679" s="1" t="s">
        <v>836</v>
      </c>
      <c r="AG679" s="1" t="s">
        <v>837</v>
      </c>
      <c r="AH679" s="1" t="s">
        <v>838</v>
      </c>
      <c r="AI679" s="1" t="str">
        <f>_xlfn.TEXTAFTER(_xlfn.TEXTBEFORE(batch_summary[[#This Row],[video]],"_",1),"-",3)</f>
        <v>20</v>
      </c>
      <c r="AJ679" s="1" t="str">
        <f>_xlfn.TEXTBEFORE(_xlfn.TEXTAFTER(batch_summary[[#This Row],[video]],"_",1),"_",1)</f>
        <v>20260320</v>
      </c>
      <c r="AK679" s="1" t="str">
        <f>_xlfn.TEXTBEFORE(_xlfn.TEXTAFTER(batch_summary[[#This Row],[video]],"_",2),".",1)</f>
        <v>140000</v>
      </c>
    </row>
    <row r="680" spans="1:37" x14ac:dyDescent="0.2">
      <c r="A680" s="1" t="s">
        <v>839</v>
      </c>
      <c r="B680" s="1" t="s">
        <v>840</v>
      </c>
      <c r="C680">
        <v>119.95833333333333</v>
      </c>
      <c r="D680">
        <v>2879</v>
      </c>
      <c r="E680">
        <v>0.27838735189288855</v>
      </c>
      <c r="F680">
        <v>43.426837700419128</v>
      </c>
      <c r="G680">
        <v>9.6695849910694186E-5</v>
      </c>
      <c r="H680">
        <v>1.5084000590628388E-2</v>
      </c>
      <c r="I680">
        <v>5</v>
      </c>
      <c r="J680" t="b">
        <v>1</v>
      </c>
      <c r="K680">
        <v>0.65</v>
      </c>
      <c r="L680">
        <v>1.3</v>
      </c>
      <c r="M680" t="b">
        <v>1</v>
      </c>
      <c r="N680">
        <v>200</v>
      </c>
      <c r="O680" t="b">
        <v>0</v>
      </c>
      <c r="P680" t="b">
        <v>0</v>
      </c>
      <c r="Q680">
        <v>0.7</v>
      </c>
      <c r="R680">
        <v>20403433.287445068</v>
      </c>
      <c r="S680">
        <v>25832551.463508606</v>
      </c>
      <c r="T680">
        <v>19318996.858348846</v>
      </c>
      <c r="U680">
        <v>24658761.75727284</v>
      </c>
      <c r="V680">
        <v>46235984.750953674</v>
      </c>
      <c r="W680">
        <v>43977758.615621686</v>
      </c>
      <c r="X680">
        <v>385433.70407186117</v>
      </c>
      <c r="Y680">
        <v>366608.61645533884</v>
      </c>
      <c r="Z680">
        <v>13952.500248413086</v>
      </c>
      <c r="AA680">
        <v>10994.439653905423</v>
      </c>
      <c r="AB680">
        <v>193189.96858348846</v>
      </c>
      <c r="AC680">
        <v>246587.6175727284</v>
      </c>
      <c r="AD680">
        <v>439777.58615621686</v>
      </c>
      <c r="AE680">
        <v>1.051349277598923</v>
      </c>
      <c r="AF680" s="1" t="s">
        <v>841</v>
      </c>
      <c r="AG680" s="1" t="s">
        <v>842</v>
      </c>
      <c r="AH680" s="1" t="s">
        <v>843</v>
      </c>
      <c r="AI680" s="1" t="str">
        <f>_xlfn.TEXTAFTER(_xlfn.TEXTBEFORE(batch_summary[[#This Row],[video]],"_",1),"-",3)</f>
        <v>20</v>
      </c>
      <c r="AJ680" s="1" t="str">
        <f>_xlfn.TEXTBEFORE(_xlfn.TEXTAFTER(batch_summary[[#This Row],[video]],"_",1),"_",1)</f>
        <v>20260320</v>
      </c>
      <c r="AK680" s="1" t="str">
        <f>_xlfn.TEXTBEFORE(_xlfn.TEXTAFTER(batch_summary[[#This Row],[video]],"_",2),".",1)</f>
        <v>150000</v>
      </c>
    </row>
    <row r="681" spans="1:37" x14ac:dyDescent="0.2">
      <c r="A681" s="1" t="s">
        <v>844</v>
      </c>
      <c r="B681" s="1" t="s">
        <v>845</v>
      </c>
      <c r="C681">
        <v>119.95833333333333</v>
      </c>
      <c r="D681">
        <v>2879</v>
      </c>
      <c r="E681">
        <v>0.27129257004708052</v>
      </c>
      <c r="F681">
        <v>43.654278702102602</v>
      </c>
      <c r="G681">
        <v>9.4231528324793514E-5</v>
      </c>
      <c r="H681">
        <v>1.516300059121313E-2</v>
      </c>
      <c r="I681">
        <v>5</v>
      </c>
      <c r="J681" t="b">
        <v>1</v>
      </c>
      <c r="K681">
        <v>0.65</v>
      </c>
      <c r="L681">
        <v>1.3</v>
      </c>
      <c r="M681" t="b">
        <v>1</v>
      </c>
      <c r="N681">
        <v>200</v>
      </c>
      <c r="O681" t="b">
        <v>0</v>
      </c>
      <c r="P681" t="b">
        <v>0</v>
      </c>
      <c r="Q681">
        <v>0.7</v>
      </c>
      <c r="R681">
        <v>11870705.599143982</v>
      </c>
      <c r="S681">
        <v>11605692.038049698</v>
      </c>
      <c r="T681">
        <v>10580225.312197447</v>
      </c>
      <c r="U681">
        <v>10318196.809075832</v>
      </c>
      <c r="V681">
        <v>23476397.63719368</v>
      </c>
      <c r="W681">
        <v>20898422.121273279</v>
      </c>
      <c r="X681">
        <v>195704.59996271218</v>
      </c>
      <c r="Y681">
        <v>174214.00865250389</v>
      </c>
      <c r="Z681">
        <v>8543.2647772216787</v>
      </c>
      <c r="AA681">
        <v>5224.6055303183193</v>
      </c>
      <c r="AB681">
        <v>105802.25312197447</v>
      </c>
      <c r="AC681">
        <v>103181.96809075832</v>
      </c>
      <c r="AD681">
        <v>208984.22121273278</v>
      </c>
      <c r="AE681">
        <v>1.1233574238744171</v>
      </c>
      <c r="AF681" s="1" t="s">
        <v>846</v>
      </c>
      <c r="AG681" s="1" t="s">
        <v>847</v>
      </c>
      <c r="AH681" s="1" t="s">
        <v>848</v>
      </c>
      <c r="AI681" s="1" t="str">
        <f>_xlfn.TEXTAFTER(_xlfn.TEXTBEFORE(batch_summary[[#This Row],[video]],"_",1),"-",3)</f>
        <v>20</v>
      </c>
      <c r="AJ681" s="1" t="str">
        <f>_xlfn.TEXTBEFORE(_xlfn.TEXTAFTER(batch_summary[[#This Row],[video]],"_",1),"_",1)</f>
        <v>20260320</v>
      </c>
      <c r="AK681" s="1" t="str">
        <f>_xlfn.TEXTBEFORE(_xlfn.TEXTAFTER(batch_summary[[#This Row],[video]],"_",2),".",1)</f>
        <v>160000</v>
      </c>
    </row>
    <row r="682" spans="1:37" x14ac:dyDescent="0.2">
      <c r="A682" s="1" t="s">
        <v>849</v>
      </c>
      <c r="B682" s="1" t="s">
        <v>850</v>
      </c>
      <c r="C682">
        <v>119.95833333333333</v>
      </c>
      <c r="D682">
        <v>2879</v>
      </c>
      <c r="E682">
        <v>0.27336384542286396</v>
      </c>
      <c r="F682">
        <v>43.425953896716237</v>
      </c>
      <c r="G682">
        <v>9.4950970970081265E-5</v>
      </c>
      <c r="H682">
        <v>1.5083693607751384E-2</v>
      </c>
      <c r="I682">
        <v>5</v>
      </c>
      <c r="J682" t="b">
        <v>1</v>
      </c>
      <c r="K682">
        <v>0.65</v>
      </c>
      <c r="L682">
        <v>1.3</v>
      </c>
      <c r="M682" t="b">
        <v>1</v>
      </c>
      <c r="N682">
        <v>200</v>
      </c>
      <c r="O682" t="b">
        <v>0</v>
      </c>
      <c r="P682" t="b">
        <v>0</v>
      </c>
      <c r="Q682">
        <v>0.7</v>
      </c>
      <c r="R682">
        <v>17851909.586799622</v>
      </c>
      <c r="S682">
        <v>17329228.899866104</v>
      </c>
      <c r="T682">
        <v>16839385.723269463</v>
      </c>
      <c r="U682">
        <v>16272176.043204069</v>
      </c>
      <c r="V682">
        <v>35181138.486665726</v>
      </c>
      <c r="W682">
        <v>33111561.766473532</v>
      </c>
      <c r="X682">
        <v>293277.98668981501</v>
      </c>
      <c r="Y682">
        <v>276025.52358296799</v>
      </c>
      <c r="Z682">
        <v>12198.254396972658</v>
      </c>
      <c r="AA682">
        <v>8277.8904416183832</v>
      </c>
      <c r="AB682">
        <v>168393.85723269463</v>
      </c>
      <c r="AC682">
        <v>162721.7604320407</v>
      </c>
      <c r="AD682">
        <v>331115.6176647353</v>
      </c>
      <c r="AE682">
        <v>1.0625031442125361</v>
      </c>
      <c r="AF682" s="1" t="s">
        <v>851</v>
      </c>
      <c r="AG682" s="1" t="s">
        <v>852</v>
      </c>
      <c r="AH682" s="1" t="s">
        <v>853</v>
      </c>
      <c r="AI682" s="1" t="str">
        <f>_xlfn.TEXTAFTER(_xlfn.TEXTBEFORE(batch_summary[[#This Row],[video]],"_",1),"-",3)</f>
        <v>20</v>
      </c>
      <c r="AJ682" s="1" t="str">
        <f>_xlfn.TEXTBEFORE(_xlfn.TEXTAFTER(batch_summary[[#This Row],[video]],"_",1),"_",1)</f>
        <v>20260320</v>
      </c>
      <c r="AK682" s="1" t="str">
        <f>_xlfn.TEXTBEFORE(_xlfn.TEXTAFTER(batch_summary[[#This Row],[video]],"_",2),".",1)</f>
        <v>170000</v>
      </c>
    </row>
    <row r="683" spans="1:37" x14ac:dyDescent="0.2">
      <c r="A683" s="1" t="s">
        <v>854</v>
      </c>
      <c r="B683" s="1" t="s">
        <v>855</v>
      </c>
      <c r="C683">
        <v>119.95833333333333</v>
      </c>
      <c r="D683">
        <v>2879</v>
      </c>
      <c r="E683">
        <v>0.29466828797012568</v>
      </c>
      <c r="F683">
        <v>44.105497072450817</v>
      </c>
      <c r="G683">
        <v>1.0235091628000197E-4</v>
      </c>
      <c r="H683">
        <v>1.531972805573144E-2</v>
      </c>
      <c r="I683">
        <v>5</v>
      </c>
      <c r="J683" t="b">
        <v>1</v>
      </c>
      <c r="K683">
        <v>0.65</v>
      </c>
      <c r="L683">
        <v>1.3</v>
      </c>
      <c r="M683" t="b">
        <v>1</v>
      </c>
      <c r="N683">
        <v>200</v>
      </c>
      <c r="O683" t="b">
        <v>0</v>
      </c>
      <c r="P683" t="b">
        <v>0</v>
      </c>
      <c r="Q683">
        <v>0.7</v>
      </c>
      <c r="R683">
        <v>12434172.047286212</v>
      </c>
      <c r="S683">
        <v>11069123.992830753</v>
      </c>
      <c r="T683">
        <v>11654388.208141863</v>
      </c>
      <c r="U683">
        <v>10291402.533976197</v>
      </c>
      <c r="V683">
        <v>23503296.040116966</v>
      </c>
      <c r="W683">
        <v>21945790.742118061</v>
      </c>
      <c r="X683">
        <v>195928.83117846726</v>
      </c>
      <c r="Y683">
        <v>182945.11212602761</v>
      </c>
      <c r="Z683">
        <v>10937.90655456543</v>
      </c>
      <c r="AA683">
        <v>5486.4476855295152</v>
      </c>
      <c r="AB683">
        <v>116543.88208141863</v>
      </c>
      <c r="AC683">
        <v>102914.02533976197</v>
      </c>
      <c r="AD683">
        <v>219457.9074211806</v>
      </c>
      <c r="AE683">
        <v>1.0709705709081496</v>
      </c>
      <c r="AF683" s="1" t="s">
        <v>856</v>
      </c>
      <c r="AG683" s="1" t="s">
        <v>857</v>
      </c>
      <c r="AH683" s="1" t="s">
        <v>858</v>
      </c>
      <c r="AI683" s="1" t="str">
        <f>_xlfn.TEXTAFTER(_xlfn.TEXTBEFORE(batch_summary[[#This Row],[video]],"_",1),"-",3)</f>
        <v>20</v>
      </c>
      <c r="AJ683" s="1" t="str">
        <f>_xlfn.TEXTBEFORE(_xlfn.TEXTAFTER(batch_summary[[#This Row],[video]],"_",1),"_",1)</f>
        <v>20260320</v>
      </c>
      <c r="AK683" s="1" t="str">
        <f>_xlfn.TEXTBEFORE(_xlfn.TEXTAFTER(batch_summary[[#This Row],[video]],"_",2),".",1)</f>
        <v>180000</v>
      </c>
    </row>
    <row r="684" spans="1:37" x14ac:dyDescent="0.2">
      <c r="A684" s="1" t="s">
        <v>859</v>
      </c>
      <c r="B684" s="1" t="s">
        <v>860</v>
      </c>
      <c r="C684">
        <v>119.95833333333333</v>
      </c>
      <c r="D684">
        <v>2879</v>
      </c>
      <c r="E684">
        <v>0.32396955974400043</v>
      </c>
      <c r="F684">
        <v>44.04056376311928</v>
      </c>
      <c r="G684">
        <v>1.1252850286349442E-4</v>
      </c>
      <c r="H684">
        <v>1.5297173936477693E-2</v>
      </c>
      <c r="I684">
        <v>5</v>
      </c>
      <c r="J684" t="b">
        <v>1</v>
      </c>
      <c r="K684">
        <v>0.65</v>
      </c>
      <c r="L684">
        <v>1.3</v>
      </c>
      <c r="M684" t="b">
        <v>1</v>
      </c>
      <c r="N684">
        <v>200</v>
      </c>
      <c r="O684" t="b">
        <v>0</v>
      </c>
      <c r="P684" t="b">
        <v>0</v>
      </c>
      <c r="Q684">
        <v>0.7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s="1" t="s">
        <v>861</v>
      </c>
      <c r="AG684" s="1" t="s">
        <v>862</v>
      </c>
      <c r="AH684" s="1" t="s">
        <v>863</v>
      </c>
      <c r="AI684" s="1" t="str">
        <f>_xlfn.TEXTAFTER(_xlfn.TEXTBEFORE(batch_summary[[#This Row],[video]],"_",1),"-",3)</f>
        <v>20</v>
      </c>
      <c r="AJ684" s="1" t="str">
        <f>_xlfn.TEXTBEFORE(_xlfn.TEXTAFTER(batch_summary[[#This Row],[video]],"_",1),"_",1)</f>
        <v>20260320</v>
      </c>
      <c r="AK684" s="1" t="str">
        <f>_xlfn.TEXTBEFORE(_xlfn.TEXTAFTER(batch_summary[[#This Row],[video]],"_",2),".",1)</f>
        <v>190000</v>
      </c>
    </row>
    <row r="685" spans="1:37" x14ac:dyDescent="0.2">
      <c r="A685" s="1" t="s">
        <v>864</v>
      </c>
      <c r="B685" s="1" t="s">
        <v>865</v>
      </c>
      <c r="C685">
        <v>119.95833333333333</v>
      </c>
      <c r="D685">
        <v>2879</v>
      </c>
      <c r="E685">
        <v>0.33681868016719818</v>
      </c>
      <c r="F685">
        <v>44.153824739158154</v>
      </c>
      <c r="G685">
        <v>1.1699155268051343E-4</v>
      </c>
      <c r="H685">
        <v>1.5336514324125791E-2</v>
      </c>
      <c r="I685">
        <v>5</v>
      </c>
      <c r="J685" t="b">
        <v>1</v>
      </c>
      <c r="K685">
        <v>0.65</v>
      </c>
      <c r="L685">
        <v>1.3</v>
      </c>
      <c r="M685" t="b">
        <v>1</v>
      </c>
      <c r="N685">
        <v>200</v>
      </c>
      <c r="O685" t="b">
        <v>0</v>
      </c>
      <c r="P685" t="b">
        <v>0</v>
      </c>
      <c r="Q685">
        <v>0.7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s="1" t="s">
        <v>866</v>
      </c>
      <c r="AG685" s="1" t="s">
        <v>867</v>
      </c>
      <c r="AH685" s="1" t="s">
        <v>868</v>
      </c>
      <c r="AI685" s="1" t="str">
        <f>_xlfn.TEXTAFTER(_xlfn.TEXTBEFORE(batch_summary[[#This Row],[video]],"_",1),"-",3)</f>
        <v>20</v>
      </c>
      <c r="AJ685" s="1" t="str">
        <f>_xlfn.TEXTBEFORE(_xlfn.TEXTAFTER(batch_summary[[#This Row],[video]],"_",1),"_",1)</f>
        <v>20260321</v>
      </c>
      <c r="AK685" s="1" t="str">
        <f>_xlfn.TEXTBEFORE(_xlfn.TEXTAFTER(batch_summary[[#This Row],[video]],"_",2),".",1)</f>
        <v>060000</v>
      </c>
    </row>
    <row r="686" spans="1:37" x14ac:dyDescent="0.2">
      <c r="A686" s="1" t="s">
        <v>869</v>
      </c>
      <c r="B686" s="1" t="s">
        <v>870</v>
      </c>
      <c r="C686">
        <v>119.95833333333333</v>
      </c>
      <c r="D686">
        <v>2879</v>
      </c>
      <c r="E686">
        <v>0.3224237933754921</v>
      </c>
      <c r="F686">
        <v>43.678643701598048</v>
      </c>
      <c r="G686">
        <v>1.1199159200260233E-4</v>
      </c>
      <c r="H686">
        <v>1.5171463599026762E-2</v>
      </c>
      <c r="I686">
        <v>5</v>
      </c>
      <c r="J686" t="b">
        <v>1</v>
      </c>
      <c r="K686">
        <v>0.65</v>
      </c>
      <c r="L686">
        <v>1.3</v>
      </c>
      <c r="M686" t="b">
        <v>1</v>
      </c>
      <c r="N686">
        <v>200</v>
      </c>
      <c r="O686" t="b">
        <v>0</v>
      </c>
      <c r="P686" t="b">
        <v>0</v>
      </c>
      <c r="Q686">
        <v>0.7</v>
      </c>
      <c r="R686">
        <v>13717.902252912521</v>
      </c>
      <c r="S686">
        <v>16037.050415992737</v>
      </c>
      <c r="T686">
        <v>392.63143920898438</v>
      </c>
      <c r="U686">
        <v>0</v>
      </c>
      <c r="V686">
        <v>29754.952668905258</v>
      </c>
      <c r="W686">
        <v>392.63143920898438</v>
      </c>
      <c r="X686">
        <v>248.04406531911297</v>
      </c>
      <c r="Y686">
        <v>3.2730651410266152</v>
      </c>
      <c r="Z686">
        <v>3.9263143920898438</v>
      </c>
      <c r="AA686">
        <v>9.8157859802246089E-2</v>
      </c>
      <c r="AB686">
        <v>3.9263143920898438</v>
      </c>
      <c r="AC686">
        <v>0</v>
      </c>
      <c r="AD686">
        <v>3.9263143920898438</v>
      </c>
      <c r="AE686">
        <v>75.783418487452579</v>
      </c>
      <c r="AF686" s="1" t="s">
        <v>871</v>
      </c>
      <c r="AG686" s="1" t="s">
        <v>872</v>
      </c>
      <c r="AH686" s="1" t="s">
        <v>873</v>
      </c>
      <c r="AI686" s="1" t="str">
        <f>_xlfn.TEXTAFTER(_xlfn.TEXTBEFORE(batch_summary[[#This Row],[video]],"_",1),"-",3)</f>
        <v>20</v>
      </c>
      <c r="AJ686" s="1" t="str">
        <f>_xlfn.TEXTBEFORE(_xlfn.TEXTAFTER(batch_summary[[#This Row],[video]],"_",1),"_",1)</f>
        <v>20260321</v>
      </c>
      <c r="AK686" s="1" t="str">
        <f>_xlfn.TEXTBEFORE(_xlfn.TEXTAFTER(batch_summary[[#This Row],[video]],"_",2),".",1)</f>
        <v>070000</v>
      </c>
    </row>
    <row r="687" spans="1:37" x14ac:dyDescent="0.2">
      <c r="A687" s="1" t="s">
        <v>874</v>
      </c>
      <c r="B687" s="1" t="s">
        <v>875</v>
      </c>
      <c r="C687">
        <v>119.95833333333333</v>
      </c>
      <c r="D687">
        <v>2879</v>
      </c>
      <c r="E687">
        <v>0.31769526936113834</v>
      </c>
      <c r="F687">
        <v>43.64505313616246</v>
      </c>
      <c r="G687">
        <v>1.1034917310216685E-4</v>
      </c>
      <c r="H687">
        <v>1.5159796157055387E-2</v>
      </c>
      <c r="I687">
        <v>5</v>
      </c>
      <c r="J687" t="b">
        <v>1</v>
      </c>
      <c r="K687">
        <v>0.65</v>
      </c>
      <c r="L687">
        <v>1.3</v>
      </c>
      <c r="M687" t="b">
        <v>1</v>
      </c>
      <c r="N687">
        <v>200</v>
      </c>
      <c r="O687" t="b">
        <v>0</v>
      </c>
      <c r="P687" t="b">
        <v>0</v>
      </c>
      <c r="Q687">
        <v>0.7</v>
      </c>
      <c r="R687">
        <v>95640.115936219692</v>
      </c>
      <c r="S687">
        <v>97820.69670009613</v>
      </c>
      <c r="T687">
        <v>75836.259262084961</v>
      </c>
      <c r="U687">
        <v>75021.050064086914</v>
      </c>
      <c r="V687">
        <v>193460.81263631582</v>
      </c>
      <c r="W687">
        <v>150857.30932617188</v>
      </c>
      <c r="X687">
        <v>1612.7334155163528</v>
      </c>
      <c r="Y687">
        <v>1257.580904421023</v>
      </c>
      <c r="Z687">
        <v>809.38340652465808</v>
      </c>
      <c r="AA687">
        <v>37.714327331542968</v>
      </c>
      <c r="AB687">
        <v>758.36259262084957</v>
      </c>
      <c r="AC687">
        <v>750.2105006408691</v>
      </c>
      <c r="AD687">
        <v>1508.5730932617187</v>
      </c>
      <c r="AE687">
        <v>1.2824092747009692</v>
      </c>
      <c r="AF687" s="1" t="s">
        <v>876</v>
      </c>
      <c r="AG687" s="1" t="s">
        <v>877</v>
      </c>
      <c r="AH687" s="1" t="s">
        <v>878</v>
      </c>
      <c r="AI687" s="1" t="str">
        <f>_xlfn.TEXTAFTER(_xlfn.TEXTBEFORE(batch_summary[[#This Row],[video]],"_",1),"-",3)</f>
        <v>20</v>
      </c>
      <c r="AJ687" s="1" t="str">
        <f>_xlfn.TEXTBEFORE(_xlfn.TEXTAFTER(batch_summary[[#This Row],[video]],"_",1),"_",1)</f>
        <v>20260321</v>
      </c>
      <c r="AK687" s="1" t="str">
        <f>_xlfn.TEXTBEFORE(_xlfn.TEXTAFTER(batch_summary[[#This Row],[video]],"_",2),".",1)</f>
        <v>080000</v>
      </c>
    </row>
    <row r="688" spans="1:37" x14ac:dyDescent="0.2">
      <c r="A688" s="1" t="s">
        <v>879</v>
      </c>
      <c r="B688" s="1" t="s">
        <v>880</v>
      </c>
      <c r="C688">
        <v>119.95833333333333</v>
      </c>
      <c r="D688">
        <v>2879</v>
      </c>
      <c r="E688">
        <v>0.35114377737045288</v>
      </c>
      <c r="F688">
        <v>44.89060290902853</v>
      </c>
      <c r="G688">
        <v>1.2196727244545081E-4</v>
      </c>
      <c r="H688">
        <v>1.5592428936793514E-2</v>
      </c>
      <c r="I688">
        <v>5</v>
      </c>
      <c r="J688" t="b">
        <v>1</v>
      </c>
      <c r="K688">
        <v>0.65</v>
      </c>
      <c r="L688">
        <v>1.3</v>
      </c>
      <c r="M688" t="b">
        <v>1</v>
      </c>
      <c r="N688">
        <v>200</v>
      </c>
      <c r="O688" t="b">
        <v>0</v>
      </c>
      <c r="P688" t="b">
        <v>0</v>
      </c>
      <c r="Q688">
        <v>0.7</v>
      </c>
      <c r="R688">
        <v>1560946.2746022344</v>
      </c>
      <c r="S688">
        <v>1623551.3503199816</v>
      </c>
      <c r="T688">
        <v>1256569.1823493242</v>
      </c>
      <c r="U688">
        <v>1279496.5807243586</v>
      </c>
      <c r="V688">
        <v>3184497.6249222159</v>
      </c>
      <c r="W688">
        <v>2536065.7630736828</v>
      </c>
      <c r="X688">
        <v>26546.697811091763</v>
      </c>
      <c r="Y688">
        <v>21141.222061051889</v>
      </c>
      <c r="Z688">
        <v>2334.7342161750794</v>
      </c>
      <c r="AA688">
        <v>634.01644076842069</v>
      </c>
      <c r="AB688">
        <v>12565.691823493242</v>
      </c>
      <c r="AC688">
        <v>12794.965807243585</v>
      </c>
      <c r="AD688">
        <v>25360.657630736827</v>
      </c>
      <c r="AE688">
        <v>1.2556841669052941</v>
      </c>
      <c r="AF688" s="1" t="s">
        <v>881</v>
      </c>
      <c r="AG688" s="1" t="s">
        <v>882</v>
      </c>
      <c r="AH688" s="1" t="s">
        <v>883</v>
      </c>
      <c r="AI688" s="1" t="str">
        <f>_xlfn.TEXTAFTER(_xlfn.TEXTBEFORE(batch_summary[[#This Row],[video]],"_",1),"-",3)</f>
        <v>20</v>
      </c>
      <c r="AJ688" s="1" t="str">
        <f>_xlfn.TEXTBEFORE(_xlfn.TEXTAFTER(batch_summary[[#This Row],[video]],"_",1),"_",1)</f>
        <v>20260321</v>
      </c>
      <c r="AK688" s="1" t="str">
        <f>_xlfn.TEXTBEFORE(_xlfn.TEXTAFTER(batch_summary[[#This Row],[video]],"_",2),".",1)</f>
        <v>090000</v>
      </c>
    </row>
    <row r="689" spans="1:37" x14ac:dyDescent="0.2">
      <c r="A689" s="1" t="s">
        <v>884</v>
      </c>
      <c r="B689" s="1" t="s">
        <v>885</v>
      </c>
      <c r="C689">
        <v>119.95833333333333</v>
      </c>
      <c r="D689">
        <v>2879</v>
      </c>
      <c r="E689">
        <v>0.34455693606287241</v>
      </c>
      <c r="F689">
        <v>44.380592789500952</v>
      </c>
      <c r="G689">
        <v>1.1967938036223425E-4</v>
      </c>
      <c r="H689">
        <v>1.541528057988918E-2</v>
      </c>
      <c r="I689">
        <v>5</v>
      </c>
      <c r="J689" t="b">
        <v>1</v>
      </c>
      <c r="K689">
        <v>0.65</v>
      </c>
      <c r="L689">
        <v>1.3</v>
      </c>
      <c r="M689" t="b">
        <v>1</v>
      </c>
      <c r="N689">
        <v>200</v>
      </c>
      <c r="O689" t="b">
        <v>0</v>
      </c>
      <c r="P689" t="b">
        <v>0</v>
      </c>
      <c r="Q689">
        <v>0.7</v>
      </c>
      <c r="R689">
        <v>1666977.7765824199</v>
      </c>
      <c r="S689">
        <v>1773974.0388203263</v>
      </c>
      <c r="T689">
        <v>1433373.5120868683</v>
      </c>
      <c r="U689">
        <v>1477540.443952024</v>
      </c>
      <c r="V689">
        <v>3440951.8154027462</v>
      </c>
      <c r="W689">
        <v>2910913.9560388923</v>
      </c>
      <c r="X689">
        <v>28684.558377792953</v>
      </c>
      <c r="Y689">
        <v>24266.042009355129</v>
      </c>
      <c r="Z689">
        <v>3075.3633392977713</v>
      </c>
      <c r="AA689">
        <v>727.72848900972303</v>
      </c>
      <c r="AB689">
        <v>14333.735120868683</v>
      </c>
      <c r="AC689">
        <v>14775.40443952024</v>
      </c>
      <c r="AD689">
        <v>29109.139560388925</v>
      </c>
      <c r="AE689">
        <v>1.1820864056336169</v>
      </c>
      <c r="AF689" s="1" t="s">
        <v>886</v>
      </c>
      <c r="AG689" s="1" t="s">
        <v>887</v>
      </c>
      <c r="AH689" s="1" t="s">
        <v>888</v>
      </c>
      <c r="AI689" s="1" t="str">
        <f>_xlfn.TEXTAFTER(_xlfn.TEXTBEFORE(batch_summary[[#This Row],[video]],"_",1),"-",3)</f>
        <v>20</v>
      </c>
      <c r="AJ689" s="1" t="str">
        <f>_xlfn.TEXTBEFORE(_xlfn.TEXTAFTER(batch_summary[[#This Row],[video]],"_",1),"_",1)</f>
        <v>20260321</v>
      </c>
      <c r="AK689" s="1" t="str">
        <f>_xlfn.TEXTBEFORE(_xlfn.TEXTAFTER(batch_summary[[#This Row],[video]],"_",2),".",1)</f>
        <v>100000</v>
      </c>
    </row>
    <row r="690" spans="1:37" x14ac:dyDescent="0.2">
      <c r="A690" s="1" t="s">
        <v>889</v>
      </c>
      <c r="B690" s="1" t="s">
        <v>890</v>
      </c>
      <c r="C690">
        <v>119.95833333333333</v>
      </c>
      <c r="D690">
        <v>2879</v>
      </c>
      <c r="E690">
        <v>0.2799327066168189</v>
      </c>
      <c r="F690">
        <v>43.641959386877716</v>
      </c>
      <c r="G690">
        <v>9.7232617789794684E-5</v>
      </c>
      <c r="H690">
        <v>1.5158721565431648E-2</v>
      </c>
      <c r="I690">
        <v>5</v>
      </c>
      <c r="J690" t="b">
        <v>1</v>
      </c>
      <c r="K690">
        <v>0.65</v>
      </c>
      <c r="L690">
        <v>1.3</v>
      </c>
      <c r="M690" t="b">
        <v>1</v>
      </c>
      <c r="N690">
        <v>200</v>
      </c>
      <c r="O690" t="b">
        <v>0</v>
      </c>
      <c r="P690" t="b">
        <v>0</v>
      </c>
      <c r="Q690">
        <v>0.7</v>
      </c>
      <c r="R690">
        <v>14954712.68528676</v>
      </c>
      <c r="S690">
        <v>16466875.298151493</v>
      </c>
      <c r="T690">
        <v>13841826.549878538</v>
      </c>
      <c r="U690">
        <v>15255578.464216709</v>
      </c>
      <c r="V690">
        <v>31421587.983438253</v>
      </c>
      <c r="W690">
        <v>29097405.014095247</v>
      </c>
      <c r="X690">
        <v>261937.51705540746</v>
      </c>
      <c r="Y690">
        <v>242562.59824184992</v>
      </c>
      <c r="Z690">
        <v>12199.842644653319</v>
      </c>
      <c r="AA690">
        <v>7274.3512535238115</v>
      </c>
      <c r="AB690">
        <v>138418.26549878539</v>
      </c>
      <c r="AC690">
        <v>152555.7846421671</v>
      </c>
      <c r="AD690">
        <v>290974.05014095246</v>
      </c>
      <c r="AE690">
        <v>1.079875953481664</v>
      </c>
      <c r="AF690" s="1" t="s">
        <v>891</v>
      </c>
      <c r="AG690" s="1" t="s">
        <v>892</v>
      </c>
      <c r="AH690" s="1" t="s">
        <v>893</v>
      </c>
      <c r="AI690" s="1" t="str">
        <f>_xlfn.TEXTAFTER(_xlfn.TEXTBEFORE(batch_summary[[#This Row],[video]],"_",1),"-",3)</f>
        <v>20</v>
      </c>
      <c r="AJ690" s="1" t="str">
        <f>_xlfn.TEXTBEFORE(_xlfn.TEXTAFTER(batch_summary[[#This Row],[video]],"_",1),"_",1)</f>
        <v>20260321</v>
      </c>
      <c r="AK690" s="1" t="str">
        <f>_xlfn.TEXTBEFORE(_xlfn.TEXTAFTER(batch_summary[[#This Row],[video]],"_",2),".",1)</f>
        <v>110000</v>
      </c>
    </row>
    <row r="691" spans="1:37" x14ac:dyDescent="0.2">
      <c r="A691" s="1" t="s">
        <v>894</v>
      </c>
      <c r="B691" s="1" t="s">
        <v>895</v>
      </c>
      <c r="C691">
        <v>119.95833333333333</v>
      </c>
      <c r="D691">
        <v>2879</v>
      </c>
      <c r="E691">
        <v>0.28130357153713703</v>
      </c>
      <c r="F691">
        <v>43.624065725132823</v>
      </c>
      <c r="G691">
        <v>9.7708777887161173E-5</v>
      </c>
      <c r="H691">
        <v>1.5152506330369164E-2</v>
      </c>
      <c r="I691">
        <v>5</v>
      </c>
      <c r="J691" t="b">
        <v>1</v>
      </c>
      <c r="K691">
        <v>0.65</v>
      </c>
      <c r="L691">
        <v>1.3</v>
      </c>
      <c r="M691" t="b">
        <v>1</v>
      </c>
      <c r="N691">
        <v>200</v>
      </c>
      <c r="O691" t="b">
        <v>0</v>
      </c>
      <c r="P691" t="b">
        <v>0</v>
      </c>
      <c r="Q691">
        <v>0.7</v>
      </c>
      <c r="R691">
        <v>17102598.299437881</v>
      </c>
      <c r="S691">
        <v>19528174.877300262</v>
      </c>
      <c r="T691">
        <v>15900878.907662392</v>
      </c>
      <c r="U691">
        <v>18223125.020658493</v>
      </c>
      <c r="V691">
        <v>36630773.176738143</v>
      </c>
      <c r="W691">
        <v>34124003.928320885</v>
      </c>
      <c r="X691">
        <v>305362.47177551768</v>
      </c>
      <c r="Y691">
        <v>284465.47213605465</v>
      </c>
      <c r="Z691">
        <v>11104.087989196778</v>
      </c>
      <c r="AA691">
        <v>8531.0009820802225</v>
      </c>
      <c r="AB691">
        <v>159008.78907662391</v>
      </c>
      <c r="AC691">
        <v>182231.25020658493</v>
      </c>
      <c r="AD691">
        <v>341240.03928320884</v>
      </c>
      <c r="AE691">
        <v>1.0734605837486964</v>
      </c>
      <c r="AF691" s="1" t="s">
        <v>896</v>
      </c>
      <c r="AG691" s="1" t="s">
        <v>897</v>
      </c>
      <c r="AH691" s="1" t="s">
        <v>898</v>
      </c>
      <c r="AI691" s="1" t="str">
        <f>_xlfn.TEXTAFTER(_xlfn.TEXTBEFORE(batch_summary[[#This Row],[video]],"_",1),"-",3)</f>
        <v>20</v>
      </c>
      <c r="AJ691" s="1" t="str">
        <f>_xlfn.TEXTBEFORE(_xlfn.TEXTAFTER(batch_summary[[#This Row],[video]],"_",1),"_",1)</f>
        <v>20260321</v>
      </c>
      <c r="AK691" s="1" t="str">
        <f>_xlfn.TEXTBEFORE(_xlfn.TEXTAFTER(batch_summary[[#This Row],[video]],"_",2),".",1)</f>
        <v>120000</v>
      </c>
    </row>
    <row r="692" spans="1:37" x14ac:dyDescent="0.2">
      <c r="A692" s="1" t="s">
        <v>899</v>
      </c>
      <c r="B692" s="1" t="s">
        <v>900</v>
      </c>
      <c r="C692">
        <v>119.95833333333333</v>
      </c>
      <c r="D692">
        <v>2879</v>
      </c>
      <c r="E692">
        <v>0.28247189428657293</v>
      </c>
      <c r="F692">
        <v>43.679134490899742</v>
      </c>
      <c r="G692">
        <v>9.8114586414231657E-5</v>
      </c>
      <c r="H692">
        <v>1.5171634071170455E-2</v>
      </c>
      <c r="I692">
        <v>5</v>
      </c>
      <c r="J692" t="b">
        <v>1</v>
      </c>
      <c r="K692">
        <v>0.65</v>
      </c>
      <c r="L692">
        <v>1.3</v>
      </c>
      <c r="M692" t="b">
        <v>1</v>
      </c>
      <c r="N692">
        <v>200</v>
      </c>
      <c r="O692" t="b">
        <v>0</v>
      </c>
      <c r="P692" t="b">
        <v>0</v>
      </c>
      <c r="Q692">
        <v>0.7</v>
      </c>
      <c r="R692">
        <v>18663611.501413703</v>
      </c>
      <c r="S692">
        <v>18861899.469785273</v>
      </c>
      <c r="T692">
        <v>17475404.913523078</v>
      </c>
      <c r="U692">
        <v>17616504.801554203</v>
      </c>
      <c r="V692">
        <v>37525510.971198976</v>
      </c>
      <c r="W692">
        <v>35091909.715077281</v>
      </c>
      <c r="X692">
        <v>312821.20990231866</v>
      </c>
      <c r="Y692">
        <v>292534.15531846293</v>
      </c>
      <c r="Z692">
        <v>12293.731746520996</v>
      </c>
      <c r="AA692">
        <v>8772.9774287693199</v>
      </c>
      <c r="AB692">
        <v>174754.04913523077</v>
      </c>
      <c r="AC692">
        <v>176165.04801554204</v>
      </c>
      <c r="AD692">
        <v>350919.09715077281</v>
      </c>
      <c r="AE692">
        <v>1.0693493536225558</v>
      </c>
      <c r="AF692" s="1" t="s">
        <v>901</v>
      </c>
      <c r="AG692" s="1" t="s">
        <v>902</v>
      </c>
      <c r="AH692" s="1" t="s">
        <v>903</v>
      </c>
      <c r="AI692" s="1" t="str">
        <f>_xlfn.TEXTAFTER(_xlfn.TEXTBEFORE(batch_summary[[#This Row],[video]],"_",1),"-",3)</f>
        <v>20</v>
      </c>
      <c r="AJ692" s="1" t="str">
        <f>_xlfn.TEXTBEFORE(_xlfn.TEXTAFTER(batch_summary[[#This Row],[video]],"_",1),"_",1)</f>
        <v>20260321</v>
      </c>
      <c r="AK692" s="1" t="str">
        <f>_xlfn.TEXTBEFORE(_xlfn.TEXTAFTER(batch_summary[[#This Row],[video]],"_",2),".",1)</f>
        <v>130000</v>
      </c>
    </row>
    <row r="693" spans="1:37" x14ac:dyDescent="0.2">
      <c r="A693" s="1" t="s">
        <v>904</v>
      </c>
      <c r="B693" s="1" t="s">
        <v>905</v>
      </c>
      <c r="C693">
        <v>119.95833333333333</v>
      </c>
      <c r="D693">
        <v>2879</v>
      </c>
      <c r="E693">
        <v>0.27990642003715038</v>
      </c>
      <c r="F693">
        <v>43.379939464852214</v>
      </c>
      <c r="G693">
        <v>9.7223487334890718E-5</v>
      </c>
      <c r="H693">
        <v>1.5067710824887882E-2</v>
      </c>
      <c r="I693">
        <v>5</v>
      </c>
      <c r="J693" t="b">
        <v>1</v>
      </c>
      <c r="K693">
        <v>0.65</v>
      </c>
      <c r="L693">
        <v>1.3</v>
      </c>
      <c r="M693" t="b">
        <v>1</v>
      </c>
      <c r="N693">
        <v>200</v>
      </c>
      <c r="O693" t="b">
        <v>0</v>
      </c>
      <c r="P693" t="b">
        <v>0</v>
      </c>
      <c r="Q693">
        <v>0.7</v>
      </c>
      <c r="R693">
        <v>21339395.872558594</v>
      </c>
      <c r="S693">
        <v>25770958.733970642</v>
      </c>
      <c r="T693">
        <v>20262971.399356842</v>
      </c>
      <c r="U693">
        <v>24552291.005077362</v>
      </c>
      <c r="V693">
        <v>47110354.606529236</v>
      </c>
      <c r="W693">
        <v>44815262.404434204</v>
      </c>
      <c r="X693">
        <v>392722.65041913919</v>
      </c>
      <c r="Y693">
        <v>373590.23886989267</v>
      </c>
      <c r="Z693">
        <v>13711.925653381348</v>
      </c>
      <c r="AA693">
        <v>11203.81560110855</v>
      </c>
      <c r="AB693">
        <v>202629.71399356841</v>
      </c>
      <c r="AC693">
        <v>245522.91005077361</v>
      </c>
      <c r="AD693">
        <v>448152.62404434202</v>
      </c>
      <c r="AE693">
        <v>1.0512122897191369</v>
      </c>
      <c r="AF693" s="1" t="s">
        <v>906</v>
      </c>
      <c r="AG693" s="1" t="s">
        <v>907</v>
      </c>
      <c r="AH693" s="1" t="s">
        <v>908</v>
      </c>
      <c r="AI693" s="1" t="str">
        <f>_xlfn.TEXTAFTER(_xlfn.TEXTBEFORE(batch_summary[[#This Row],[video]],"_",1),"-",3)</f>
        <v>20</v>
      </c>
      <c r="AJ693" s="1" t="str">
        <f>_xlfn.TEXTBEFORE(_xlfn.TEXTAFTER(batch_summary[[#This Row],[video]],"_",1),"_",1)</f>
        <v>20260321</v>
      </c>
      <c r="AK693" s="1" t="str">
        <f>_xlfn.TEXTBEFORE(_xlfn.TEXTAFTER(batch_summary[[#This Row],[video]],"_",2),".",1)</f>
        <v>140000</v>
      </c>
    </row>
    <row r="694" spans="1:37" x14ac:dyDescent="0.2">
      <c r="A694" s="1" t="s">
        <v>909</v>
      </c>
      <c r="B694" s="1" t="s">
        <v>910</v>
      </c>
      <c r="C694">
        <v>119.95833333333333</v>
      </c>
      <c r="D694">
        <v>2879</v>
      </c>
      <c r="E694">
        <v>0.28347499389201403</v>
      </c>
      <c r="F694">
        <v>43.676977617666125</v>
      </c>
      <c r="G694">
        <v>9.8463005867319918E-5</v>
      </c>
      <c r="H694">
        <v>1.5170884896723212E-2</v>
      </c>
      <c r="I694">
        <v>5</v>
      </c>
      <c r="J694" t="b">
        <v>1</v>
      </c>
      <c r="K694">
        <v>0.65</v>
      </c>
      <c r="L694">
        <v>1.3</v>
      </c>
      <c r="M694" t="b">
        <v>1</v>
      </c>
      <c r="N694">
        <v>200</v>
      </c>
      <c r="O694" t="b">
        <v>0</v>
      </c>
      <c r="P694" t="b">
        <v>0</v>
      </c>
      <c r="Q694">
        <v>0.7</v>
      </c>
      <c r="R694">
        <v>21215870.706538439</v>
      </c>
      <c r="S694">
        <v>19263461.188559055</v>
      </c>
      <c r="T694">
        <v>20013350.452877402</v>
      </c>
      <c r="U694">
        <v>17972395.897441387</v>
      </c>
      <c r="V694">
        <v>40479331.895097494</v>
      </c>
      <c r="W694">
        <v>37985746.350318789</v>
      </c>
      <c r="X694">
        <v>337444.9341724001</v>
      </c>
      <c r="Y694">
        <v>316657.83689046575</v>
      </c>
      <c r="Z694">
        <v>12163.439546813965</v>
      </c>
      <c r="AA694">
        <v>9496.4365875796975</v>
      </c>
      <c r="AB694">
        <v>200133.50452877404</v>
      </c>
      <c r="AC694">
        <v>179723.95897441386</v>
      </c>
      <c r="AD694">
        <v>379857.46350318787</v>
      </c>
      <c r="AE694">
        <v>1.065645295521692</v>
      </c>
      <c r="AF694" s="1" t="s">
        <v>911</v>
      </c>
      <c r="AG694" s="1" t="s">
        <v>912</v>
      </c>
      <c r="AH694" s="1" t="s">
        <v>913</v>
      </c>
      <c r="AI694" s="1" t="str">
        <f>_xlfn.TEXTAFTER(_xlfn.TEXTBEFORE(batch_summary[[#This Row],[video]],"_",1),"-",3)</f>
        <v>20</v>
      </c>
      <c r="AJ694" s="1" t="str">
        <f>_xlfn.TEXTBEFORE(_xlfn.TEXTAFTER(batch_summary[[#This Row],[video]],"_",1),"_",1)</f>
        <v>20260321</v>
      </c>
      <c r="AK694" s="1" t="str">
        <f>_xlfn.TEXTBEFORE(_xlfn.TEXTAFTER(batch_summary[[#This Row],[video]],"_",2),".",1)</f>
        <v>150000</v>
      </c>
    </row>
    <row r="695" spans="1:37" x14ac:dyDescent="0.2">
      <c r="A695" s="1" t="s">
        <v>914</v>
      </c>
      <c r="B695" s="1" t="s">
        <v>915</v>
      </c>
      <c r="C695">
        <v>119.95833333333333</v>
      </c>
      <c r="D695">
        <v>2879</v>
      </c>
      <c r="E695">
        <v>0.29965557903051376</v>
      </c>
      <c r="F695">
        <v>44.221964664757252</v>
      </c>
      <c r="G695">
        <v>1.0408321605783736E-4</v>
      </c>
      <c r="H695">
        <v>1.5360182238540205E-2</v>
      </c>
      <c r="I695">
        <v>5</v>
      </c>
      <c r="J695" t="b">
        <v>1</v>
      </c>
      <c r="K695">
        <v>0.65</v>
      </c>
      <c r="L695">
        <v>1.3</v>
      </c>
      <c r="M695" t="b">
        <v>1</v>
      </c>
      <c r="N695">
        <v>200</v>
      </c>
      <c r="O695" t="b">
        <v>0</v>
      </c>
      <c r="P695" t="b">
        <v>0</v>
      </c>
      <c r="Q695">
        <v>0.7</v>
      </c>
      <c r="R695">
        <v>11346932.884420633</v>
      </c>
      <c r="S695">
        <v>9670504.5301958919</v>
      </c>
      <c r="T695">
        <v>10403310.800753474</v>
      </c>
      <c r="U695">
        <v>8737091.6815935373</v>
      </c>
      <c r="V695">
        <v>21017437.414616525</v>
      </c>
      <c r="W695">
        <v>19140402.482347012</v>
      </c>
      <c r="X695">
        <v>175206.14725626836</v>
      </c>
      <c r="Y695">
        <v>159558.7563655187</v>
      </c>
      <c r="Z695">
        <v>8818.2344113159179</v>
      </c>
      <c r="AA695">
        <v>4785.1006205867525</v>
      </c>
      <c r="AB695">
        <v>104033.10800753474</v>
      </c>
      <c r="AC695">
        <v>87370.916815935372</v>
      </c>
      <c r="AD695">
        <v>191404.0248234701</v>
      </c>
      <c r="AE695">
        <v>1.0980666385673281</v>
      </c>
      <c r="AF695" s="1" t="s">
        <v>916</v>
      </c>
      <c r="AG695" s="1" t="s">
        <v>917</v>
      </c>
      <c r="AH695" s="1" t="s">
        <v>918</v>
      </c>
      <c r="AI695" s="1" t="str">
        <f>_xlfn.TEXTAFTER(_xlfn.TEXTBEFORE(batch_summary[[#This Row],[video]],"_",1),"-",3)</f>
        <v>20</v>
      </c>
      <c r="AJ695" s="1" t="str">
        <f>_xlfn.TEXTBEFORE(_xlfn.TEXTAFTER(batch_summary[[#This Row],[video]],"_",1),"_",1)</f>
        <v>20260321</v>
      </c>
      <c r="AK695" s="1" t="str">
        <f>_xlfn.TEXTBEFORE(_xlfn.TEXTAFTER(batch_summary[[#This Row],[video]],"_",2),".",1)</f>
        <v>160000</v>
      </c>
    </row>
    <row r="696" spans="1:37" x14ac:dyDescent="0.2">
      <c r="A696" s="1" t="s">
        <v>919</v>
      </c>
      <c r="B696" s="1" t="s">
        <v>920</v>
      </c>
      <c r="C696">
        <v>119.95833333333333</v>
      </c>
      <c r="D696">
        <v>2879</v>
      </c>
      <c r="E696">
        <v>0.3216645298525691</v>
      </c>
      <c r="F696">
        <v>44.812296341173351</v>
      </c>
      <c r="G696">
        <v>1.1172786726383088E-4</v>
      </c>
      <c r="H696">
        <v>1.5565229712113009E-2</v>
      </c>
      <c r="I696">
        <v>5</v>
      </c>
      <c r="J696" t="b">
        <v>1</v>
      </c>
      <c r="K696">
        <v>0.65</v>
      </c>
      <c r="L696">
        <v>1.3</v>
      </c>
      <c r="M696" t="b">
        <v>1</v>
      </c>
      <c r="N696">
        <v>200</v>
      </c>
      <c r="O696" t="b">
        <v>0</v>
      </c>
      <c r="P696" t="b">
        <v>0</v>
      </c>
      <c r="Q696">
        <v>0.7</v>
      </c>
      <c r="R696">
        <v>8807423.6963192225</v>
      </c>
      <c r="S696">
        <v>7592056.1216997504</v>
      </c>
      <c r="T696">
        <v>8055865.4188790917</v>
      </c>
      <c r="U696">
        <v>6852850.2790055275</v>
      </c>
      <c r="V696">
        <v>16399479.818018973</v>
      </c>
      <c r="W696">
        <v>14908715.697884619</v>
      </c>
      <c r="X696">
        <v>136709.80049755311</v>
      </c>
      <c r="Y696">
        <v>124282.45111122989</v>
      </c>
      <c r="Z696">
        <v>6866.1255718994144</v>
      </c>
      <c r="AA696">
        <v>3727.1789244711545</v>
      </c>
      <c r="AB696">
        <v>80558.654188790912</v>
      </c>
      <c r="AC696">
        <v>68528.502790055281</v>
      </c>
      <c r="AD696">
        <v>149087.15697884618</v>
      </c>
      <c r="AE696">
        <v>1.0999927928296249</v>
      </c>
      <c r="AF696" s="1" t="s">
        <v>921</v>
      </c>
      <c r="AG696" s="1" t="s">
        <v>922</v>
      </c>
      <c r="AH696" s="1" t="s">
        <v>923</v>
      </c>
      <c r="AI696" s="1" t="str">
        <f>_xlfn.TEXTAFTER(_xlfn.TEXTBEFORE(batch_summary[[#This Row],[video]],"_",1),"-",3)</f>
        <v>20</v>
      </c>
      <c r="AJ696" s="1" t="str">
        <f>_xlfn.TEXTBEFORE(_xlfn.TEXTAFTER(batch_summary[[#This Row],[video]],"_",1),"_",1)</f>
        <v>20260321</v>
      </c>
      <c r="AK696" s="1" t="str">
        <f>_xlfn.TEXTBEFORE(_xlfn.TEXTAFTER(batch_summary[[#This Row],[video]],"_",2),".",1)</f>
        <v>170000</v>
      </c>
    </row>
    <row r="697" spans="1:37" x14ac:dyDescent="0.2">
      <c r="A697" s="1" t="s">
        <v>924</v>
      </c>
      <c r="B697" s="1" t="s">
        <v>925</v>
      </c>
      <c r="C697">
        <v>119.95833333333333</v>
      </c>
      <c r="D697">
        <v>2879</v>
      </c>
      <c r="E697">
        <v>0.34575998783111572</v>
      </c>
      <c r="F697">
        <v>44.318521182984114</v>
      </c>
      <c r="G697">
        <v>1.200972517648891E-4</v>
      </c>
      <c r="H697">
        <v>1.5393720452582187E-2</v>
      </c>
      <c r="I697">
        <v>5</v>
      </c>
      <c r="J697" t="b">
        <v>1</v>
      </c>
      <c r="K697">
        <v>0.65</v>
      </c>
      <c r="L697">
        <v>1.3</v>
      </c>
      <c r="M697" t="b">
        <v>1</v>
      </c>
      <c r="N697">
        <v>200</v>
      </c>
      <c r="O697" t="b">
        <v>0</v>
      </c>
      <c r="P697" t="b">
        <v>0</v>
      </c>
      <c r="Q697">
        <v>0.7</v>
      </c>
      <c r="R697">
        <v>1266087.0907480121</v>
      </c>
      <c r="S697">
        <v>839928.63797402382</v>
      </c>
      <c r="T697">
        <v>1130988.6030813456</v>
      </c>
      <c r="U697">
        <v>708361.9914663434</v>
      </c>
      <c r="V697">
        <v>2106015.7287220359</v>
      </c>
      <c r="W697">
        <v>1839350.594547689</v>
      </c>
      <c r="X697">
        <v>17556.226984831144</v>
      </c>
      <c r="Y697">
        <v>15333.245664864375</v>
      </c>
      <c r="Z697">
        <v>2632.6041392517091</v>
      </c>
      <c r="AA697">
        <v>459.83764863692221</v>
      </c>
      <c r="AB697">
        <v>11309.886030813455</v>
      </c>
      <c r="AC697">
        <v>7083.6199146634344</v>
      </c>
      <c r="AD697">
        <v>18393.505945476889</v>
      </c>
      <c r="AE697">
        <v>1.144977871518791</v>
      </c>
      <c r="AF697" s="1" t="s">
        <v>926</v>
      </c>
      <c r="AG697" s="1" t="s">
        <v>927</v>
      </c>
      <c r="AH697" s="1" t="s">
        <v>928</v>
      </c>
      <c r="AI697" s="1" t="str">
        <f>_xlfn.TEXTAFTER(_xlfn.TEXTBEFORE(batch_summary[[#This Row],[video]],"_",1),"-",3)</f>
        <v>20</v>
      </c>
      <c r="AJ697" s="1" t="str">
        <f>_xlfn.TEXTBEFORE(_xlfn.TEXTAFTER(batch_summary[[#This Row],[video]],"_",1),"_",1)</f>
        <v>20260321</v>
      </c>
      <c r="AK697" s="1" t="str">
        <f>_xlfn.TEXTBEFORE(_xlfn.TEXTAFTER(batch_summary[[#This Row],[video]],"_",2),".",1)</f>
        <v>180000</v>
      </c>
    </row>
    <row r="698" spans="1:37" x14ac:dyDescent="0.2">
      <c r="A698" s="1" t="s">
        <v>929</v>
      </c>
      <c r="B698" s="1" t="s">
        <v>930</v>
      </c>
      <c r="C698">
        <v>119.95833333333333</v>
      </c>
      <c r="D698">
        <v>2879</v>
      </c>
      <c r="E698">
        <v>0.34446824714541435</v>
      </c>
      <c r="F698">
        <v>44.152861087583005</v>
      </c>
      <c r="G698">
        <v>1.1964857490288793E-4</v>
      </c>
      <c r="H698">
        <v>1.5336179606663079E-2</v>
      </c>
      <c r="I698">
        <v>5</v>
      </c>
      <c r="J698" t="b">
        <v>1</v>
      </c>
      <c r="K698">
        <v>0.65</v>
      </c>
      <c r="L698">
        <v>1.3</v>
      </c>
      <c r="M698" t="b">
        <v>1</v>
      </c>
      <c r="N698">
        <v>200</v>
      </c>
      <c r="O698" t="b">
        <v>0</v>
      </c>
      <c r="P698" t="b">
        <v>0</v>
      </c>
      <c r="Q698">
        <v>0.7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s="1" t="s">
        <v>931</v>
      </c>
      <c r="AG698" s="1" t="s">
        <v>932</v>
      </c>
      <c r="AH698" s="1" t="s">
        <v>933</v>
      </c>
      <c r="AI698" s="1" t="str">
        <f>_xlfn.TEXTAFTER(_xlfn.TEXTBEFORE(batch_summary[[#This Row],[video]],"_",1),"-",3)</f>
        <v>20</v>
      </c>
      <c r="AJ698" s="1" t="str">
        <f>_xlfn.TEXTBEFORE(_xlfn.TEXTAFTER(batch_summary[[#This Row],[video]],"_",1),"_",1)</f>
        <v>20260321</v>
      </c>
      <c r="AK698" s="1" t="str">
        <f>_xlfn.TEXTBEFORE(_xlfn.TEXTAFTER(batch_summary[[#This Row],[video]],"_",2),".",1)</f>
        <v>190000</v>
      </c>
    </row>
    <row r="699" spans="1:37" x14ac:dyDescent="0.2">
      <c r="A699" s="1" t="s">
        <v>934</v>
      </c>
      <c r="B699" s="1" t="s">
        <v>935</v>
      </c>
      <c r="C699">
        <v>119.95833333333333</v>
      </c>
      <c r="D699">
        <v>2879</v>
      </c>
      <c r="E699">
        <v>0.33320650178939104</v>
      </c>
      <c r="F699">
        <v>43.966260117478669</v>
      </c>
      <c r="G699">
        <v>1.157368884297989E-4</v>
      </c>
      <c r="H699">
        <v>1.527136509811694E-2</v>
      </c>
      <c r="I699">
        <v>5</v>
      </c>
      <c r="J699" t="b">
        <v>1</v>
      </c>
      <c r="K699">
        <v>0.65</v>
      </c>
      <c r="L699">
        <v>1.3</v>
      </c>
      <c r="M699" t="b">
        <v>1</v>
      </c>
      <c r="N699">
        <v>200</v>
      </c>
      <c r="O699" t="b">
        <v>0</v>
      </c>
      <c r="P699" t="b">
        <v>0</v>
      </c>
      <c r="Q699">
        <v>0.7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s="1" t="s">
        <v>936</v>
      </c>
      <c r="AG699" s="1" t="s">
        <v>937</v>
      </c>
      <c r="AH699" s="1" t="s">
        <v>938</v>
      </c>
      <c r="AI699" s="1" t="str">
        <f>_xlfn.TEXTAFTER(_xlfn.TEXTBEFORE(batch_summary[[#This Row],[video]],"_",1),"-",3)</f>
        <v>20</v>
      </c>
      <c r="AJ699" s="1" t="str">
        <f>_xlfn.TEXTBEFORE(_xlfn.TEXTAFTER(batch_summary[[#This Row],[video]],"_",1),"_",1)</f>
        <v>20260322</v>
      </c>
      <c r="AK699" s="1" t="str">
        <f>_xlfn.TEXTBEFORE(_xlfn.TEXTAFTER(batch_summary[[#This Row],[video]],"_",2),".",1)</f>
        <v>060000</v>
      </c>
    </row>
    <row r="700" spans="1:37" x14ac:dyDescent="0.2">
      <c r="A700" s="1" t="s">
        <v>939</v>
      </c>
      <c r="B700" s="1" t="s">
        <v>940</v>
      </c>
      <c r="C700">
        <v>119.95833333333333</v>
      </c>
      <c r="D700">
        <v>2879</v>
      </c>
      <c r="E700">
        <v>0.32523657381534576</v>
      </c>
      <c r="F700">
        <v>43.55026644654572</v>
      </c>
      <c r="G700">
        <v>1.1296859111335386E-4</v>
      </c>
      <c r="H700">
        <v>1.5126872680286807E-2</v>
      </c>
      <c r="I700">
        <v>5</v>
      </c>
      <c r="J700" t="b">
        <v>1</v>
      </c>
      <c r="K700">
        <v>0.65</v>
      </c>
      <c r="L700">
        <v>1.3</v>
      </c>
      <c r="M700" t="b">
        <v>1</v>
      </c>
      <c r="N700">
        <v>200</v>
      </c>
      <c r="O700" t="b">
        <v>0</v>
      </c>
      <c r="P700" t="b">
        <v>0</v>
      </c>
      <c r="Q700">
        <v>0.7</v>
      </c>
      <c r="R700">
        <v>4059.2665935754776</v>
      </c>
      <c r="S700">
        <v>4020.9598050713539</v>
      </c>
      <c r="T700">
        <v>0</v>
      </c>
      <c r="U700">
        <v>0</v>
      </c>
      <c r="V700">
        <v>8080.2263986468315</v>
      </c>
      <c r="W700">
        <v>0</v>
      </c>
      <c r="X700">
        <v>67.358608394416109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8080226398.6468315</v>
      </c>
      <c r="AF700" s="1" t="s">
        <v>941</v>
      </c>
      <c r="AG700" s="1" t="s">
        <v>942</v>
      </c>
      <c r="AH700" s="1" t="s">
        <v>943</v>
      </c>
      <c r="AI700" s="1" t="str">
        <f>_xlfn.TEXTAFTER(_xlfn.TEXTBEFORE(batch_summary[[#This Row],[video]],"_",1),"-",3)</f>
        <v>20</v>
      </c>
      <c r="AJ700" s="1" t="str">
        <f>_xlfn.TEXTBEFORE(_xlfn.TEXTAFTER(batch_summary[[#This Row],[video]],"_",1),"_",1)</f>
        <v>20260322</v>
      </c>
      <c r="AK700" s="1" t="str">
        <f>_xlfn.TEXTBEFORE(_xlfn.TEXTAFTER(batch_summary[[#This Row],[video]],"_",2),".",1)</f>
        <v>070000</v>
      </c>
    </row>
    <row r="701" spans="1:37" x14ac:dyDescent="0.2">
      <c r="A701" s="1" t="s">
        <v>944</v>
      </c>
      <c r="B701" s="1" t="s">
        <v>945</v>
      </c>
      <c r="C701">
        <v>119.95833333333333</v>
      </c>
      <c r="D701">
        <v>2879</v>
      </c>
      <c r="E701">
        <v>0.33253969717770815</v>
      </c>
      <c r="F701">
        <v>43.533979146741331</v>
      </c>
      <c r="G701">
        <v>1.1550527863067321E-4</v>
      </c>
      <c r="H701">
        <v>1.5121215403522518E-2</v>
      </c>
      <c r="I701">
        <v>5</v>
      </c>
      <c r="J701" t="b">
        <v>1</v>
      </c>
      <c r="K701">
        <v>0.65</v>
      </c>
      <c r="L701">
        <v>1.3</v>
      </c>
      <c r="M701" t="b">
        <v>1</v>
      </c>
      <c r="N701">
        <v>200</v>
      </c>
      <c r="O701" t="b">
        <v>0</v>
      </c>
      <c r="P701" t="b">
        <v>0</v>
      </c>
      <c r="Q701">
        <v>0.7</v>
      </c>
      <c r="R701">
        <v>30848.810896635056</v>
      </c>
      <c r="S701">
        <v>46918.776838421822</v>
      </c>
      <c r="T701">
        <v>13396.537933349609</v>
      </c>
      <c r="U701">
        <v>21022.064727783203</v>
      </c>
      <c r="V701">
        <v>77767.587735056877</v>
      </c>
      <c r="W701">
        <v>34418.602661132812</v>
      </c>
      <c r="X701">
        <v>648.28833124048811</v>
      </c>
      <c r="Y701">
        <v>286.92131429912729</v>
      </c>
      <c r="Z701">
        <v>146.05615020751952</v>
      </c>
      <c r="AA701">
        <v>8.6046506652832022</v>
      </c>
      <c r="AB701">
        <v>133.96537933349609</v>
      </c>
      <c r="AC701">
        <v>210.22064727783203</v>
      </c>
      <c r="AD701">
        <v>344.18602661132809</v>
      </c>
      <c r="AE701">
        <v>2.2594638283464041</v>
      </c>
      <c r="AF701" s="1" t="s">
        <v>946</v>
      </c>
      <c r="AG701" s="1" t="s">
        <v>947</v>
      </c>
      <c r="AH701" s="1" t="s">
        <v>948</v>
      </c>
      <c r="AI701" s="1" t="str">
        <f>_xlfn.TEXTAFTER(_xlfn.TEXTBEFORE(batch_summary[[#This Row],[video]],"_",1),"-",3)</f>
        <v>20</v>
      </c>
      <c r="AJ701" s="1" t="str">
        <f>_xlfn.TEXTBEFORE(_xlfn.TEXTAFTER(batch_summary[[#This Row],[video]],"_",1),"_",1)</f>
        <v>20260322</v>
      </c>
      <c r="AK701" s="1" t="str">
        <f>_xlfn.TEXTBEFORE(_xlfn.TEXTAFTER(batch_summary[[#This Row],[video]],"_",2),".",1)</f>
        <v>080000</v>
      </c>
    </row>
    <row r="702" spans="1:37" x14ac:dyDescent="0.2">
      <c r="A702" s="1" t="s">
        <v>949</v>
      </c>
      <c r="B702" s="1" t="s">
        <v>950</v>
      </c>
      <c r="C702">
        <v>119.95833333333333</v>
      </c>
      <c r="D702">
        <v>2879</v>
      </c>
      <c r="E702">
        <v>0.33690016809850931</v>
      </c>
      <c r="F702">
        <v>43.653210409916937</v>
      </c>
      <c r="G702">
        <v>1.1701985692897163E-4</v>
      </c>
      <c r="H702">
        <v>1.5162629527584903E-2</v>
      </c>
      <c r="I702">
        <v>5</v>
      </c>
      <c r="J702" t="b">
        <v>1</v>
      </c>
      <c r="K702">
        <v>0.65</v>
      </c>
      <c r="L702">
        <v>1.3</v>
      </c>
      <c r="M702" t="b">
        <v>1</v>
      </c>
      <c r="N702">
        <v>200</v>
      </c>
      <c r="O702" t="b">
        <v>0</v>
      </c>
      <c r="P702" t="b">
        <v>0</v>
      </c>
      <c r="Q702">
        <v>0.7</v>
      </c>
      <c r="R702">
        <v>21693.689524829388</v>
      </c>
      <c r="S702">
        <v>17847.540947794914</v>
      </c>
      <c r="T702">
        <v>6856.6752471923828</v>
      </c>
      <c r="U702">
        <v>2489.120361328125</v>
      </c>
      <c r="V702">
        <v>39541.230472624302</v>
      </c>
      <c r="W702">
        <v>9345.7956085205078</v>
      </c>
      <c r="X702">
        <v>329.6247069617865</v>
      </c>
      <c r="Y702">
        <v>77.908681696593334</v>
      </c>
      <c r="Z702">
        <v>64.827451477050786</v>
      </c>
      <c r="AA702">
        <v>2.3364489021301269</v>
      </c>
      <c r="AB702">
        <v>68.566752471923834</v>
      </c>
      <c r="AC702">
        <v>24.891203613281249</v>
      </c>
      <c r="AD702">
        <v>93.457956085205083</v>
      </c>
      <c r="AE702">
        <v>4.2309111100797869</v>
      </c>
      <c r="AF702" s="1" t="s">
        <v>951</v>
      </c>
      <c r="AG702" s="1" t="s">
        <v>952</v>
      </c>
      <c r="AH702" s="1" t="s">
        <v>953</v>
      </c>
      <c r="AI702" s="1" t="str">
        <f>_xlfn.TEXTAFTER(_xlfn.TEXTBEFORE(batch_summary[[#This Row],[video]],"_",1),"-",3)</f>
        <v>20</v>
      </c>
      <c r="AJ702" s="1" t="str">
        <f>_xlfn.TEXTBEFORE(_xlfn.TEXTAFTER(batch_summary[[#This Row],[video]],"_",1),"_",1)</f>
        <v>20260322</v>
      </c>
      <c r="AK702" s="1" t="str">
        <f>_xlfn.TEXTBEFORE(_xlfn.TEXTAFTER(batch_summary[[#This Row],[video]],"_",2),".",1)</f>
        <v>090000</v>
      </c>
    </row>
    <row r="703" spans="1:37" x14ac:dyDescent="0.2">
      <c r="A703" s="1" t="s">
        <v>954</v>
      </c>
      <c r="B703" s="1" t="s">
        <v>955</v>
      </c>
      <c r="C703">
        <v>119.95833333333333</v>
      </c>
      <c r="D703">
        <v>2879</v>
      </c>
      <c r="E703">
        <v>0.35175400879234076</v>
      </c>
      <c r="F703">
        <v>45.209852359257638</v>
      </c>
      <c r="G703">
        <v>1.2217923195287974E-4</v>
      </c>
      <c r="H703">
        <v>1.5703317943472607E-2</v>
      </c>
      <c r="I703">
        <v>5</v>
      </c>
      <c r="J703" t="b">
        <v>1</v>
      </c>
      <c r="K703">
        <v>0.65</v>
      </c>
      <c r="L703">
        <v>1.3</v>
      </c>
      <c r="M703" t="b">
        <v>1</v>
      </c>
      <c r="N703">
        <v>200</v>
      </c>
      <c r="O703" t="b">
        <v>0</v>
      </c>
      <c r="P703" t="b">
        <v>0</v>
      </c>
      <c r="Q703">
        <v>0.7</v>
      </c>
      <c r="R703">
        <v>3431497.4746907353</v>
      </c>
      <c r="S703">
        <v>3284587.6436015368</v>
      </c>
      <c r="T703">
        <v>2992613.8136717081</v>
      </c>
      <c r="U703">
        <v>2807552.0843086243</v>
      </c>
      <c r="V703">
        <v>6716085.1182922721</v>
      </c>
      <c r="W703">
        <v>5800165.8979803324</v>
      </c>
      <c r="X703">
        <v>55986.815852384345</v>
      </c>
      <c r="Y703">
        <v>48351.50453335463</v>
      </c>
      <c r="Z703">
        <v>3455.9066915893554</v>
      </c>
      <c r="AA703">
        <v>1450.0414744950831</v>
      </c>
      <c r="AB703">
        <v>29926.13813671708</v>
      </c>
      <c r="AC703">
        <v>28075.520843086244</v>
      </c>
      <c r="AD703">
        <v>58001.658979803324</v>
      </c>
      <c r="AE703">
        <v>1.1579125901607177</v>
      </c>
      <c r="AF703" s="1" t="s">
        <v>956</v>
      </c>
      <c r="AG703" s="1" t="s">
        <v>957</v>
      </c>
      <c r="AH703" s="1" t="s">
        <v>958</v>
      </c>
      <c r="AI703" s="1" t="str">
        <f>_xlfn.TEXTAFTER(_xlfn.TEXTBEFORE(batch_summary[[#This Row],[video]],"_",1),"-",3)</f>
        <v>20</v>
      </c>
      <c r="AJ703" s="1" t="str">
        <f>_xlfn.TEXTBEFORE(_xlfn.TEXTAFTER(batch_summary[[#This Row],[video]],"_",1),"_",1)</f>
        <v>20260322</v>
      </c>
      <c r="AK703" s="1" t="str">
        <f>_xlfn.TEXTBEFORE(_xlfn.TEXTAFTER(batch_summary[[#This Row],[video]],"_",2),".",1)</f>
        <v>100000</v>
      </c>
    </row>
    <row r="704" spans="1:37" x14ac:dyDescent="0.2">
      <c r="A704" s="1" t="s">
        <v>959</v>
      </c>
      <c r="B704" s="1" t="s">
        <v>960</v>
      </c>
      <c r="C704">
        <v>119.95833333333333</v>
      </c>
      <c r="D704">
        <v>2879</v>
      </c>
      <c r="E704">
        <v>0.34530097804963589</v>
      </c>
      <c r="F704">
        <v>44.885399295017123</v>
      </c>
      <c r="G704">
        <v>1.1993781800959913E-4</v>
      </c>
      <c r="H704">
        <v>1.5590621498790248E-2</v>
      </c>
      <c r="I704">
        <v>5</v>
      </c>
      <c r="J704" t="b">
        <v>1</v>
      </c>
      <c r="K704">
        <v>0.65</v>
      </c>
      <c r="L704">
        <v>1.3</v>
      </c>
      <c r="M704" t="b">
        <v>1</v>
      </c>
      <c r="N704">
        <v>200</v>
      </c>
      <c r="O704" t="b">
        <v>0</v>
      </c>
      <c r="P704" t="b">
        <v>0</v>
      </c>
      <c r="Q704">
        <v>0.7</v>
      </c>
      <c r="R704">
        <v>4411163.0812516212</v>
      </c>
      <c r="S704">
        <v>4468478.7506451607</v>
      </c>
      <c r="T704">
        <v>3957237.2129464746</v>
      </c>
      <c r="U704">
        <v>3988859.5262364149</v>
      </c>
      <c r="V704">
        <v>8879641.8318967819</v>
      </c>
      <c r="W704">
        <v>7946096.7391828895</v>
      </c>
      <c r="X704">
        <v>74022.717598305928</v>
      </c>
      <c r="Y704">
        <v>66240.472990756985</v>
      </c>
      <c r="Z704">
        <v>4663.1706111145022</v>
      </c>
      <c r="AA704">
        <v>1986.5241847957222</v>
      </c>
      <c r="AB704">
        <v>39572.372129464748</v>
      </c>
      <c r="AC704">
        <v>39888.59526236415</v>
      </c>
      <c r="AD704">
        <v>79460.96739182889</v>
      </c>
      <c r="AE704">
        <v>1.1174847378978539</v>
      </c>
      <c r="AF704" s="1" t="s">
        <v>961</v>
      </c>
      <c r="AG704" s="1" t="s">
        <v>962</v>
      </c>
      <c r="AH704" s="1" t="s">
        <v>963</v>
      </c>
      <c r="AI704" s="1" t="str">
        <f>_xlfn.TEXTAFTER(_xlfn.TEXTBEFORE(batch_summary[[#This Row],[video]],"_",1),"-",3)</f>
        <v>20</v>
      </c>
      <c r="AJ704" s="1" t="str">
        <f>_xlfn.TEXTBEFORE(_xlfn.TEXTAFTER(batch_summary[[#This Row],[video]],"_",1),"_",1)</f>
        <v>20260322</v>
      </c>
      <c r="AK704" s="1" t="str">
        <f>_xlfn.TEXTBEFORE(_xlfn.TEXTAFTER(batch_summary[[#This Row],[video]],"_",2),".",1)</f>
        <v>110000</v>
      </c>
    </row>
    <row r="705" spans="1:37" x14ac:dyDescent="0.2">
      <c r="A705" s="1" t="s">
        <v>964</v>
      </c>
      <c r="B705" s="1" t="s">
        <v>965</v>
      </c>
      <c r="C705">
        <v>119.95833333333333</v>
      </c>
      <c r="D705">
        <v>2879</v>
      </c>
      <c r="E705">
        <v>0.31666661147028208</v>
      </c>
      <c r="F705">
        <v>44.774583737365901</v>
      </c>
      <c r="G705">
        <v>1.0999187616195974E-4</v>
      </c>
      <c r="H705">
        <v>1.555213050967902E-2</v>
      </c>
      <c r="I705">
        <v>5</v>
      </c>
      <c r="J705" t="b">
        <v>1</v>
      </c>
      <c r="K705">
        <v>0.65</v>
      </c>
      <c r="L705">
        <v>1.3</v>
      </c>
      <c r="M705" t="b">
        <v>1</v>
      </c>
      <c r="N705">
        <v>200</v>
      </c>
      <c r="O705" t="b">
        <v>0</v>
      </c>
      <c r="P705" t="b">
        <v>0</v>
      </c>
      <c r="Q705">
        <v>0.7</v>
      </c>
      <c r="R705">
        <v>10618736.910420895</v>
      </c>
      <c r="S705">
        <v>10373171.661809862</v>
      </c>
      <c r="T705">
        <v>9645064.5759270787</v>
      </c>
      <c r="U705">
        <v>9332650.7741100192</v>
      </c>
      <c r="V705">
        <v>20991908.572230756</v>
      </c>
      <c r="W705">
        <v>18977715.350037098</v>
      </c>
      <c r="X705">
        <v>174993.33300921784</v>
      </c>
      <c r="Y705">
        <v>158202.55936119845</v>
      </c>
      <c r="Z705">
        <v>9262.6480508613586</v>
      </c>
      <c r="AA705">
        <v>4744.4288375092747</v>
      </c>
      <c r="AB705">
        <v>96450.645759270788</v>
      </c>
      <c r="AC705">
        <v>93326.507741100198</v>
      </c>
      <c r="AD705">
        <v>189777.15350037097</v>
      </c>
      <c r="AE705">
        <v>1.1061346524090279</v>
      </c>
      <c r="AF705" s="1" t="s">
        <v>966</v>
      </c>
      <c r="AG705" s="1" t="s">
        <v>967</v>
      </c>
      <c r="AH705" s="1" t="s">
        <v>968</v>
      </c>
      <c r="AI705" s="1" t="str">
        <f>_xlfn.TEXTAFTER(_xlfn.TEXTBEFORE(batch_summary[[#This Row],[video]],"_",1),"-",3)</f>
        <v>20</v>
      </c>
      <c r="AJ705" s="1" t="str">
        <f>_xlfn.TEXTBEFORE(_xlfn.TEXTAFTER(batch_summary[[#This Row],[video]],"_",1),"_",1)</f>
        <v>20260322</v>
      </c>
      <c r="AK705" s="1" t="str">
        <f>_xlfn.TEXTBEFORE(_xlfn.TEXTAFTER(batch_summary[[#This Row],[video]],"_",2),".",1)</f>
        <v>120000</v>
      </c>
    </row>
    <row r="706" spans="1:37" x14ac:dyDescent="0.2">
      <c r="A706" s="1" t="s">
        <v>969</v>
      </c>
      <c r="B706" s="1" t="s">
        <v>970</v>
      </c>
      <c r="C706">
        <v>119.95833333333333</v>
      </c>
      <c r="D706">
        <v>2879</v>
      </c>
      <c r="E706">
        <v>0.29171393997967243</v>
      </c>
      <c r="F706">
        <v>44.135940316133201</v>
      </c>
      <c r="G706">
        <v>1.0132474469596125E-4</v>
      </c>
      <c r="H706">
        <v>1.5330302298066412E-2</v>
      </c>
      <c r="I706">
        <v>5</v>
      </c>
      <c r="J706" t="b">
        <v>1</v>
      </c>
      <c r="K706">
        <v>0.65</v>
      </c>
      <c r="L706">
        <v>1.3</v>
      </c>
      <c r="M706" t="b">
        <v>1</v>
      </c>
      <c r="N706">
        <v>200</v>
      </c>
      <c r="O706" t="b">
        <v>0</v>
      </c>
      <c r="P706" t="b">
        <v>0</v>
      </c>
      <c r="Q706">
        <v>0.7</v>
      </c>
      <c r="R706">
        <v>15664579.823807418</v>
      </c>
      <c r="S706">
        <v>15194902.58848691</v>
      </c>
      <c r="T706">
        <v>14574036.09330529</v>
      </c>
      <c r="U706">
        <v>14004808.952529311</v>
      </c>
      <c r="V706">
        <v>30859482.412294328</v>
      </c>
      <c r="W706">
        <v>28578845.045834601</v>
      </c>
      <c r="X706">
        <v>257251.67693472173</v>
      </c>
      <c r="Y706">
        <v>238239.76418896508</v>
      </c>
      <c r="Z706">
        <v>11039.746755275726</v>
      </c>
      <c r="AA706">
        <v>7144.7112614586495</v>
      </c>
      <c r="AB706">
        <v>145740.3609330529</v>
      </c>
      <c r="AC706">
        <v>140048.08952529312</v>
      </c>
      <c r="AD706">
        <v>285788.45045834605</v>
      </c>
      <c r="AE706">
        <v>1.0798015931995171</v>
      </c>
      <c r="AF706" s="1" t="s">
        <v>971</v>
      </c>
      <c r="AG706" s="1" t="s">
        <v>972</v>
      </c>
      <c r="AH706" s="1" t="s">
        <v>973</v>
      </c>
      <c r="AI706" s="1" t="str">
        <f>_xlfn.TEXTAFTER(_xlfn.TEXTBEFORE(batch_summary[[#This Row],[video]],"_",1),"-",3)</f>
        <v>20</v>
      </c>
      <c r="AJ706" s="1" t="str">
        <f>_xlfn.TEXTBEFORE(_xlfn.TEXTAFTER(batch_summary[[#This Row],[video]],"_",1),"_",1)</f>
        <v>20260322</v>
      </c>
      <c r="AK706" s="1" t="str">
        <f>_xlfn.TEXTBEFORE(_xlfn.TEXTAFTER(batch_summary[[#This Row],[video]],"_",2),".",1)</f>
        <v>130000</v>
      </c>
    </row>
    <row r="707" spans="1:37" x14ac:dyDescent="0.2">
      <c r="A707" s="1" t="s">
        <v>974</v>
      </c>
      <c r="B707" s="1" t="s">
        <v>975</v>
      </c>
      <c r="C707">
        <v>119.95833333333333</v>
      </c>
      <c r="D707">
        <v>2879</v>
      </c>
      <c r="E707">
        <v>0.28310509957373142</v>
      </c>
      <c r="F707">
        <v>43.311233702115715</v>
      </c>
      <c r="G707">
        <v>9.8334525728979309E-5</v>
      </c>
      <c r="H707">
        <v>1.5043846371002333E-2</v>
      </c>
      <c r="I707">
        <v>5</v>
      </c>
      <c r="J707" t="b">
        <v>1</v>
      </c>
      <c r="K707">
        <v>0.65</v>
      </c>
      <c r="L707">
        <v>1.3</v>
      </c>
      <c r="M707" t="b">
        <v>1</v>
      </c>
      <c r="N707">
        <v>200</v>
      </c>
      <c r="O707" t="b">
        <v>0</v>
      </c>
      <c r="P707" t="b">
        <v>0</v>
      </c>
      <c r="Q707">
        <v>0.7</v>
      </c>
      <c r="R707">
        <v>25614808.903991699</v>
      </c>
      <c r="S707">
        <v>26634850.440181732</v>
      </c>
      <c r="T707">
        <v>24609348.773743629</v>
      </c>
      <c r="U707">
        <v>25515037.479191065</v>
      </c>
      <c r="V707">
        <v>52249659.344173431</v>
      </c>
      <c r="W707">
        <v>50124386.252934694</v>
      </c>
      <c r="X707">
        <v>435565.06573815993</v>
      </c>
      <c r="Y707">
        <v>417848.30499146675</v>
      </c>
      <c r="Z707">
        <v>16054.436450195313</v>
      </c>
      <c r="AA707">
        <v>12531.096563233672</v>
      </c>
      <c r="AB707">
        <v>246093.48773743628</v>
      </c>
      <c r="AC707">
        <v>255150.37479191064</v>
      </c>
      <c r="AD707">
        <v>501243.86252934695</v>
      </c>
      <c r="AE707">
        <v>1.0423999823262535</v>
      </c>
      <c r="AF707" s="1" t="s">
        <v>976</v>
      </c>
      <c r="AG707" s="1" t="s">
        <v>977</v>
      </c>
      <c r="AH707" s="1" t="s">
        <v>978</v>
      </c>
      <c r="AI707" s="1" t="str">
        <f>_xlfn.TEXTAFTER(_xlfn.TEXTBEFORE(batch_summary[[#This Row],[video]],"_",1),"-",3)</f>
        <v>20</v>
      </c>
      <c r="AJ707" s="1" t="str">
        <f>_xlfn.TEXTBEFORE(_xlfn.TEXTAFTER(batch_summary[[#This Row],[video]],"_",1),"_",1)</f>
        <v>20260322</v>
      </c>
      <c r="AK707" s="1" t="str">
        <f>_xlfn.TEXTBEFORE(_xlfn.TEXTAFTER(batch_summary[[#This Row],[video]],"_",2),".",1)</f>
        <v>140000</v>
      </c>
    </row>
    <row r="708" spans="1:37" x14ac:dyDescent="0.2">
      <c r="A708" s="1" t="s">
        <v>979</v>
      </c>
      <c r="B708" s="1" t="s">
        <v>980</v>
      </c>
      <c r="C708">
        <v>119.95833333333333</v>
      </c>
      <c r="D708">
        <v>2879</v>
      </c>
      <c r="E708">
        <v>0.2937565129250288</v>
      </c>
      <c r="F708">
        <v>44.164736208505929</v>
      </c>
      <c r="G708">
        <v>1.0203421775791205E-4</v>
      </c>
      <c r="H708">
        <v>1.5340304344739816E-2</v>
      </c>
      <c r="I708">
        <v>5</v>
      </c>
      <c r="J708" t="b">
        <v>1</v>
      </c>
      <c r="K708">
        <v>0.65</v>
      </c>
      <c r="L708">
        <v>1.3</v>
      </c>
      <c r="M708" t="b">
        <v>1</v>
      </c>
      <c r="N708">
        <v>200</v>
      </c>
      <c r="O708" t="b">
        <v>0</v>
      </c>
      <c r="P708" t="b">
        <v>0</v>
      </c>
      <c r="Q708">
        <v>0.7</v>
      </c>
      <c r="R708">
        <v>14262443.026794255</v>
      </c>
      <c r="S708">
        <v>16126154.350757718</v>
      </c>
      <c r="T708">
        <v>13241095.488004744</v>
      </c>
      <c r="U708">
        <v>15006100.229212284</v>
      </c>
      <c r="V708">
        <v>30388597.377551973</v>
      </c>
      <c r="W708">
        <v>28247195.717217028</v>
      </c>
      <c r="X708">
        <v>253326.27199070767</v>
      </c>
      <c r="Y708">
        <v>235475.05981702282</v>
      </c>
      <c r="Z708">
        <v>11258.071041145326</v>
      </c>
      <c r="AA708">
        <v>7061.7989293042574</v>
      </c>
      <c r="AB708">
        <v>132410.95488004744</v>
      </c>
      <c r="AC708">
        <v>150061.00229212284</v>
      </c>
      <c r="AD708">
        <v>282471.95717217028</v>
      </c>
      <c r="AE708">
        <v>1.0758093540248221</v>
      </c>
      <c r="AF708" s="1" t="s">
        <v>981</v>
      </c>
      <c r="AG708" s="1" t="s">
        <v>982</v>
      </c>
      <c r="AH708" s="1" t="s">
        <v>983</v>
      </c>
      <c r="AI708" s="1" t="str">
        <f>_xlfn.TEXTAFTER(_xlfn.TEXTBEFORE(batch_summary[[#This Row],[video]],"_",1),"-",3)</f>
        <v>20</v>
      </c>
      <c r="AJ708" s="1" t="str">
        <f>_xlfn.TEXTBEFORE(_xlfn.TEXTAFTER(batch_summary[[#This Row],[video]],"_",1),"_",1)</f>
        <v>20260322</v>
      </c>
      <c r="AK708" s="1" t="str">
        <f>_xlfn.TEXTBEFORE(_xlfn.TEXTAFTER(batch_summary[[#This Row],[video]],"_",2),".",1)</f>
        <v>150000</v>
      </c>
    </row>
    <row r="709" spans="1:37" x14ac:dyDescent="0.2">
      <c r="A709" s="1" t="s">
        <v>984</v>
      </c>
      <c r="B709" s="1" t="s">
        <v>985</v>
      </c>
      <c r="C709">
        <v>119.95833333333333</v>
      </c>
      <c r="D709">
        <v>2879</v>
      </c>
      <c r="E709">
        <v>0.30848449189215899</v>
      </c>
      <c r="F709">
        <v>44.411078361794353</v>
      </c>
      <c r="G709">
        <v>1.0714987561381E-4</v>
      </c>
      <c r="H709">
        <v>1.5425869524763582E-2</v>
      </c>
      <c r="I709">
        <v>5</v>
      </c>
      <c r="J709" t="b">
        <v>1</v>
      </c>
      <c r="K709">
        <v>0.65</v>
      </c>
      <c r="L709">
        <v>1.3</v>
      </c>
      <c r="M709" t="b">
        <v>1</v>
      </c>
      <c r="N709">
        <v>200</v>
      </c>
      <c r="O709" t="b">
        <v>0</v>
      </c>
      <c r="P709" t="b">
        <v>0</v>
      </c>
      <c r="Q709">
        <v>0.7</v>
      </c>
      <c r="R709">
        <v>10107230.04337275</v>
      </c>
      <c r="S709">
        <v>9414533.6317871213</v>
      </c>
      <c r="T709">
        <v>9128672.7755969763</v>
      </c>
      <c r="U709">
        <v>8378264.5837754011</v>
      </c>
      <c r="V709">
        <v>19521763.675159872</v>
      </c>
      <c r="W709">
        <v>17506937.359372377</v>
      </c>
      <c r="X709">
        <v>162737.87016458387</v>
      </c>
      <c r="Y709">
        <v>145941.81890411151</v>
      </c>
      <c r="Z709">
        <v>7351.3215430450437</v>
      </c>
      <c r="AA709">
        <v>4376.7343398430949</v>
      </c>
      <c r="AB709">
        <v>91286.727755969769</v>
      </c>
      <c r="AC709">
        <v>83782.645837754011</v>
      </c>
      <c r="AD709">
        <v>175069.37359372378</v>
      </c>
      <c r="AE709">
        <v>1.1150873093579017</v>
      </c>
      <c r="AF709" s="1" t="s">
        <v>986</v>
      </c>
      <c r="AG709" s="1" t="s">
        <v>987</v>
      </c>
      <c r="AH709" s="1" t="s">
        <v>988</v>
      </c>
      <c r="AI709" s="1" t="str">
        <f>_xlfn.TEXTAFTER(_xlfn.TEXTBEFORE(batch_summary[[#This Row],[video]],"_",1),"-",3)</f>
        <v>20</v>
      </c>
      <c r="AJ709" s="1" t="str">
        <f>_xlfn.TEXTBEFORE(_xlfn.TEXTAFTER(batch_summary[[#This Row],[video]],"_",1),"_",1)</f>
        <v>20260322</v>
      </c>
      <c r="AK709" s="1" t="str">
        <f>_xlfn.TEXTBEFORE(_xlfn.TEXTAFTER(batch_summary[[#This Row],[video]],"_",2),".",1)</f>
        <v>160000</v>
      </c>
    </row>
    <row r="710" spans="1:37" x14ac:dyDescent="0.2">
      <c r="A710" s="1" t="s">
        <v>989</v>
      </c>
      <c r="B710" s="1" t="s">
        <v>990</v>
      </c>
      <c r="C710">
        <v>119.95833333333333</v>
      </c>
      <c r="D710">
        <v>2879</v>
      </c>
      <c r="E710">
        <v>0.33424660563468933</v>
      </c>
      <c r="F710">
        <v>44.836153544485569</v>
      </c>
      <c r="G710">
        <v>1.1609816104018386E-4</v>
      </c>
      <c r="H710">
        <v>1.5573516340564629E-2</v>
      </c>
      <c r="I710">
        <v>5</v>
      </c>
      <c r="J710" t="b">
        <v>1</v>
      </c>
      <c r="K710">
        <v>0.65</v>
      </c>
      <c r="L710">
        <v>1.3</v>
      </c>
      <c r="M710" t="b">
        <v>1</v>
      </c>
      <c r="N710">
        <v>200</v>
      </c>
      <c r="O710" t="b">
        <v>0</v>
      </c>
      <c r="P710" t="b">
        <v>0</v>
      </c>
      <c r="Q710">
        <v>0.7</v>
      </c>
      <c r="R710">
        <v>6980670.9146903753</v>
      </c>
      <c r="S710">
        <v>6629612.7333006859</v>
      </c>
      <c r="T710">
        <v>6290522.4545553327</v>
      </c>
      <c r="U710">
        <v>5931407.4301846027</v>
      </c>
      <c r="V710">
        <v>13610283.647991061</v>
      </c>
      <c r="W710">
        <v>12221929.884739935</v>
      </c>
      <c r="X710">
        <v>113458.42568662226</v>
      </c>
      <c r="Y710">
        <v>101884.79237018355</v>
      </c>
      <c r="Z710">
        <v>5589.0106423449524</v>
      </c>
      <c r="AA710">
        <v>3055.4824711849842</v>
      </c>
      <c r="AB710">
        <v>62905.224545553327</v>
      </c>
      <c r="AC710">
        <v>59314.074301846027</v>
      </c>
      <c r="AD710">
        <v>122219.29884739936</v>
      </c>
      <c r="AE710">
        <v>1.1135952976611818</v>
      </c>
      <c r="AF710" s="1" t="s">
        <v>991</v>
      </c>
      <c r="AG710" s="1" t="s">
        <v>992</v>
      </c>
      <c r="AH710" s="1" t="s">
        <v>993</v>
      </c>
      <c r="AI710" s="1" t="str">
        <f>_xlfn.TEXTAFTER(_xlfn.TEXTBEFORE(batch_summary[[#This Row],[video]],"_",1),"-",3)</f>
        <v>20</v>
      </c>
      <c r="AJ710" s="1" t="str">
        <f>_xlfn.TEXTBEFORE(_xlfn.TEXTAFTER(batch_summary[[#This Row],[video]],"_",1),"_",1)</f>
        <v>20260322</v>
      </c>
      <c r="AK710" s="1" t="str">
        <f>_xlfn.TEXTBEFORE(_xlfn.TEXTAFTER(batch_summary[[#This Row],[video]],"_",2),".",1)</f>
        <v>170000</v>
      </c>
    </row>
    <row r="711" spans="1:37" x14ac:dyDescent="0.2">
      <c r="A711" s="1" t="s">
        <v>994</v>
      </c>
      <c r="B711" s="1" t="s">
        <v>995</v>
      </c>
      <c r="C711">
        <v>119.95833333333333</v>
      </c>
      <c r="D711">
        <v>2879</v>
      </c>
      <c r="E711">
        <v>0.34977249894291162</v>
      </c>
      <c r="F711">
        <v>44.9417062131688</v>
      </c>
      <c r="G711">
        <v>1.214909687193163E-4</v>
      </c>
      <c r="H711">
        <v>1.5610179302941576E-2</v>
      </c>
      <c r="I711">
        <v>5</v>
      </c>
      <c r="J711" t="b">
        <v>1</v>
      </c>
      <c r="K711">
        <v>0.65</v>
      </c>
      <c r="L711">
        <v>1.3</v>
      </c>
      <c r="M711" t="b">
        <v>1</v>
      </c>
      <c r="N711">
        <v>200</v>
      </c>
      <c r="O711" t="b">
        <v>0</v>
      </c>
      <c r="P711" t="b">
        <v>0</v>
      </c>
      <c r="Q711">
        <v>0.7</v>
      </c>
      <c r="R711">
        <v>1985484.525706172</v>
      </c>
      <c r="S711">
        <v>1352503.2674539685</v>
      </c>
      <c r="T711">
        <v>1734416.5847245455</v>
      </c>
      <c r="U711">
        <v>1087697.2431227565</v>
      </c>
      <c r="V711">
        <v>3337987.7931601405</v>
      </c>
      <c r="W711">
        <v>2822113.827847302</v>
      </c>
      <c r="X711">
        <v>27826.226827316212</v>
      </c>
      <c r="Y711">
        <v>23525.78390702857</v>
      </c>
      <c r="Z711">
        <v>2688.9075250375272</v>
      </c>
      <c r="AA711">
        <v>705.52845696182555</v>
      </c>
      <c r="AB711">
        <v>17344.165847245455</v>
      </c>
      <c r="AC711">
        <v>10876.972431227565</v>
      </c>
      <c r="AD711">
        <v>28221.138278473019</v>
      </c>
      <c r="AE711">
        <v>1.1827970084772752</v>
      </c>
      <c r="AF711" s="1" t="s">
        <v>996</v>
      </c>
      <c r="AG711" s="1" t="s">
        <v>997</v>
      </c>
      <c r="AH711" s="1" t="s">
        <v>998</v>
      </c>
      <c r="AI711" s="1" t="str">
        <f>_xlfn.TEXTAFTER(_xlfn.TEXTBEFORE(batch_summary[[#This Row],[video]],"_",1),"-",3)</f>
        <v>20</v>
      </c>
      <c r="AJ711" s="1" t="str">
        <f>_xlfn.TEXTBEFORE(_xlfn.TEXTAFTER(batch_summary[[#This Row],[video]],"_",1),"_",1)</f>
        <v>20260322</v>
      </c>
      <c r="AK711" s="1" t="str">
        <f>_xlfn.TEXTBEFORE(_xlfn.TEXTAFTER(batch_summary[[#This Row],[video]],"_",2),".",1)</f>
        <v>180000</v>
      </c>
    </row>
    <row r="712" spans="1:37" x14ac:dyDescent="0.2">
      <c r="A712" s="1" t="s">
        <v>999</v>
      </c>
      <c r="B712" s="1" t="s">
        <v>1000</v>
      </c>
      <c r="C712">
        <v>119.95833333333333</v>
      </c>
      <c r="D712">
        <v>2879</v>
      </c>
      <c r="E712">
        <v>0.34103968739509583</v>
      </c>
      <c r="F712">
        <v>44.129247185774148</v>
      </c>
      <c r="G712">
        <v>1.1845768926540321E-4</v>
      </c>
      <c r="H712">
        <v>1.5327977487243538E-2</v>
      </c>
      <c r="I712">
        <v>5</v>
      </c>
      <c r="J712" t="b">
        <v>1</v>
      </c>
      <c r="K712">
        <v>0.65</v>
      </c>
      <c r="L712">
        <v>1.3</v>
      </c>
      <c r="M712" t="b">
        <v>1</v>
      </c>
      <c r="N712">
        <v>200</v>
      </c>
      <c r="O712" t="b">
        <v>0</v>
      </c>
      <c r="P712" t="b">
        <v>0</v>
      </c>
      <c r="Q712">
        <v>0.7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s="1" t="s">
        <v>1001</v>
      </c>
      <c r="AG712" s="1" t="s">
        <v>1002</v>
      </c>
      <c r="AH712" s="1" t="s">
        <v>1003</v>
      </c>
      <c r="AI712" s="1" t="str">
        <f>_xlfn.TEXTAFTER(_xlfn.TEXTBEFORE(batch_summary[[#This Row],[video]],"_",1),"-",3)</f>
        <v>20</v>
      </c>
      <c r="AJ712" s="1" t="str">
        <f>_xlfn.TEXTBEFORE(_xlfn.TEXTAFTER(batch_summary[[#This Row],[video]],"_",1),"_",1)</f>
        <v>20260322</v>
      </c>
      <c r="AK712" s="1" t="str">
        <f>_xlfn.TEXTBEFORE(_xlfn.TEXTAFTER(batch_summary[[#This Row],[video]],"_",2),".",1)</f>
        <v>190000</v>
      </c>
    </row>
    <row r="713" spans="1:37" x14ac:dyDescent="0.2">
      <c r="A713" s="1" t="s">
        <v>1004</v>
      </c>
      <c r="B713" s="1" t="s">
        <v>1005</v>
      </c>
      <c r="C713">
        <v>119.95833333333333</v>
      </c>
      <c r="D713">
        <v>2879</v>
      </c>
      <c r="E713">
        <v>0.35603747051209211</v>
      </c>
      <c r="F713">
        <v>44.312991729006171</v>
      </c>
      <c r="G713">
        <v>1.2366706165755197E-4</v>
      </c>
      <c r="H713">
        <v>1.5391799836403671E-2</v>
      </c>
      <c r="I713">
        <v>5</v>
      </c>
      <c r="J713" t="b">
        <v>1</v>
      </c>
      <c r="K713">
        <v>0.65</v>
      </c>
      <c r="L713">
        <v>1.3</v>
      </c>
      <c r="M713" t="b">
        <v>1</v>
      </c>
      <c r="N713">
        <v>200</v>
      </c>
      <c r="O713" t="b">
        <v>0</v>
      </c>
      <c r="P713" t="b">
        <v>0</v>
      </c>
      <c r="Q713">
        <v>0.7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s="1" t="s">
        <v>1006</v>
      </c>
      <c r="AG713" s="1" t="s">
        <v>1007</v>
      </c>
      <c r="AH713" s="1" t="s">
        <v>1008</v>
      </c>
      <c r="AI713" s="1" t="str">
        <f>_xlfn.TEXTAFTER(_xlfn.TEXTBEFORE(batch_summary[[#This Row],[video]],"_",1),"-",3)</f>
        <v>20</v>
      </c>
      <c r="AJ713" s="1" t="str">
        <f>_xlfn.TEXTBEFORE(_xlfn.TEXTAFTER(batch_summary[[#This Row],[video]],"_",1),"_",1)</f>
        <v>20260323</v>
      </c>
      <c r="AK713" s="1" t="str">
        <f>_xlfn.TEXTBEFORE(_xlfn.TEXTAFTER(batch_summary[[#This Row],[video]],"_",2),".",1)</f>
        <v>060000</v>
      </c>
    </row>
    <row r="714" spans="1:37" x14ac:dyDescent="0.2">
      <c r="A714" s="1" t="s">
        <v>1009</v>
      </c>
      <c r="B714" s="1" t="s">
        <v>1010</v>
      </c>
      <c r="C714">
        <v>119.95833333333333</v>
      </c>
      <c r="D714">
        <v>2879</v>
      </c>
      <c r="E714">
        <v>0.33525596465915442</v>
      </c>
      <c r="F714">
        <v>43.561094357632101</v>
      </c>
      <c r="G714">
        <v>1.1644875465757361E-4</v>
      </c>
      <c r="H714">
        <v>1.5130633677538068E-2</v>
      </c>
      <c r="I714">
        <v>5</v>
      </c>
      <c r="J714" t="b">
        <v>1</v>
      </c>
      <c r="K714">
        <v>0.65</v>
      </c>
      <c r="L714">
        <v>1.3</v>
      </c>
      <c r="M714" t="b">
        <v>1</v>
      </c>
      <c r="N714">
        <v>200</v>
      </c>
      <c r="O714" t="b">
        <v>0</v>
      </c>
      <c r="P714" t="b">
        <v>0</v>
      </c>
      <c r="Q714">
        <v>0.7</v>
      </c>
      <c r="R714">
        <v>15450.295618236065</v>
      </c>
      <c r="S714">
        <v>11871.586552083492</v>
      </c>
      <c r="T714">
        <v>470.3416748046875</v>
      </c>
      <c r="U714">
        <v>0</v>
      </c>
      <c r="V714">
        <v>27321.882170319557</v>
      </c>
      <c r="W714">
        <v>470.3416748046875</v>
      </c>
      <c r="X714">
        <v>227.76143525101403</v>
      </c>
      <c r="Y714">
        <v>3.9208753717653702</v>
      </c>
      <c r="Z714">
        <v>4.7034167480468749</v>
      </c>
      <c r="AA714">
        <v>0.11758541870117187</v>
      </c>
      <c r="AB714">
        <v>4.7034167480468749</v>
      </c>
      <c r="AC714">
        <v>0</v>
      </c>
      <c r="AD714">
        <v>4.7034167480468749</v>
      </c>
      <c r="AE714">
        <v>58.089435050944935</v>
      </c>
      <c r="AF714" s="1" t="s">
        <v>1011</v>
      </c>
      <c r="AG714" s="1" t="s">
        <v>1012</v>
      </c>
      <c r="AH714" s="1" t="s">
        <v>1013</v>
      </c>
      <c r="AI714" s="1" t="str">
        <f>_xlfn.TEXTAFTER(_xlfn.TEXTBEFORE(batch_summary[[#This Row],[video]],"_",1),"-",3)</f>
        <v>20</v>
      </c>
      <c r="AJ714" s="1" t="str">
        <f>_xlfn.TEXTBEFORE(_xlfn.TEXTAFTER(batch_summary[[#This Row],[video]],"_",1),"_",1)</f>
        <v>20260323</v>
      </c>
      <c r="AK714" s="1" t="str">
        <f>_xlfn.TEXTBEFORE(_xlfn.TEXTAFTER(batch_summary[[#This Row],[video]],"_",2),".",1)</f>
        <v>070000</v>
      </c>
    </row>
    <row r="715" spans="1:37" x14ac:dyDescent="0.2">
      <c r="A715" s="1" t="s">
        <v>1014</v>
      </c>
      <c r="B715" s="1" t="s">
        <v>1015</v>
      </c>
      <c r="C715">
        <v>119.95833333333333</v>
      </c>
      <c r="D715">
        <v>2879</v>
      </c>
      <c r="E715">
        <v>0.32891976088285446</v>
      </c>
      <c r="F715">
        <v>43.330583987757564</v>
      </c>
      <c r="G715">
        <v>1.1424791972311721E-4</v>
      </c>
      <c r="H715">
        <v>1.5050567553927601E-2</v>
      </c>
      <c r="I715">
        <v>5</v>
      </c>
      <c r="J715" t="b">
        <v>1</v>
      </c>
      <c r="K715">
        <v>0.65</v>
      </c>
      <c r="L715">
        <v>1.3</v>
      </c>
      <c r="M715" t="b">
        <v>1</v>
      </c>
      <c r="N715">
        <v>200</v>
      </c>
      <c r="O715" t="b">
        <v>0</v>
      </c>
      <c r="P715" t="b">
        <v>0</v>
      </c>
      <c r="Q715">
        <v>0.7</v>
      </c>
      <c r="R715">
        <v>31365.799054026604</v>
      </c>
      <c r="S715">
        <v>47379.76929962635</v>
      </c>
      <c r="T715">
        <v>6790.6181488037109</v>
      </c>
      <c r="U715">
        <v>15883.574356079102</v>
      </c>
      <c r="V715">
        <v>78745.568353652954</v>
      </c>
      <c r="W715">
        <v>22674.192504882812</v>
      </c>
      <c r="X715">
        <v>656.44100051673183</v>
      </c>
      <c r="Y715">
        <v>189.01723519179836</v>
      </c>
      <c r="Z715">
        <v>181.73980407714845</v>
      </c>
      <c r="AA715">
        <v>5.6685481262207036</v>
      </c>
      <c r="AB715">
        <v>67.906181488037106</v>
      </c>
      <c r="AC715">
        <v>158.835743560791</v>
      </c>
      <c r="AD715">
        <v>226.74192504882811</v>
      </c>
      <c r="AE715">
        <v>3.4729161065689707</v>
      </c>
      <c r="AF715" s="1" t="s">
        <v>1016</v>
      </c>
      <c r="AG715" s="1" t="s">
        <v>1017</v>
      </c>
      <c r="AH715" s="1" t="s">
        <v>1018</v>
      </c>
      <c r="AI715" s="1" t="str">
        <f>_xlfn.TEXTAFTER(_xlfn.TEXTBEFORE(batch_summary[[#This Row],[video]],"_",1),"-",3)</f>
        <v>20</v>
      </c>
      <c r="AJ715" s="1" t="str">
        <f>_xlfn.TEXTBEFORE(_xlfn.TEXTAFTER(batch_summary[[#This Row],[video]],"_",1),"_",1)</f>
        <v>20260323</v>
      </c>
      <c r="AK715" s="1" t="str">
        <f>_xlfn.TEXTBEFORE(_xlfn.TEXTAFTER(batch_summary[[#This Row],[video]],"_",2),".",1)</f>
        <v>080000</v>
      </c>
    </row>
    <row r="716" spans="1:37" x14ac:dyDescent="0.2">
      <c r="A716" s="1" t="s">
        <v>1019</v>
      </c>
      <c r="B716" s="1" t="s">
        <v>1020</v>
      </c>
      <c r="C716">
        <v>119.95833333333333</v>
      </c>
      <c r="D716">
        <v>2879</v>
      </c>
      <c r="E716">
        <v>0.32810874748975039</v>
      </c>
      <c r="F716">
        <v>43.375948308035731</v>
      </c>
      <c r="G716">
        <v>1.1396622003812101E-4</v>
      </c>
      <c r="H716">
        <v>1.5066324525194765E-2</v>
      </c>
      <c r="I716">
        <v>5</v>
      </c>
      <c r="J716" t="b">
        <v>1</v>
      </c>
      <c r="K716">
        <v>0.65</v>
      </c>
      <c r="L716">
        <v>1.3</v>
      </c>
      <c r="M716" t="b">
        <v>1</v>
      </c>
      <c r="N716">
        <v>200</v>
      </c>
      <c r="O716" t="b">
        <v>0</v>
      </c>
      <c r="P716" t="b">
        <v>0</v>
      </c>
      <c r="Q716">
        <v>0.7</v>
      </c>
      <c r="R716">
        <v>31597.869274973869</v>
      </c>
      <c r="S716">
        <v>35286.694761157036</v>
      </c>
      <c r="T716">
        <v>1027.7051391601562</v>
      </c>
      <c r="U716">
        <v>598.47686767578125</v>
      </c>
      <c r="V716">
        <v>66884.564036130905</v>
      </c>
      <c r="W716">
        <v>1626.1820068359375</v>
      </c>
      <c r="X716">
        <v>557.56496591425559</v>
      </c>
      <c r="Y716">
        <v>13.55622374576676</v>
      </c>
      <c r="Z716">
        <v>5.9847686767578123</v>
      </c>
      <c r="AA716">
        <v>0.4065455017089844</v>
      </c>
      <c r="AB716">
        <v>10.277051391601562</v>
      </c>
      <c r="AC716">
        <v>5.9847686767578123</v>
      </c>
      <c r="AD716">
        <v>16.261820068359373</v>
      </c>
      <c r="AE716">
        <v>41.129814347330168</v>
      </c>
      <c r="AF716" s="1" t="s">
        <v>1021</v>
      </c>
      <c r="AG716" s="1" t="s">
        <v>1022</v>
      </c>
      <c r="AH716" s="1" t="s">
        <v>1023</v>
      </c>
      <c r="AI716" s="1" t="str">
        <f>_xlfn.TEXTAFTER(_xlfn.TEXTBEFORE(batch_summary[[#This Row],[video]],"_",1),"-",3)</f>
        <v>20</v>
      </c>
      <c r="AJ716" s="1" t="str">
        <f>_xlfn.TEXTBEFORE(_xlfn.TEXTAFTER(batch_summary[[#This Row],[video]],"_",1),"_",1)</f>
        <v>20260323</v>
      </c>
      <c r="AK716" s="1" t="str">
        <f>_xlfn.TEXTBEFORE(_xlfn.TEXTAFTER(batch_summary[[#This Row],[video]],"_",2),".",1)</f>
        <v>090000</v>
      </c>
    </row>
    <row r="717" spans="1:37" x14ac:dyDescent="0.2">
      <c r="A717" s="1" t="s">
        <v>1024</v>
      </c>
      <c r="B717" s="1" t="s">
        <v>1025</v>
      </c>
      <c r="C717">
        <v>119.95833333333333</v>
      </c>
      <c r="D717">
        <v>2879</v>
      </c>
      <c r="E717">
        <v>0.30070400610566139</v>
      </c>
      <c r="F717">
        <v>44.816489158198237</v>
      </c>
      <c r="G717">
        <v>1.0444737968241104E-4</v>
      </c>
      <c r="H717">
        <v>1.5566686057033079E-2</v>
      </c>
      <c r="I717">
        <v>5</v>
      </c>
      <c r="J717" t="b">
        <v>1</v>
      </c>
      <c r="K717">
        <v>0.65</v>
      </c>
      <c r="L717">
        <v>1.3</v>
      </c>
      <c r="M717" t="b">
        <v>1</v>
      </c>
      <c r="N717">
        <v>200</v>
      </c>
      <c r="O717" t="b">
        <v>0</v>
      </c>
      <c r="P717" t="b">
        <v>0</v>
      </c>
      <c r="Q717">
        <v>0.7</v>
      </c>
      <c r="R717">
        <v>8904854.4972472787</v>
      </c>
      <c r="S717">
        <v>17253833.829639792</v>
      </c>
      <c r="T717">
        <v>8019167.2327131033</v>
      </c>
      <c r="U717">
        <v>16010410.005729139</v>
      </c>
      <c r="V717">
        <v>26158688.326887071</v>
      </c>
      <c r="W717">
        <v>24029577.238442242</v>
      </c>
      <c r="X717">
        <v>218064.78633042367</v>
      </c>
      <c r="Y717">
        <v>200316.03116450636</v>
      </c>
      <c r="Z717">
        <v>11145.564178314209</v>
      </c>
      <c r="AA717">
        <v>6007.3943096105604</v>
      </c>
      <c r="AB717">
        <v>80191.672327131033</v>
      </c>
      <c r="AC717">
        <v>160104.10005729139</v>
      </c>
      <c r="AD717">
        <v>240295.77238442242</v>
      </c>
      <c r="AE717">
        <v>1.088603768069573</v>
      </c>
      <c r="AF717" s="1" t="s">
        <v>1026</v>
      </c>
      <c r="AG717" s="1" t="s">
        <v>1027</v>
      </c>
      <c r="AH717" s="1" t="s">
        <v>1028</v>
      </c>
      <c r="AI717" s="1" t="str">
        <f>_xlfn.TEXTAFTER(_xlfn.TEXTBEFORE(batch_summary[[#This Row],[video]],"_",1),"-",3)</f>
        <v>20</v>
      </c>
      <c r="AJ717" s="1" t="str">
        <f>_xlfn.TEXTBEFORE(_xlfn.TEXTAFTER(batch_summary[[#This Row],[video]],"_",1),"_",1)</f>
        <v>20260323</v>
      </c>
      <c r="AK717" s="1" t="str">
        <f>_xlfn.TEXTBEFORE(_xlfn.TEXTAFTER(batch_summary[[#This Row],[video]],"_",2),".",1)</f>
        <v>100000</v>
      </c>
    </row>
    <row r="718" spans="1:37" x14ac:dyDescent="0.2">
      <c r="A718" s="1" t="s">
        <v>1029</v>
      </c>
      <c r="B718" s="1" t="s">
        <v>1030</v>
      </c>
      <c r="C718">
        <v>119.95833333333333</v>
      </c>
      <c r="D718">
        <v>2879</v>
      </c>
      <c r="E718">
        <v>0.3004920082166791</v>
      </c>
      <c r="F718">
        <v>45.608140371739864</v>
      </c>
      <c r="G718">
        <v>1.0437374373625533E-4</v>
      </c>
      <c r="H718">
        <v>1.5841660427836007E-2</v>
      </c>
      <c r="I718">
        <v>5</v>
      </c>
      <c r="J718" t="b">
        <v>1</v>
      </c>
      <c r="K718">
        <v>0.65</v>
      </c>
      <c r="L718">
        <v>1.3</v>
      </c>
      <c r="M718" t="b">
        <v>1</v>
      </c>
      <c r="N718">
        <v>200</v>
      </c>
      <c r="O718" t="b">
        <v>0</v>
      </c>
      <c r="P718" t="b">
        <v>0</v>
      </c>
      <c r="Q718">
        <v>0.7</v>
      </c>
      <c r="R718">
        <v>11686235.658789694</v>
      </c>
      <c r="S718">
        <v>13667467.375217199</v>
      </c>
      <c r="T718">
        <v>10537729.856220841</v>
      </c>
      <c r="U718">
        <v>12521736.678477705</v>
      </c>
      <c r="V718">
        <v>25353703.034006894</v>
      </c>
      <c r="W718">
        <v>23059466.534698546</v>
      </c>
      <c r="X718">
        <v>211354.24550752534</v>
      </c>
      <c r="Y718">
        <v>192228.96729168639</v>
      </c>
      <c r="Z718">
        <v>9692.5323524475098</v>
      </c>
      <c r="AA718">
        <v>5764.8666336746364</v>
      </c>
      <c r="AB718">
        <v>105377.29856220841</v>
      </c>
      <c r="AC718">
        <v>125217.36678477704</v>
      </c>
      <c r="AD718">
        <v>230594.66534698545</v>
      </c>
      <c r="AE718">
        <v>1.0994921758426681</v>
      </c>
      <c r="AF718" s="1" t="s">
        <v>1031</v>
      </c>
      <c r="AG718" s="1" t="s">
        <v>1032</v>
      </c>
      <c r="AH718" s="1" t="s">
        <v>1033</v>
      </c>
      <c r="AI718" s="1" t="str">
        <f>_xlfn.TEXTAFTER(_xlfn.TEXTBEFORE(batch_summary[[#This Row],[video]],"_",1),"-",3)</f>
        <v>20</v>
      </c>
      <c r="AJ718" s="1" t="str">
        <f>_xlfn.TEXTBEFORE(_xlfn.TEXTAFTER(batch_summary[[#This Row],[video]],"_",1),"_",1)</f>
        <v>20260323</v>
      </c>
      <c r="AK718" s="1" t="str">
        <f>_xlfn.TEXTBEFORE(_xlfn.TEXTAFTER(batch_summary[[#This Row],[video]],"_",2),".",1)</f>
        <v>110000</v>
      </c>
    </row>
    <row r="719" spans="1:37" x14ac:dyDescent="0.2">
      <c r="A719" s="1" t="s">
        <v>1034</v>
      </c>
      <c r="B719" s="1" t="s">
        <v>1035</v>
      </c>
      <c r="C719">
        <v>119.95833333333333</v>
      </c>
      <c r="D719">
        <v>2879</v>
      </c>
      <c r="E719">
        <v>0.29335083439946175</v>
      </c>
      <c r="F719">
        <v>43.509457364678383</v>
      </c>
      <c r="G719">
        <v>1.0189330823183805E-4</v>
      </c>
      <c r="H719">
        <v>1.5112697938408607E-2</v>
      </c>
      <c r="I719">
        <v>5</v>
      </c>
      <c r="J719" t="b">
        <v>1</v>
      </c>
      <c r="K719">
        <v>0.65</v>
      </c>
      <c r="L719">
        <v>1.3</v>
      </c>
      <c r="M719" t="b">
        <v>1</v>
      </c>
      <c r="N719">
        <v>200</v>
      </c>
      <c r="O719" t="b">
        <v>0</v>
      </c>
      <c r="P719" t="b">
        <v>0</v>
      </c>
      <c r="Q719">
        <v>0.7</v>
      </c>
      <c r="R719">
        <v>16888986.205876291</v>
      </c>
      <c r="S719">
        <v>19678284.026864171</v>
      </c>
      <c r="T719">
        <v>15666925.009637058</v>
      </c>
      <c r="U719">
        <v>18255288.122042954</v>
      </c>
      <c r="V719">
        <v>36567270.232740462</v>
      </c>
      <c r="W719">
        <v>33922213.131680012</v>
      </c>
      <c r="X719">
        <v>304833.09676476941</v>
      </c>
      <c r="Y719">
        <v>282783.29807583202</v>
      </c>
      <c r="Z719">
        <v>12073.389197516441</v>
      </c>
      <c r="AA719">
        <v>8480.5532829200038</v>
      </c>
      <c r="AB719">
        <v>156669.25009637058</v>
      </c>
      <c r="AC719">
        <v>182552.88122042955</v>
      </c>
      <c r="AD719">
        <v>339222.13131680014</v>
      </c>
      <c r="AE719">
        <v>1.0779741902685656</v>
      </c>
      <c r="AF719" s="1" t="s">
        <v>1036</v>
      </c>
      <c r="AG719" s="1" t="s">
        <v>1037</v>
      </c>
      <c r="AH719" s="1" t="s">
        <v>1038</v>
      </c>
      <c r="AI719" s="1" t="str">
        <f>_xlfn.TEXTAFTER(_xlfn.TEXTBEFORE(batch_summary[[#This Row],[video]],"_",1),"-",3)</f>
        <v>20</v>
      </c>
      <c r="AJ719" s="1" t="str">
        <f>_xlfn.TEXTBEFORE(_xlfn.TEXTAFTER(batch_summary[[#This Row],[video]],"_",1),"_",1)</f>
        <v>20260323</v>
      </c>
      <c r="AK719" s="1" t="str">
        <f>_xlfn.TEXTBEFORE(_xlfn.TEXTAFTER(batch_summary[[#This Row],[video]],"_",2),".",1)</f>
        <v>120000</v>
      </c>
    </row>
    <row r="720" spans="1:37" x14ac:dyDescent="0.2">
      <c r="A720" s="1" t="s">
        <v>1039</v>
      </c>
      <c r="B720" s="1" t="s">
        <v>1040</v>
      </c>
      <c r="C720">
        <v>119.95833333333333</v>
      </c>
      <c r="D720">
        <v>2879</v>
      </c>
      <c r="E720">
        <v>0.28548028133809566</v>
      </c>
      <c r="F720">
        <v>43.360798266716301</v>
      </c>
      <c r="G720">
        <v>9.9159528078532702E-5</v>
      </c>
      <c r="H720">
        <v>1.5061062267008093E-2</v>
      </c>
      <c r="I720">
        <v>5</v>
      </c>
      <c r="J720" t="b">
        <v>1</v>
      </c>
      <c r="K720">
        <v>0.65</v>
      </c>
      <c r="L720">
        <v>1.3</v>
      </c>
      <c r="M720" t="b">
        <v>1</v>
      </c>
      <c r="N720">
        <v>200</v>
      </c>
      <c r="O720" t="b">
        <v>0</v>
      </c>
      <c r="P720" t="b">
        <v>0</v>
      </c>
      <c r="Q720">
        <v>0.7</v>
      </c>
      <c r="R720">
        <v>18648360.810255527</v>
      </c>
      <c r="S720">
        <v>19798409.787136793</v>
      </c>
      <c r="T720">
        <v>17464565.336813629</v>
      </c>
      <c r="U720">
        <v>18492238.328731477</v>
      </c>
      <c r="V720">
        <v>38446770.597392321</v>
      </c>
      <c r="W720">
        <v>35956803.665545106</v>
      </c>
      <c r="X720">
        <v>320501.04006162408</v>
      </c>
      <c r="Y720">
        <v>299744.10836161254</v>
      </c>
      <c r="Z720">
        <v>12095.489195861817</v>
      </c>
      <c r="AA720">
        <v>8989.2009163862767</v>
      </c>
      <c r="AB720">
        <v>174645.65336813629</v>
      </c>
      <c r="AC720">
        <v>184922.38328731476</v>
      </c>
      <c r="AD720">
        <v>359568.03665545105</v>
      </c>
      <c r="AE720">
        <v>1.069248839663498</v>
      </c>
      <c r="AF720" s="1" t="s">
        <v>1041</v>
      </c>
      <c r="AG720" s="1" t="s">
        <v>1042</v>
      </c>
      <c r="AH720" s="1" t="s">
        <v>1043</v>
      </c>
      <c r="AI720" s="1" t="str">
        <f>_xlfn.TEXTAFTER(_xlfn.TEXTBEFORE(batch_summary[[#This Row],[video]],"_",1),"-",3)</f>
        <v>20</v>
      </c>
      <c r="AJ720" s="1" t="str">
        <f>_xlfn.TEXTBEFORE(_xlfn.TEXTAFTER(batch_summary[[#This Row],[video]],"_",1),"_",1)</f>
        <v>20260323</v>
      </c>
      <c r="AK720" s="1" t="str">
        <f>_xlfn.TEXTBEFORE(_xlfn.TEXTAFTER(batch_summary[[#This Row],[video]],"_",2),".",1)</f>
        <v>130000</v>
      </c>
    </row>
    <row r="721" spans="1:37" x14ac:dyDescent="0.2">
      <c r="A721" s="1" t="s">
        <v>1044</v>
      </c>
      <c r="B721" s="1" t="s">
        <v>1045</v>
      </c>
      <c r="C721">
        <v>119.95833333333333</v>
      </c>
      <c r="D721">
        <v>2879</v>
      </c>
      <c r="E721">
        <v>0.28648569155484438</v>
      </c>
      <c r="F721">
        <v>43.543688667006791</v>
      </c>
      <c r="G721">
        <v>9.950875010588551E-5</v>
      </c>
      <c r="H721">
        <v>1.5124587935743936E-2</v>
      </c>
      <c r="I721">
        <v>5</v>
      </c>
      <c r="J721" t="b">
        <v>1</v>
      </c>
      <c r="K721">
        <v>0.65</v>
      </c>
      <c r="L721">
        <v>1.3</v>
      </c>
      <c r="M721" t="b">
        <v>1</v>
      </c>
      <c r="N721">
        <v>200</v>
      </c>
      <c r="O721" t="b">
        <v>0</v>
      </c>
      <c r="P721" t="b">
        <v>0</v>
      </c>
      <c r="Q721">
        <v>0.7</v>
      </c>
      <c r="R721">
        <v>20249773.460095406</v>
      </c>
      <c r="S721">
        <v>20430460.350049973</v>
      </c>
      <c r="T721">
        <v>19061424.9596591</v>
      </c>
      <c r="U721">
        <v>19103173.212568164</v>
      </c>
      <c r="V721">
        <v>40680233.810145378</v>
      </c>
      <c r="W721">
        <v>38164598.172227263</v>
      </c>
      <c r="X721">
        <v>339119.69831312576</v>
      </c>
      <c r="Y721">
        <v>318148.78643051558</v>
      </c>
      <c r="Z721">
        <v>14137.321186523437</v>
      </c>
      <c r="AA721">
        <v>9541.1495430568157</v>
      </c>
      <c r="AB721">
        <v>190614.24959659099</v>
      </c>
      <c r="AC721">
        <v>191031.73212568165</v>
      </c>
      <c r="AD721">
        <v>381645.98172227264</v>
      </c>
      <c r="AE721">
        <v>1.0659154231512062</v>
      </c>
      <c r="AF721" s="1" t="s">
        <v>1046</v>
      </c>
      <c r="AG721" s="1" t="s">
        <v>1047</v>
      </c>
      <c r="AH721" s="1" t="s">
        <v>1048</v>
      </c>
      <c r="AI721" s="1" t="str">
        <f>_xlfn.TEXTAFTER(_xlfn.TEXTBEFORE(batch_summary[[#This Row],[video]],"_",1),"-",3)</f>
        <v>20</v>
      </c>
      <c r="AJ721" s="1" t="str">
        <f>_xlfn.TEXTBEFORE(_xlfn.TEXTAFTER(batch_summary[[#This Row],[video]],"_",1),"_",1)</f>
        <v>20260323</v>
      </c>
      <c r="AK721" s="1" t="str">
        <f>_xlfn.TEXTBEFORE(_xlfn.TEXTAFTER(batch_summary[[#This Row],[video]],"_",2),".",1)</f>
        <v>140000</v>
      </c>
    </row>
    <row r="722" spans="1:37" x14ac:dyDescent="0.2">
      <c r="A722" s="1" t="s">
        <v>1049</v>
      </c>
      <c r="B722" s="1" t="s">
        <v>1050</v>
      </c>
      <c r="C722">
        <v>119.95833333333333</v>
      </c>
      <c r="D722">
        <v>2879</v>
      </c>
      <c r="E722">
        <v>0.28926505986601114</v>
      </c>
      <c r="F722">
        <v>43.362303834408522</v>
      </c>
      <c r="G722">
        <v>1.0047414375339046E-4</v>
      </c>
      <c r="H722">
        <v>1.5061585215147107E-2</v>
      </c>
      <c r="I722">
        <v>5</v>
      </c>
      <c r="J722" t="b">
        <v>1</v>
      </c>
      <c r="K722">
        <v>0.65</v>
      </c>
      <c r="L722">
        <v>1.3</v>
      </c>
      <c r="M722" t="b">
        <v>1</v>
      </c>
      <c r="N722">
        <v>200</v>
      </c>
      <c r="O722" t="b">
        <v>0</v>
      </c>
      <c r="P722" t="b">
        <v>0</v>
      </c>
      <c r="Q722">
        <v>0.7</v>
      </c>
      <c r="R722">
        <v>18346014.680204391</v>
      </c>
      <c r="S722">
        <v>20713321.993209839</v>
      </c>
      <c r="T722">
        <v>17278217.109291553</v>
      </c>
      <c r="U722">
        <v>19515870.939635515</v>
      </c>
      <c r="V722">
        <v>39059336.67341423</v>
      </c>
      <c r="W722">
        <v>36794088.048927069</v>
      </c>
      <c r="X722">
        <v>325607.53044874663</v>
      </c>
      <c r="Y722">
        <v>306723.90176250425</v>
      </c>
      <c r="Z722">
        <v>11954.392863769532</v>
      </c>
      <c r="AA722">
        <v>9198.522012231766</v>
      </c>
      <c r="AB722">
        <v>172782.17109291552</v>
      </c>
      <c r="AC722">
        <v>195158.70939635515</v>
      </c>
      <c r="AD722">
        <v>367940.88048927067</v>
      </c>
      <c r="AE722">
        <v>1.0615655597028235</v>
      </c>
      <c r="AF722" s="1" t="s">
        <v>1051</v>
      </c>
      <c r="AG722" s="1" t="s">
        <v>1052</v>
      </c>
      <c r="AH722" s="1" t="s">
        <v>1053</v>
      </c>
      <c r="AI722" s="1" t="str">
        <f>_xlfn.TEXTAFTER(_xlfn.TEXTBEFORE(batch_summary[[#This Row],[video]],"_",1),"-",3)</f>
        <v>20</v>
      </c>
      <c r="AJ722" s="1" t="str">
        <f>_xlfn.TEXTBEFORE(_xlfn.TEXTAFTER(batch_summary[[#This Row],[video]],"_",1),"_",1)</f>
        <v>20260323</v>
      </c>
      <c r="AK722" s="1" t="str">
        <f>_xlfn.TEXTBEFORE(_xlfn.TEXTAFTER(batch_summary[[#This Row],[video]],"_",2),".",1)</f>
        <v>150000</v>
      </c>
    </row>
    <row r="723" spans="1:37" x14ac:dyDescent="0.2">
      <c r="A723" s="1" t="s">
        <v>1054</v>
      </c>
      <c r="B723" s="1" t="s">
        <v>1055</v>
      </c>
      <c r="C723">
        <v>119.95833333333333</v>
      </c>
      <c r="D723">
        <v>2879</v>
      </c>
      <c r="E723">
        <v>0.30360271688550711</v>
      </c>
      <c r="F723">
        <v>43.906119363382459</v>
      </c>
      <c r="G723">
        <v>1.0545422608041234E-4</v>
      </c>
      <c r="H723">
        <v>1.5250475638548961E-2</v>
      </c>
      <c r="I723">
        <v>5</v>
      </c>
      <c r="J723" t="b">
        <v>1</v>
      </c>
      <c r="K723">
        <v>0.65</v>
      </c>
      <c r="L723">
        <v>1.3</v>
      </c>
      <c r="M723" t="b">
        <v>1</v>
      </c>
      <c r="N723">
        <v>200</v>
      </c>
      <c r="O723" t="b">
        <v>0</v>
      </c>
      <c r="P723" t="b">
        <v>0</v>
      </c>
      <c r="Q723">
        <v>0.7</v>
      </c>
      <c r="R723">
        <v>11684822.834042072</v>
      </c>
      <c r="S723">
        <v>12053519.435770035</v>
      </c>
      <c r="T723">
        <v>10738030.582775056</v>
      </c>
      <c r="U723">
        <v>11019511.364853859</v>
      </c>
      <c r="V723">
        <v>23738342.269812107</v>
      </c>
      <c r="W723">
        <v>21757541.947628915</v>
      </c>
      <c r="X723">
        <v>197888.23010610996</v>
      </c>
      <c r="Y723">
        <v>181375.82728138033</v>
      </c>
      <c r="Z723">
        <v>8389.4057469940199</v>
      </c>
      <c r="AA723">
        <v>5439.3854869072284</v>
      </c>
      <c r="AB723">
        <v>107380.30582775056</v>
      </c>
      <c r="AC723">
        <v>110195.11364853859</v>
      </c>
      <c r="AD723">
        <v>217575.41947628916</v>
      </c>
      <c r="AE723">
        <v>1.0910397105955738</v>
      </c>
      <c r="AF723" s="1" t="s">
        <v>1056</v>
      </c>
      <c r="AG723" s="1" t="s">
        <v>1057</v>
      </c>
      <c r="AH723" s="1" t="s">
        <v>1058</v>
      </c>
      <c r="AI723" s="1" t="str">
        <f>_xlfn.TEXTAFTER(_xlfn.TEXTBEFORE(batch_summary[[#This Row],[video]],"_",1),"-",3)</f>
        <v>20</v>
      </c>
      <c r="AJ723" s="1" t="str">
        <f>_xlfn.TEXTBEFORE(_xlfn.TEXTAFTER(batch_summary[[#This Row],[video]],"_",1),"_",1)</f>
        <v>20260323</v>
      </c>
      <c r="AK723" s="1" t="str">
        <f>_xlfn.TEXTBEFORE(_xlfn.TEXTAFTER(batch_summary[[#This Row],[video]],"_",2),".",1)</f>
        <v>160000</v>
      </c>
    </row>
    <row r="724" spans="1:37" x14ac:dyDescent="0.2">
      <c r="A724" s="1" t="s">
        <v>1059</v>
      </c>
      <c r="B724" s="1" t="s">
        <v>1060</v>
      </c>
      <c r="C724">
        <v>119.95833333333333</v>
      </c>
      <c r="D724">
        <v>2879</v>
      </c>
      <c r="E724">
        <v>0.29846864752471447</v>
      </c>
      <c r="F724">
        <v>43.866776726208627</v>
      </c>
      <c r="G724">
        <v>1.0367094391271778E-4</v>
      </c>
      <c r="H724">
        <v>1.5236810255716786E-2</v>
      </c>
      <c r="I724">
        <v>5</v>
      </c>
      <c r="J724" t="b">
        <v>1</v>
      </c>
      <c r="K724">
        <v>0.65</v>
      </c>
      <c r="L724">
        <v>1.3</v>
      </c>
      <c r="M724" t="b">
        <v>1</v>
      </c>
      <c r="N724">
        <v>200</v>
      </c>
      <c r="O724" t="b">
        <v>0</v>
      </c>
      <c r="P724" t="b">
        <v>0</v>
      </c>
      <c r="Q724">
        <v>0.7</v>
      </c>
      <c r="R724">
        <v>11540724.387271047</v>
      </c>
      <c r="S724">
        <v>11515172.32704711</v>
      </c>
      <c r="T724">
        <v>10760102.922366321</v>
      </c>
      <c r="U724">
        <v>10714814.976300955</v>
      </c>
      <c r="V724">
        <v>23055896.714318156</v>
      </c>
      <c r="W724">
        <v>21474917.898667276</v>
      </c>
      <c r="X724">
        <v>192199.20845558727</v>
      </c>
      <c r="Y724">
        <v>179019.80881139793</v>
      </c>
      <c r="Z724">
        <v>10091.621235961913</v>
      </c>
      <c r="AA724">
        <v>5368.7294746668185</v>
      </c>
      <c r="AB724">
        <v>107601.02922366321</v>
      </c>
      <c r="AC724">
        <v>107148.14976300955</v>
      </c>
      <c r="AD724">
        <v>214749.17898667278</v>
      </c>
      <c r="AE724">
        <v>1.0736197839316999</v>
      </c>
      <c r="AF724" s="1" t="s">
        <v>1061</v>
      </c>
      <c r="AG724" s="1" t="s">
        <v>1062</v>
      </c>
      <c r="AH724" s="1" t="s">
        <v>1063</v>
      </c>
      <c r="AI724" s="1" t="str">
        <f>_xlfn.TEXTAFTER(_xlfn.TEXTBEFORE(batch_summary[[#This Row],[video]],"_",1),"-",3)</f>
        <v>20</v>
      </c>
      <c r="AJ724" s="1" t="str">
        <f>_xlfn.TEXTBEFORE(_xlfn.TEXTAFTER(batch_summary[[#This Row],[video]],"_",1),"_",1)</f>
        <v>20260323</v>
      </c>
      <c r="AK724" s="1" t="str">
        <f>_xlfn.TEXTBEFORE(_xlfn.TEXTAFTER(batch_summary[[#This Row],[video]],"_",2),".",1)</f>
        <v>170000</v>
      </c>
    </row>
    <row r="725" spans="1:37" x14ac:dyDescent="0.2">
      <c r="A725" s="1" t="s">
        <v>1064</v>
      </c>
      <c r="B725" s="1" t="s">
        <v>1065</v>
      </c>
      <c r="C725">
        <v>119.95833333333333</v>
      </c>
      <c r="D725">
        <v>2879</v>
      </c>
      <c r="E725">
        <v>0.29023385606706142</v>
      </c>
      <c r="F725">
        <v>43.542926206253469</v>
      </c>
      <c r="G725">
        <v>1.0081064816500918E-4</v>
      </c>
      <c r="H725">
        <v>1.5124323100470117E-2</v>
      </c>
      <c r="I725">
        <v>5</v>
      </c>
      <c r="J725" t="b">
        <v>1</v>
      </c>
      <c r="K725">
        <v>0.65</v>
      </c>
      <c r="L725">
        <v>1.3</v>
      </c>
      <c r="M725" t="b">
        <v>1</v>
      </c>
      <c r="N725">
        <v>200</v>
      </c>
      <c r="O725" t="b">
        <v>0</v>
      </c>
      <c r="P725" t="b">
        <v>0</v>
      </c>
      <c r="Q725">
        <v>0.7</v>
      </c>
      <c r="R725">
        <v>12914700.085968018</v>
      </c>
      <c r="S725">
        <v>13753559.694009602</v>
      </c>
      <c r="T725">
        <v>12031632.102876067</v>
      </c>
      <c r="U725">
        <v>12858640.705842495</v>
      </c>
      <c r="V725">
        <v>26668259.77997762</v>
      </c>
      <c r="W725">
        <v>24890272.808718562</v>
      </c>
      <c r="X725">
        <v>222312.69007275545</v>
      </c>
      <c r="Y725">
        <v>207490.98555374975</v>
      </c>
      <c r="Z725">
        <v>9945.3344224548346</v>
      </c>
      <c r="AA725">
        <v>6222.5682021796401</v>
      </c>
      <c r="AB725">
        <v>120316.32102876068</v>
      </c>
      <c r="AC725">
        <v>128586.40705842496</v>
      </c>
      <c r="AD725">
        <v>248902.72808718565</v>
      </c>
      <c r="AE725">
        <v>1.0714330045686067</v>
      </c>
      <c r="AF725" s="1" t="s">
        <v>1066</v>
      </c>
      <c r="AG725" s="1" t="s">
        <v>1067</v>
      </c>
      <c r="AH725" s="1" t="s">
        <v>1068</v>
      </c>
      <c r="AI725" s="1" t="str">
        <f>_xlfn.TEXTAFTER(_xlfn.TEXTBEFORE(batch_summary[[#This Row],[video]],"_",1),"-",3)</f>
        <v>20</v>
      </c>
      <c r="AJ725" s="1" t="str">
        <f>_xlfn.TEXTBEFORE(_xlfn.TEXTAFTER(batch_summary[[#This Row],[video]],"_",1),"_",1)</f>
        <v>20260323</v>
      </c>
      <c r="AK725" s="1" t="str">
        <f>_xlfn.TEXTBEFORE(_xlfn.TEXTAFTER(batch_summary[[#This Row],[video]],"_",2),".",1)</f>
        <v>180000</v>
      </c>
    </row>
    <row r="726" spans="1:37" x14ac:dyDescent="0.2">
      <c r="A726" s="1" t="s">
        <v>1069</v>
      </c>
      <c r="B726" s="1" t="s">
        <v>1070</v>
      </c>
      <c r="C726">
        <v>119.95833333333333</v>
      </c>
      <c r="D726">
        <v>2879</v>
      </c>
      <c r="E726">
        <v>0.35069791041314602</v>
      </c>
      <c r="F726">
        <v>44.062217730097473</v>
      </c>
      <c r="G726">
        <v>1.2181240375586871E-4</v>
      </c>
      <c r="H726">
        <v>1.530469528659169E-2</v>
      </c>
      <c r="I726">
        <v>5</v>
      </c>
      <c r="J726" t="b">
        <v>1</v>
      </c>
      <c r="K726">
        <v>0.65</v>
      </c>
      <c r="L726">
        <v>1.3</v>
      </c>
      <c r="M726" t="b">
        <v>1</v>
      </c>
      <c r="N726">
        <v>200</v>
      </c>
      <c r="O726" t="b">
        <v>0</v>
      </c>
      <c r="P726" t="b">
        <v>0</v>
      </c>
      <c r="Q726">
        <v>0.7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s="1" t="s">
        <v>1071</v>
      </c>
      <c r="AG726" s="1" t="s">
        <v>1072</v>
      </c>
      <c r="AH726" s="1" t="s">
        <v>1073</v>
      </c>
      <c r="AI726" s="1" t="str">
        <f>_xlfn.TEXTAFTER(_xlfn.TEXTBEFORE(batch_summary[[#This Row],[video]],"_",1),"-",3)</f>
        <v>20</v>
      </c>
      <c r="AJ726" s="1" t="str">
        <f>_xlfn.TEXTBEFORE(_xlfn.TEXTAFTER(batch_summary[[#This Row],[video]],"_",1),"_",1)</f>
        <v>20260323</v>
      </c>
      <c r="AK726" s="1" t="str">
        <f>_xlfn.TEXTBEFORE(_xlfn.TEXTAFTER(batch_summary[[#This Row],[video]],"_",2),".",1)</f>
        <v>190000</v>
      </c>
    </row>
    <row r="727" spans="1:37" x14ac:dyDescent="0.2">
      <c r="A727" s="1" t="s">
        <v>1074</v>
      </c>
      <c r="B727" s="1" t="s">
        <v>1075</v>
      </c>
      <c r="C727">
        <v>119.95833333333333</v>
      </c>
      <c r="D727">
        <v>2879</v>
      </c>
      <c r="E727">
        <v>0.35076722875237465</v>
      </c>
      <c r="F727">
        <v>43.97327724751085</v>
      </c>
      <c r="G727">
        <v>1.2183648098380502E-4</v>
      </c>
      <c r="H727">
        <v>1.5273802447902345E-2</v>
      </c>
      <c r="I727">
        <v>5</v>
      </c>
      <c r="J727" t="b">
        <v>1</v>
      </c>
      <c r="K727">
        <v>0.65</v>
      </c>
      <c r="L727">
        <v>1.3</v>
      </c>
      <c r="M727" t="b">
        <v>1</v>
      </c>
      <c r="N727">
        <v>200</v>
      </c>
      <c r="O727" t="b">
        <v>0</v>
      </c>
      <c r="P727" t="b">
        <v>0</v>
      </c>
      <c r="Q727">
        <v>0.7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s="1" t="s">
        <v>1076</v>
      </c>
      <c r="AG727" s="1" t="s">
        <v>1077</v>
      </c>
      <c r="AH727" s="1" t="s">
        <v>1078</v>
      </c>
      <c r="AI727" s="1" t="str">
        <f>_xlfn.TEXTAFTER(_xlfn.TEXTBEFORE(batch_summary[[#This Row],[video]],"_",1),"-",3)</f>
        <v>20</v>
      </c>
      <c r="AJ727" s="1" t="str">
        <f>_xlfn.TEXTBEFORE(_xlfn.TEXTAFTER(batch_summary[[#This Row],[video]],"_",1),"_",1)</f>
        <v>20260324</v>
      </c>
      <c r="AK727" s="1" t="str">
        <f>_xlfn.TEXTBEFORE(_xlfn.TEXTAFTER(batch_summary[[#This Row],[video]],"_",2),".",1)</f>
        <v>060000</v>
      </c>
    </row>
    <row r="728" spans="1:37" x14ac:dyDescent="0.2">
      <c r="A728" s="1" t="s">
        <v>1079</v>
      </c>
      <c r="B728" s="1" t="s">
        <v>1080</v>
      </c>
      <c r="C728">
        <v>119.95833333333333</v>
      </c>
      <c r="D728">
        <v>2879</v>
      </c>
      <c r="E728">
        <v>0.33380055334419012</v>
      </c>
      <c r="F728">
        <v>43.499398090876639</v>
      </c>
      <c r="G728">
        <v>1.1594322797644672E-4</v>
      </c>
      <c r="H728">
        <v>1.5109203921805016E-2</v>
      </c>
      <c r="I728">
        <v>5</v>
      </c>
      <c r="J728" t="b">
        <v>1</v>
      </c>
      <c r="K728">
        <v>0.65</v>
      </c>
      <c r="L728">
        <v>1.3</v>
      </c>
      <c r="M728" t="b">
        <v>1</v>
      </c>
      <c r="N728">
        <v>200</v>
      </c>
      <c r="O728" t="b">
        <v>0</v>
      </c>
      <c r="P728" t="b">
        <v>0</v>
      </c>
      <c r="Q728">
        <v>0.7</v>
      </c>
      <c r="R728">
        <v>137084.57969856262</v>
      </c>
      <c r="S728">
        <v>106468.48598438501</v>
      </c>
      <c r="T728">
        <v>95658.298950195312</v>
      </c>
      <c r="U728">
        <v>69982.688896179199</v>
      </c>
      <c r="V728">
        <v>243553.06568294764</v>
      </c>
      <c r="W728">
        <v>165640.98784637451</v>
      </c>
      <c r="X728">
        <v>2030.3138507783062</v>
      </c>
      <c r="Y728">
        <v>1380.8210171285127</v>
      </c>
      <c r="Z728">
        <v>823.94681854248051</v>
      </c>
      <c r="AA728">
        <v>41.410246961593636</v>
      </c>
      <c r="AB728">
        <v>956.58298950195308</v>
      </c>
      <c r="AC728">
        <v>699.82688896179195</v>
      </c>
      <c r="AD728">
        <v>1656.4098784637449</v>
      </c>
      <c r="AE728">
        <v>1.4703671407033234</v>
      </c>
      <c r="AF728" s="1" t="s">
        <v>1081</v>
      </c>
      <c r="AG728" s="1" t="s">
        <v>1082</v>
      </c>
      <c r="AH728" s="1" t="s">
        <v>1083</v>
      </c>
      <c r="AI728" s="1" t="str">
        <f>_xlfn.TEXTAFTER(_xlfn.TEXTBEFORE(batch_summary[[#This Row],[video]],"_",1),"-",3)</f>
        <v>20</v>
      </c>
      <c r="AJ728" s="1" t="str">
        <f>_xlfn.TEXTBEFORE(_xlfn.TEXTAFTER(batch_summary[[#This Row],[video]],"_",1),"_",1)</f>
        <v>20260324</v>
      </c>
      <c r="AK728" s="1" t="str">
        <f>_xlfn.TEXTBEFORE(_xlfn.TEXTAFTER(batch_summary[[#This Row],[video]],"_",2),".",1)</f>
        <v>070000</v>
      </c>
    </row>
    <row r="729" spans="1:37" x14ac:dyDescent="0.2">
      <c r="A729" s="1" t="s">
        <v>1084</v>
      </c>
      <c r="B729" s="1" t="s">
        <v>1085</v>
      </c>
      <c r="C729">
        <v>119.95833333333333</v>
      </c>
      <c r="D729">
        <v>2879</v>
      </c>
      <c r="E729">
        <v>0.32037343643605709</v>
      </c>
      <c r="F729">
        <v>43.401172897778451</v>
      </c>
      <c r="G729">
        <v>1.1127941522614001E-4</v>
      </c>
      <c r="H729">
        <v>1.5075086105515266E-2</v>
      </c>
      <c r="I729">
        <v>5</v>
      </c>
      <c r="J729" t="b">
        <v>1</v>
      </c>
      <c r="K729">
        <v>0.65</v>
      </c>
      <c r="L729">
        <v>1.3</v>
      </c>
      <c r="M729" t="b">
        <v>1</v>
      </c>
      <c r="N729">
        <v>200</v>
      </c>
      <c r="O729" t="b">
        <v>0</v>
      </c>
      <c r="P729" t="b">
        <v>0</v>
      </c>
      <c r="Q729">
        <v>0.7</v>
      </c>
      <c r="R729">
        <v>54611.014103651047</v>
      </c>
      <c r="S729">
        <v>52356.388774394989</v>
      </c>
      <c r="T729">
        <v>20316.92658996582</v>
      </c>
      <c r="U729">
        <v>12975.34782409668</v>
      </c>
      <c r="V729">
        <v>106967.40287804604</v>
      </c>
      <c r="W729">
        <v>33292.2744140625</v>
      </c>
      <c r="X729">
        <v>891.70464365165162</v>
      </c>
      <c r="Y729">
        <v>277.53198538989233</v>
      </c>
      <c r="Z729">
        <v>90.544106445312508</v>
      </c>
      <c r="AA729">
        <v>8.3230686035156261</v>
      </c>
      <c r="AB729">
        <v>203.1692658996582</v>
      </c>
      <c r="AC729">
        <v>129.75347824096679</v>
      </c>
      <c r="AD729">
        <v>332.92274414062501</v>
      </c>
      <c r="AE729">
        <v>3.2129797306027101</v>
      </c>
      <c r="AF729" s="1" t="s">
        <v>1086</v>
      </c>
      <c r="AG729" s="1" t="s">
        <v>1087</v>
      </c>
      <c r="AH729" s="1" t="s">
        <v>1088</v>
      </c>
      <c r="AI729" s="1" t="str">
        <f>_xlfn.TEXTAFTER(_xlfn.TEXTBEFORE(batch_summary[[#This Row],[video]],"_",1),"-",3)</f>
        <v>20</v>
      </c>
      <c r="AJ729" s="1" t="str">
        <f>_xlfn.TEXTBEFORE(_xlfn.TEXTAFTER(batch_summary[[#This Row],[video]],"_",1),"_",1)</f>
        <v>20260324</v>
      </c>
      <c r="AK729" s="1" t="str">
        <f>_xlfn.TEXTBEFORE(_xlfn.TEXTAFTER(batch_summary[[#This Row],[video]],"_",2),".",1)</f>
        <v>080000</v>
      </c>
    </row>
    <row r="730" spans="1:37" x14ac:dyDescent="0.2">
      <c r="A730" s="1" t="s">
        <v>1089</v>
      </c>
      <c r="B730" s="1" t="s">
        <v>1090</v>
      </c>
      <c r="C730">
        <v>119.95833333333333</v>
      </c>
      <c r="D730">
        <v>2879</v>
      </c>
      <c r="E730">
        <v>0.33995926473289728</v>
      </c>
      <c r="F730">
        <v>44.391041883267462</v>
      </c>
      <c r="G730">
        <v>1.1808241220315987E-4</v>
      </c>
      <c r="H730">
        <v>1.5418909997661502E-2</v>
      </c>
      <c r="I730">
        <v>5</v>
      </c>
      <c r="J730" t="b">
        <v>1</v>
      </c>
      <c r="K730">
        <v>0.65</v>
      </c>
      <c r="L730">
        <v>1.3</v>
      </c>
      <c r="M730" t="b">
        <v>1</v>
      </c>
      <c r="N730">
        <v>200</v>
      </c>
      <c r="O730" t="b">
        <v>0</v>
      </c>
      <c r="P730" t="b">
        <v>0</v>
      </c>
      <c r="Q730">
        <v>0.7</v>
      </c>
      <c r="R730">
        <v>1401177.825483501</v>
      </c>
      <c r="S730">
        <v>1237568.9511970282</v>
      </c>
      <c r="T730">
        <v>1144777.3228874207</v>
      </c>
      <c r="U730">
        <v>968940.30963212252</v>
      </c>
      <c r="V730">
        <v>2638746.7766805291</v>
      </c>
      <c r="W730">
        <v>2113717.6325195432</v>
      </c>
      <c r="X730">
        <v>21997.194387055471</v>
      </c>
      <c r="Y730">
        <v>17620.431809819049</v>
      </c>
      <c r="Z730">
        <v>3521.6661656665801</v>
      </c>
      <c r="AA730">
        <v>528.42940812988581</v>
      </c>
      <c r="AB730">
        <v>11447.773228874206</v>
      </c>
      <c r="AC730">
        <v>9689.4030963212244</v>
      </c>
      <c r="AD730">
        <v>21137.176325195433</v>
      </c>
      <c r="AE730">
        <v>1.248391334813796</v>
      </c>
      <c r="AF730" s="1" t="s">
        <v>1091</v>
      </c>
      <c r="AG730" s="1" t="s">
        <v>1092</v>
      </c>
      <c r="AH730" s="1" t="s">
        <v>1093</v>
      </c>
      <c r="AI730" s="1" t="str">
        <f>_xlfn.TEXTAFTER(_xlfn.TEXTBEFORE(batch_summary[[#This Row],[video]],"_",1),"-",3)</f>
        <v>20</v>
      </c>
      <c r="AJ730" s="1" t="str">
        <f>_xlfn.TEXTBEFORE(_xlfn.TEXTAFTER(batch_summary[[#This Row],[video]],"_",1),"_",1)</f>
        <v>20260324</v>
      </c>
      <c r="AK730" s="1" t="str">
        <f>_xlfn.TEXTBEFORE(_xlfn.TEXTAFTER(batch_summary[[#This Row],[video]],"_",2),".",1)</f>
        <v>090000</v>
      </c>
    </row>
    <row r="731" spans="1:37" x14ac:dyDescent="0.2">
      <c r="A731" s="1" t="s">
        <v>1094</v>
      </c>
      <c r="B731" s="1" t="s">
        <v>1095</v>
      </c>
      <c r="C731">
        <v>119.95833333333333</v>
      </c>
      <c r="D731">
        <v>2879</v>
      </c>
      <c r="E731">
        <v>0.33639998454600573</v>
      </c>
      <c r="F731">
        <v>45.019872460514307</v>
      </c>
      <c r="G731">
        <v>1.1684612175964075E-4</v>
      </c>
      <c r="H731">
        <v>1.5637329788299518E-2</v>
      </c>
      <c r="I731">
        <v>5</v>
      </c>
      <c r="J731" t="b">
        <v>1</v>
      </c>
      <c r="K731">
        <v>0.65</v>
      </c>
      <c r="L731">
        <v>1.3</v>
      </c>
      <c r="M731" t="b">
        <v>1</v>
      </c>
      <c r="N731">
        <v>200</v>
      </c>
      <c r="O731" t="b">
        <v>0</v>
      </c>
      <c r="P731" t="b">
        <v>0</v>
      </c>
      <c r="Q731">
        <v>0.7</v>
      </c>
      <c r="R731">
        <v>5392297.2797443271</v>
      </c>
      <c r="S731">
        <v>6316612.6495237947</v>
      </c>
      <c r="T731">
        <v>4505352.3743180037</v>
      </c>
      <c r="U731">
        <v>5385785.8610016108</v>
      </c>
      <c r="V731">
        <v>11708909.929268122</v>
      </c>
      <c r="W731">
        <v>9891138.2353196144</v>
      </c>
      <c r="X731">
        <v>97608.141126236515</v>
      </c>
      <c r="Y731">
        <v>82454.782093668196</v>
      </c>
      <c r="Z731">
        <v>4795.1851468658442</v>
      </c>
      <c r="AA731">
        <v>2472.7845588299037</v>
      </c>
      <c r="AB731">
        <v>45053.523743180034</v>
      </c>
      <c r="AC731">
        <v>53857.858610016105</v>
      </c>
      <c r="AD731">
        <v>98911.382353196139</v>
      </c>
      <c r="AE731">
        <v>1.1837778070331224</v>
      </c>
      <c r="AF731" s="1" t="s">
        <v>1096</v>
      </c>
      <c r="AG731" s="1" t="s">
        <v>1097</v>
      </c>
      <c r="AH731" s="1" t="s">
        <v>1098</v>
      </c>
      <c r="AI731" s="1" t="str">
        <f>_xlfn.TEXTAFTER(_xlfn.TEXTBEFORE(batch_summary[[#This Row],[video]],"_",1),"-",3)</f>
        <v>20</v>
      </c>
      <c r="AJ731" s="1" t="str">
        <f>_xlfn.TEXTBEFORE(_xlfn.TEXTAFTER(batch_summary[[#This Row],[video]],"_",1),"_",1)</f>
        <v>20260324</v>
      </c>
      <c r="AK731" s="1" t="str">
        <f>_xlfn.TEXTBEFORE(_xlfn.TEXTAFTER(batch_summary[[#This Row],[video]],"_",2),".",1)</f>
        <v>100000</v>
      </c>
    </row>
    <row r="732" spans="1:37" x14ac:dyDescent="0.2">
      <c r="A732" s="1" t="s">
        <v>1099</v>
      </c>
      <c r="B732" s="1" t="s">
        <v>1100</v>
      </c>
      <c r="C732">
        <v>119.95833333333333</v>
      </c>
      <c r="D732">
        <v>2879</v>
      </c>
      <c r="E732">
        <v>0.3236751239746809</v>
      </c>
      <c r="F732">
        <v>44.525577081367373</v>
      </c>
      <c r="G732">
        <v>1.1242623271089993E-4</v>
      </c>
      <c r="H732">
        <v>1.546563983375039E-2</v>
      </c>
      <c r="I732">
        <v>5</v>
      </c>
      <c r="J732" t="b">
        <v>1</v>
      </c>
      <c r="K732">
        <v>0.65</v>
      </c>
      <c r="L732">
        <v>1.3</v>
      </c>
      <c r="M732" t="b">
        <v>1</v>
      </c>
      <c r="N732">
        <v>200</v>
      </c>
      <c r="O732" t="b">
        <v>0</v>
      </c>
      <c r="P732" t="b">
        <v>0</v>
      </c>
      <c r="Q732">
        <v>0.7</v>
      </c>
      <c r="R732">
        <v>9758713.8043083549</v>
      </c>
      <c r="S732">
        <v>6149551.6216105819</v>
      </c>
      <c r="T732">
        <v>8938926.942538321</v>
      </c>
      <c r="U732">
        <v>5499016.8201619387</v>
      </c>
      <c r="V732">
        <v>15908265.425918937</v>
      </c>
      <c r="W732">
        <v>14437943.76270026</v>
      </c>
      <c r="X732">
        <v>132614.92539842115</v>
      </c>
      <c r="Y732">
        <v>120357.98899090178</v>
      </c>
      <c r="Z732">
        <v>7712.8276529693603</v>
      </c>
      <c r="AA732">
        <v>3609.4859406750647</v>
      </c>
      <c r="AB732">
        <v>89389.269425383216</v>
      </c>
      <c r="AC732">
        <v>54990.168201619388</v>
      </c>
      <c r="AD732">
        <v>144379.4376270026</v>
      </c>
      <c r="AE732">
        <v>1.1018373313668934</v>
      </c>
      <c r="AF732" s="1" t="s">
        <v>1101</v>
      </c>
      <c r="AG732" s="1" t="s">
        <v>1102</v>
      </c>
      <c r="AH732" s="1" t="s">
        <v>1103</v>
      </c>
      <c r="AI732" s="1" t="str">
        <f>_xlfn.TEXTAFTER(_xlfn.TEXTBEFORE(batch_summary[[#This Row],[video]],"_",1),"-",3)</f>
        <v>20</v>
      </c>
      <c r="AJ732" s="1" t="str">
        <f>_xlfn.TEXTBEFORE(_xlfn.TEXTAFTER(batch_summary[[#This Row],[video]],"_",1),"_",1)</f>
        <v>20260324</v>
      </c>
      <c r="AK732" s="1" t="str">
        <f>_xlfn.TEXTBEFORE(_xlfn.TEXTAFTER(batch_summary[[#This Row],[video]],"_",2),".",1)</f>
        <v>110000</v>
      </c>
    </row>
    <row r="733" spans="1:37" x14ac:dyDescent="0.2">
      <c r="A733" s="1" t="s">
        <v>1104</v>
      </c>
      <c r="B733" s="1" t="s">
        <v>1105</v>
      </c>
      <c r="C733">
        <v>119.95833333333333</v>
      </c>
      <c r="D733">
        <v>2879</v>
      </c>
      <c r="E733">
        <v>0.31333857122808695</v>
      </c>
      <c r="F733">
        <v>44.631158253178</v>
      </c>
      <c r="G733">
        <v>1.088359052546325E-4</v>
      </c>
      <c r="H733">
        <v>1.5502312696484196E-2</v>
      </c>
      <c r="I733">
        <v>5</v>
      </c>
      <c r="J733" t="b">
        <v>1</v>
      </c>
      <c r="K733">
        <v>0.65</v>
      </c>
      <c r="L733">
        <v>1.3</v>
      </c>
      <c r="M733" t="b">
        <v>1</v>
      </c>
      <c r="N733">
        <v>200</v>
      </c>
      <c r="O733" t="b">
        <v>0</v>
      </c>
      <c r="P733" t="b">
        <v>0</v>
      </c>
      <c r="Q733">
        <v>0.7</v>
      </c>
      <c r="R733">
        <v>12998402.235200524</v>
      </c>
      <c r="S733">
        <v>15372616.553260148</v>
      </c>
      <c r="T733">
        <v>11918163.763846874</v>
      </c>
      <c r="U733">
        <v>14177541.081975996</v>
      </c>
      <c r="V733">
        <v>28371018.788460672</v>
      </c>
      <c r="W733">
        <v>26095704.845822871</v>
      </c>
      <c r="X733">
        <v>236507.27715285035</v>
      </c>
      <c r="Y733">
        <v>217539.74168105208</v>
      </c>
      <c r="Z733">
        <v>11578.173189487457</v>
      </c>
      <c r="AA733">
        <v>6523.9262114557177</v>
      </c>
      <c r="AB733">
        <v>119181.63763846875</v>
      </c>
      <c r="AC733">
        <v>141775.41081975997</v>
      </c>
      <c r="AD733">
        <v>260957.0484582287</v>
      </c>
      <c r="AE733">
        <v>1.0871911280450435</v>
      </c>
      <c r="AF733" s="1" t="s">
        <v>1106</v>
      </c>
      <c r="AG733" s="1" t="s">
        <v>1107</v>
      </c>
      <c r="AH733" s="1" t="s">
        <v>1108</v>
      </c>
      <c r="AI733" s="1" t="str">
        <f>_xlfn.TEXTAFTER(_xlfn.TEXTBEFORE(batch_summary[[#This Row],[video]],"_",1),"-",3)</f>
        <v>20</v>
      </c>
      <c r="AJ733" s="1" t="str">
        <f>_xlfn.TEXTBEFORE(_xlfn.TEXTAFTER(batch_summary[[#This Row],[video]],"_",1),"_",1)</f>
        <v>20260324</v>
      </c>
      <c r="AK733" s="1" t="str">
        <f>_xlfn.TEXTBEFORE(_xlfn.TEXTAFTER(batch_summary[[#This Row],[video]],"_",2),".",1)</f>
        <v>120000</v>
      </c>
    </row>
    <row r="734" spans="1:37" x14ac:dyDescent="0.2">
      <c r="A734" s="1" t="s">
        <v>1109</v>
      </c>
      <c r="B734" s="1" t="s">
        <v>1110</v>
      </c>
      <c r="C734">
        <v>119.95833333333333</v>
      </c>
      <c r="D734">
        <v>2879</v>
      </c>
      <c r="E734">
        <v>0.2942231297492981</v>
      </c>
      <c r="F734">
        <v>43.600996995344758</v>
      </c>
      <c r="G734">
        <v>1.0219629376495245E-4</v>
      </c>
      <c r="H734">
        <v>1.5144493572540729E-2</v>
      </c>
      <c r="I734">
        <v>5</v>
      </c>
      <c r="J734" t="b">
        <v>1</v>
      </c>
      <c r="K734">
        <v>0.65</v>
      </c>
      <c r="L734">
        <v>1.3</v>
      </c>
      <c r="M734" t="b">
        <v>1</v>
      </c>
      <c r="N734">
        <v>200</v>
      </c>
      <c r="O734" t="b">
        <v>0</v>
      </c>
      <c r="P734" t="b">
        <v>0</v>
      </c>
      <c r="Q734">
        <v>0.7</v>
      </c>
      <c r="R734">
        <v>17909746.683684349</v>
      </c>
      <c r="S734">
        <v>18485246.257289648</v>
      </c>
      <c r="T734">
        <v>16800605.846538067</v>
      </c>
      <c r="U734">
        <v>17233999.938590109</v>
      </c>
      <c r="V734">
        <v>36394992.940973997</v>
      </c>
      <c r="W734">
        <v>34034605.785128176</v>
      </c>
      <c r="X734">
        <v>303396.9540060354</v>
      </c>
      <c r="Y734">
        <v>283720.22884441691</v>
      </c>
      <c r="Z734">
        <v>11720.235784220695</v>
      </c>
      <c r="AA734">
        <v>8508.6514462820451</v>
      </c>
      <c r="AB734">
        <v>168006.05846538066</v>
      </c>
      <c r="AC734">
        <v>172339.99938590109</v>
      </c>
      <c r="AD734">
        <v>340346.05785128172</v>
      </c>
      <c r="AE734">
        <v>1.0693525634099521</v>
      </c>
      <c r="AF734" s="1" t="s">
        <v>1111</v>
      </c>
      <c r="AG734" s="1" t="s">
        <v>1112</v>
      </c>
      <c r="AH734" s="1" t="s">
        <v>1113</v>
      </c>
      <c r="AI734" s="1" t="str">
        <f>_xlfn.TEXTAFTER(_xlfn.TEXTBEFORE(batch_summary[[#This Row],[video]],"_",1),"-",3)</f>
        <v>20</v>
      </c>
      <c r="AJ734" s="1" t="str">
        <f>_xlfn.TEXTBEFORE(_xlfn.TEXTAFTER(batch_summary[[#This Row],[video]],"_",1),"_",1)</f>
        <v>20260324</v>
      </c>
      <c r="AK734" s="1" t="str">
        <f>_xlfn.TEXTBEFORE(_xlfn.TEXTAFTER(batch_summary[[#This Row],[video]],"_",2),".",1)</f>
        <v>130000</v>
      </c>
    </row>
    <row r="735" spans="1:37" x14ac:dyDescent="0.2">
      <c r="A735" s="1" t="s">
        <v>1114</v>
      </c>
      <c r="B735" s="1" t="s">
        <v>1115</v>
      </c>
      <c r="C735">
        <v>119.95833333333333</v>
      </c>
      <c r="D735">
        <v>2879</v>
      </c>
      <c r="E735">
        <v>0.28559913020581007</v>
      </c>
      <c r="F735">
        <v>43.333357288502157</v>
      </c>
      <c r="G735">
        <v>9.9200809380274431E-5</v>
      </c>
      <c r="H735">
        <v>1.5051530840049378E-2</v>
      </c>
      <c r="I735">
        <v>5</v>
      </c>
      <c r="J735" t="b">
        <v>1</v>
      </c>
      <c r="K735">
        <v>0.65</v>
      </c>
      <c r="L735">
        <v>1.3</v>
      </c>
      <c r="M735" t="b">
        <v>1</v>
      </c>
      <c r="N735">
        <v>200</v>
      </c>
      <c r="O735" t="b">
        <v>0</v>
      </c>
      <c r="P735" t="b">
        <v>0</v>
      </c>
      <c r="Q735">
        <v>0.7</v>
      </c>
      <c r="R735">
        <v>23919228.318511963</v>
      </c>
      <c r="S735">
        <v>28751448.80764389</v>
      </c>
      <c r="T735">
        <v>22986357.715379477</v>
      </c>
      <c r="U735">
        <v>27667969.379638672</v>
      </c>
      <c r="V735">
        <v>52670677.126155853</v>
      </c>
      <c r="W735">
        <v>50654327.095018148</v>
      </c>
      <c r="X735">
        <v>439074.76590056985</v>
      </c>
      <c r="Y735">
        <v>422266.0126017491</v>
      </c>
      <c r="Z735">
        <v>16302.176580505369</v>
      </c>
      <c r="AA735">
        <v>12663.581773754537</v>
      </c>
      <c r="AB735">
        <v>229863.57715379476</v>
      </c>
      <c r="AC735">
        <v>276679.69379638671</v>
      </c>
      <c r="AD735">
        <v>506543.27095018147</v>
      </c>
      <c r="AE735">
        <v>1.0398060767317154</v>
      </c>
      <c r="AF735" s="1" t="s">
        <v>1116</v>
      </c>
      <c r="AG735" s="1" t="s">
        <v>1117</v>
      </c>
      <c r="AH735" s="1" t="s">
        <v>1118</v>
      </c>
      <c r="AI735" s="1" t="str">
        <f>_xlfn.TEXTAFTER(_xlfn.TEXTBEFORE(batch_summary[[#This Row],[video]],"_",1),"-",3)</f>
        <v>20</v>
      </c>
      <c r="AJ735" s="1" t="str">
        <f>_xlfn.TEXTBEFORE(_xlfn.TEXTAFTER(batch_summary[[#This Row],[video]],"_",1),"_",1)</f>
        <v>20260324</v>
      </c>
      <c r="AK735" s="1" t="str">
        <f>_xlfn.TEXTBEFORE(_xlfn.TEXTAFTER(batch_summary[[#This Row],[video]],"_",2),".",1)</f>
        <v>140000</v>
      </c>
    </row>
    <row r="736" spans="1:37" x14ac:dyDescent="0.2">
      <c r="A736" s="1" t="s">
        <v>1119</v>
      </c>
      <c r="B736" s="1" t="s">
        <v>1120</v>
      </c>
      <c r="C736">
        <v>119.95833333333333</v>
      </c>
      <c r="D736">
        <v>2879</v>
      </c>
      <c r="E736">
        <v>0.28170054405927658</v>
      </c>
      <c r="F736">
        <v>43.355648599565029</v>
      </c>
      <c r="G736">
        <v>9.7846663445389566E-5</v>
      </c>
      <c r="H736">
        <v>1.5059273567059753E-2</v>
      </c>
      <c r="I736">
        <v>5</v>
      </c>
      <c r="J736" t="b">
        <v>1</v>
      </c>
      <c r="K736">
        <v>0.65</v>
      </c>
      <c r="L736">
        <v>1.3</v>
      </c>
      <c r="M736" t="b">
        <v>1</v>
      </c>
      <c r="N736">
        <v>200</v>
      </c>
      <c r="O736" t="b">
        <v>0</v>
      </c>
      <c r="P736" t="b">
        <v>0</v>
      </c>
      <c r="Q736">
        <v>0.7</v>
      </c>
      <c r="R736">
        <v>18974406.179888964</v>
      </c>
      <c r="S736">
        <v>23371238.956203461</v>
      </c>
      <c r="T736">
        <v>17955599.395351171</v>
      </c>
      <c r="U736">
        <v>22157839.592648804</v>
      </c>
      <c r="V736">
        <v>42345645.136092424</v>
      </c>
      <c r="W736">
        <v>40113438.987999976</v>
      </c>
      <c r="X736">
        <v>353002.94660167355</v>
      </c>
      <c r="Y736">
        <v>334394.76752761356</v>
      </c>
      <c r="Z736">
        <v>13638.895059204102</v>
      </c>
      <c r="AA736">
        <v>10028.359746999993</v>
      </c>
      <c r="AB736">
        <v>179555.9939535117</v>
      </c>
      <c r="AC736">
        <v>221578.39592648804</v>
      </c>
      <c r="AD736">
        <v>401134.38987999974</v>
      </c>
      <c r="AE736">
        <v>1.0556473392560588</v>
      </c>
      <c r="AF736" s="1" t="s">
        <v>1121</v>
      </c>
      <c r="AG736" s="1" t="s">
        <v>1122</v>
      </c>
      <c r="AH736" s="1" t="s">
        <v>1123</v>
      </c>
      <c r="AI736" s="1" t="str">
        <f>_xlfn.TEXTAFTER(_xlfn.TEXTBEFORE(batch_summary[[#This Row],[video]],"_",1),"-",3)</f>
        <v>20</v>
      </c>
      <c r="AJ736" s="1" t="str">
        <f>_xlfn.TEXTBEFORE(_xlfn.TEXTAFTER(batch_summary[[#This Row],[video]],"_",1),"_",1)</f>
        <v>20260324</v>
      </c>
      <c r="AK736" s="1" t="str">
        <f>_xlfn.TEXTBEFORE(_xlfn.TEXTAFTER(batch_summary[[#This Row],[video]],"_",2),".",1)</f>
        <v>150000</v>
      </c>
    </row>
    <row r="737" spans="1:37" x14ac:dyDescent="0.2">
      <c r="A737" s="1" t="s">
        <v>1124</v>
      </c>
      <c r="B737" s="1" t="s">
        <v>1125</v>
      </c>
      <c r="C737">
        <v>119.95833333333333</v>
      </c>
      <c r="D737">
        <v>2879</v>
      </c>
      <c r="E737">
        <v>0.28996841888874769</v>
      </c>
      <c r="F737">
        <v>43.53829896543175</v>
      </c>
      <c r="G737">
        <v>1.007184504650044E-4</v>
      </c>
      <c r="H737">
        <v>1.5122715861560177E-2</v>
      </c>
      <c r="I737">
        <v>5</v>
      </c>
      <c r="J737" t="b">
        <v>1</v>
      </c>
      <c r="K737">
        <v>0.65</v>
      </c>
      <c r="L737">
        <v>1.3</v>
      </c>
      <c r="M737" t="b">
        <v>1</v>
      </c>
      <c r="N737">
        <v>200</v>
      </c>
      <c r="O737" t="b">
        <v>0</v>
      </c>
      <c r="P737" t="b">
        <v>0</v>
      </c>
      <c r="Q737">
        <v>0.7</v>
      </c>
      <c r="R737">
        <v>20308240.112510681</v>
      </c>
      <c r="S737">
        <v>20653995.141122818</v>
      </c>
      <c r="T737">
        <v>19169375.840206146</v>
      </c>
      <c r="U737">
        <v>19545734.390712261</v>
      </c>
      <c r="V737">
        <v>40962235.253633499</v>
      </c>
      <c r="W737">
        <v>38715110.230918407</v>
      </c>
      <c r="X737">
        <v>341470.52660201601</v>
      </c>
      <c r="Y737">
        <v>322737.98038973316</v>
      </c>
      <c r="Z737">
        <v>12544.451877441406</v>
      </c>
      <c r="AA737">
        <v>9678.7775577296015</v>
      </c>
      <c r="AB737">
        <v>191693.75840206147</v>
      </c>
      <c r="AC737">
        <v>195457.34390712262</v>
      </c>
      <c r="AD737">
        <v>387151.10230918409</v>
      </c>
      <c r="AE737">
        <v>1.0580425836143044</v>
      </c>
      <c r="AF737" s="1" t="s">
        <v>1126</v>
      </c>
      <c r="AG737" s="1" t="s">
        <v>1127</v>
      </c>
      <c r="AH737" s="1" t="s">
        <v>1128</v>
      </c>
      <c r="AI737" s="1" t="str">
        <f>_xlfn.TEXTAFTER(_xlfn.TEXTBEFORE(batch_summary[[#This Row],[video]],"_",1),"-",3)</f>
        <v>20</v>
      </c>
      <c r="AJ737" s="1" t="str">
        <f>_xlfn.TEXTBEFORE(_xlfn.TEXTAFTER(batch_summary[[#This Row],[video]],"_",1),"_",1)</f>
        <v>20260324</v>
      </c>
      <c r="AK737" s="1" t="str">
        <f>_xlfn.TEXTBEFORE(_xlfn.TEXTAFTER(batch_summary[[#This Row],[video]],"_",2),".",1)</f>
        <v>160000</v>
      </c>
    </row>
    <row r="738" spans="1:37" x14ac:dyDescent="0.2">
      <c r="A738" s="1" t="s">
        <v>1129</v>
      </c>
      <c r="B738" s="1" t="s">
        <v>1130</v>
      </c>
      <c r="C738">
        <v>119.95833333333333</v>
      </c>
      <c r="D738">
        <v>2879</v>
      </c>
      <c r="E738">
        <v>0.28830562718212605</v>
      </c>
      <c r="F738">
        <v>43.804187069647014</v>
      </c>
      <c r="G738">
        <v>1.0014089169229803E-4</v>
      </c>
      <c r="H738">
        <v>1.5215070187442521E-2</v>
      </c>
      <c r="I738">
        <v>5</v>
      </c>
      <c r="J738" t="b">
        <v>1</v>
      </c>
      <c r="K738">
        <v>0.65</v>
      </c>
      <c r="L738">
        <v>1.3</v>
      </c>
      <c r="M738" t="b">
        <v>1</v>
      </c>
      <c r="N738">
        <v>200</v>
      </c>
      <c r="O738" t="b">
        <v>0</v>
      </c>
      <c r="P738" t="b">
        <v>0</v>
      </c>
      <c r="Q738">
        <v>0.7</v>
      </c>
      <c r="R738">
        <v>16155974.29337883</v>
      </c>
      <c r="S738">
        <v>13806935.171068192</v>
      </c>
      <c r="T738">
        <v>15312931.790036917</v>
      </c>
      <c r="U738">
        <v>12877705.891016006</v>
      </c>
      <c r="V738">
        <v>29962909.464447021</v>
      </c>
      <c r="W738">
        <v>28190637.681052923</v>
      </c>
      <c r="X738">
        <v>249777.64055113879</v>
      </c>
      <c r="Y738">
        <v>235003.57914042036</v>
      </c>
      <c r="Z738">
        <v>10310.398768310548</v>
      </c>
      <c r="AA738">
        <v>7047.6594202632314</v>
      </c>
      <c r="AB738">
        <v>153129.31790036918</v>
      </c>
      <c r="AC738">
        <v>128777.05891016006</v>
      </c>
      <c r="AD738">
        <v>281906.37681052927</v>
      </c>
      <c r="AE738">
        <v>1.0628673889340663</v>
      </c>
      <c r="AF738" s="1" t="s">
        <v>1131</v>
      </c>
      <c r="AG738" s="1" t="s">
        <v>1132</v>
      </c>
      <c r="AH738" s="1" t="s">
        <v>1133</v>
      </c>
      <c r="AI738" s="1" t="str">
        <f>_xlfn.TEXTAFTER(_xlfn.TEXTBEFORE(batch_summary[[#This Row],[video]],"_",1),"-",3)</f>
        <v>20</v>
      </c>
      <c r="AJ738" s="1" t="str">
        <f>_xlfn.TEXTBEFORE(_xlfn.TEXTAFTER(batch_summary[[#This Row],[video]],"_",1),"_",1)</f>
        <v>20260324</v>
      </c>
      <c r="AK738" s="1" t="str">
        <f>_xlfn.TEXTBEFORE(_xlfn.TEXTAFTER(batch_summary[[#This Row],[video]],"_",2),".",1)</f>
        <v>170000</v>
      </c>
    </row>
    <row r="739" spans="1:37" x14ac:dyDescent="0.2">
      <c r="A739" s="1" t="s">
        <v>1134</v>
      </c>
      <c r="B739" s="1" t="s">
        <v>1135</v>
      </c>
      <c r="C739">
        <v>119.95833333333333</v>
      </c>
      <c r="D739">
        <v>2879</v>
      </c>
      <c r="E739">
        <v>0.30551188997924328</v>
      </c>
      <c r="F739">
        <v>44.202187389135361</v>
      </c>
      <c r="G739">
        <v>1.0611736366073056E-4</v>
      </c>
      <c r="H739">
        <v>1.5353312743708009E-2</v>
      </c>
      <c r="I739">
        <v>5</v>
      </c>
      <c r="J739" t="b">
        <v>1</v>
      </c>
      <c r="K739">
        <v>0.65</v>
      </c>
      <c r="L739">
        <v>1.3</v>
      </c>
      <c r="M739" t="b">
        <v>1</v>
      </c>
      <c r="N739">
        <v>200</v>
      </c>
      <c r="O739" t="b">
        <v>0</v>
      </c>
      <c r="P739" t="b">
        <v>0</v>
      </c>
      <c r="Q739">
        <v>0.7</v>
      </c>
      <c r="R739">
        <v>9813611.9978755116</v>
      </c>
      <c r="S739">
        <v>9227246.1104815602</v>
      </c>
      <c r="T739">
        <v>9133867.9057815075</v>
      </c>
      <c r="U739">
        <v>8488356.801656723</v>
      </c>
      <c r="V739">
        <v>19040858.108357072</v>
      </c>
      <c r="W739">
        <v>17622224.707438231</v>
      </c>
      <c r="X739">
        <v>158728.93178206659</v>
      </c>
      <c r="Y739">
        <v>146902.88050660561</v>
      </c>
      <c r="Z739">
        <v>8338.2197330474846</v>
      </c>
      <c r="AA739">
        <v>4405.556176859558</v>
      </c>
      <c r="AB739">
        <v>91338.679057815069</v>
      </c>
      <c r="AC739">
        <v>84883.568016567224</v>
      </c>
      <c r="AD739">
        <v>176222.24707438229</v>
      </c>
      <c r="AE739">
        <v>1.0805025145502796</v>
      </c>
      <c r="AF739" s="1" t="s">
        <v>1136</v>
      </c>
      <c r="AG739" s="1" t="s">
        <v>1137</v>
      </c>
      <c r="AH739" s="1" t="s">
        <v>1138</v>
      </c>
      <c r="AI739" s="1" t="str">
        <f>_xlfn.TEXTAFTER(_xlfn.TEXTBEFORE(batch_summary[[#This Row],[video]],"_",1),"-",3)</f>
        <v>20</v>
      </c>
      <c r="AJ739" s="1" t="str">
        <f>_xlfn.TEXTBEFORE(_xlfn.TEXTAFTER(batch_summary[[#This Row],[video]],"_",1),"_",1)</f>
        <v>20260324</v>
      </c>
      <c r="AK739" s="1" t="str">
        <f>_xlfn.TEXTBEFORE(_xlfn.TEXTAFTER(batch_summary[[#This Row],[video]],"_",2),".",1)</f>
        <v>180000</v>
      </c>
    </row>
    <row r="740" spans="1:37" x14ac:dyDescent="0.2">
      <c r="A740" s="1" t="s">
        <v>1139</v>
      </c>
      <c r="B740" s="1" t="s">
        <v>1140</v>
      </c>
      <c r="C740">
        <v>119.95833333333333</v>
      </c>
      <c r="D740">
        <v>2879</v>
      </c>
      <c r="E740">
        <v>0.34490291867405176</v>
      </c>
      <c r="F740">
        <v>43.757404437288642</v>
      </c>
      <c r="G740">
        <v>1.1979955494062235E-4</v>
      </c>
      <c r="H740">
        <v>1.5198820575647323E-2</v>
      </c>
      <c r="I740">
        <v>5</v>
      </c>
      <c r="J740" t="b">
        <v>1</v>
      </c>
      <c r="K740">
        <v>0.65</v>
      </c>
      <c r="L740">
        <v>1.3</v>
      </c>
      <c r="M740" t="b">
        <v>1</v>
      </c>
      <c r="N740">
        <v>200</v>
      </c>
      <c r="O740" t="b">
        <v>0</v>
      </c>
      <c r="P740" t="b">
        <v>0</v>
      </c>
      <c r="Q740">
        <v>0.7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s="1" t="s">
        <v>1141</v>
      </c>
      <c r="AG740" s="1" t="s">
        <v>1142</v>
      </c>
      <c r="AH740" s="1" t="s">
        <v>1143</v>
      </c>
      <c r="AI740" s="1" t="str">
        <f>_xlfn.TEXTAFTER(_xlfn.TEXTBEFORE(batch_summary[[#This Row],[video]],"_",1),"-",3)</f>
        <v>20</v>
      </c>
      <c r="AJ740" s="1" t="str">
        <f>_xlfn.TEXTBEFORE(_xlfn.TEXTAFTER(batch_summary[[#This Row],[video]],"_",1),"_",1)</f>
        <v>20260324</v>
      </c>
      <c r="AK740" s="1" t="str">
        <f>_xlfn.TEXTBEFORE(_xlfn.TEXTAFTER(batch_summary[[#This Row],[video]],"_",2),".",1)</f>
        <v>190000</v>
      </c>
    </row>
    <row r="741" spans="1:37" x14ac:dyDescent="0.2">
      <c r="A741" s="1" t="s">
        <v>1144</v>
      </c>
      <c r="B741" s="1" t="s">
        <v>1145</v>
      </c>
      <c r="C741">
        <v>119.95833333333333</v>
      </c>
      <c r="D741">
        <v>2879</v>
      </c>
      <c r="E741">
        <v>0.34418905526399612</v>
      </c>
      <c r="F741">
        <v>44.180199647322297</v>
      </c>
      <c r="G741">
        <v>1.1955159960541721E-4</v>
      </c>
      <c r="H741">
        <v>1.5345675459299166E-2</v>
      </c>
      <c r="I741">
        <v>5</v>
      </c>
      <c r="J741" t="b">
        <v>1</v>
      </c>
      <c r="K741">
        <v>0.65</v>
      </c>
      <c r="L741">
        <v>1.3</v>
      </c>
      <c r="M741" t="b">
        <v>1</v>
      </c>
      <c r="N741">
        <v>200</v>
      </c>
      <c r="O741" t="b">
        <v>0</v>
      </c>
      <c r="P741" t="b">
        <v>0</v>
      </c>
      <c r="Q741">
        <v>0.7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s="1" t="s">
        <v>1146</v>
      </c>
      <c r="AG741" s="1" t="s">
        <v>1147</v>
      </c>
      <c r="AH741" s="1" t="s">
        <v>1148</v>
      </c>
      <c r="AI741" s="1" t="str">
        <f>_xlfn.TEXTAFTER(_xlfn.TEXTBEFORE(batch_summary[[#This Row],[video]],"_",1),"-",3)</f>
        <v>20</v>
      </c>
      <c r="AJ741" s="1" t="str">
        <f>_xlfn.TEXTBEFORE(_xlfn.TEXTAFTER(batch_summary[[#This Row],[video]],"_",1),"_",1)</f>
        <v>20260325</v>
      </c>
      <c r="AK741" s="1" t="str">
        <f>_xlfn.TEXTBEFORE(_xlfn.TEXTAFTER(batch_summary[[#This Row],[video]],"_",2),".",1)</f>
        <v>060000</v>
      </c>
    </row>
    <row r="742" spans="1:37" x14ac:dyDescent="0.2">
      <c r="A742" s="1" t="s">
        <v>1149</v>
      </c>
      <c r="B742" s="1" t="s">
        <v>1150</v>
      </c>
      <c r="C742">
        <v>119.95833333333333</v>
      </c>
      <c r="D742">
        <v>2879</v>
      </c>
      <c r="E742">
        <v>0.32581128180027008</v>
      </c>
      <c r="F742">
        <v>43.584071571938694</v>
      </c>
      <c r="G742">
        <v>1.1316821180974994E-4</v>
      </c>
      <c r="H742">
        <v>1.5138614648120422E-2</v>
      </c>
      <c r="I742">
        <v>5</v>
      </c>
      <c r="J742" t="b">
        <v>1</v>
      </c>
      <c r="K742">
        <v>0.65</v>
      </c>
      <c r="L742">
        <v>1.3</v>
      </c>
      <c r="M742" t="b">
        <v>1</v>
      </c>
      <c r="N742">
        <v>200</v>
      </c>
      <c r="O742" t="b">
        <v>0</v>
      </c>
      <c r="P742" t="b">
        <v>0</v>
      </c>
      <c r="Q742">
        <v>0.7</v>
      </c>
      <c r="R742">
        <v>85639.939097046852</v>
      </c>
      <c r="S742">
        <v>68542.381951093674</v>
      </c>
      <c r="T742">
        <v>63554.726028442383</v>
      </c>
      <c r="U742">
        <v>41825.017227172852</v>
      </c>
      <c r="V742">
        <v>154182.32104814053</v>
      </c>
      <c r="W742">
        <v>105379.74325561523</v>
      </c>
      <c r="X742">
        <v>1285.2989597621997</v>
      </c>
      <c r="Y742">
        <v>878.4695512798769</v>
      </c>
      <c r="Z742">
        <v>712.48547210693357</v>
      </c>
      <c r="AA742">
        <v>26.34493581390381</v>
      </c>
      <c r="AB742">
        <v>635.54726028442383</v>
      </c>
      <c r="AC742">
        <v>418.2501722717285</v>
      </c>
      <c r="AD742">
        <v>1053.7974325561522</v>
      </c>
      <c r="AE742">
        <v>1.4631115647544037</v>
      </c>
      <c r="AF742" s="1" t="s">
        <v>1151</v>
      </c>
      <c r="AG742" s="1" t="s">
        <v>1152</v>
      </c>
      <c r="AH742" s="1" t="s">
        <v>1153</v>
      </c>
      <c r="AI742" s="1" t="str">
        <f>_xlfn.TEXTAFTER(_xlfn.TEXTBEFORE(batch_summary[[#This Row],[video]],"_",1),"-",3)</f>
        <v>20</v>
      </c>
      <c r="AJ742" s="1" t="str">
        <f>_xlfn.TEXTBEFORE(_xlfn.TEXTAFTER(batch_summary[[#This Row],[video]],"_",1),"_",1)</f>
        <v>20260325</v>
      </c>
      <c r="AK742" s="1" t="str">
        <f>_xlfn.TEXTBEFORE(_xlfn.TEXTAFTER(batch_summary[[#This Row],[video]],"_",2),".",1)</f>
        <v>070000</v>
      </c>
    </row>
    <row r="743" spans="1:37" x14ac:dyDescent="0.2">
      <c r="A743" s="1" t="s">
        <v>1154</v>
      </c>
      <c r="B743" s="1" t="s">
        <v>1155</v>
      </c>
      <c r="C743">
        <v>119.95833333333333</v>
      </c>
      <c r="D743">
        <v>2879</v>
      </c>
      <c r="E743">
        <v>0.34435627423226833</v>
      </c>
      <c r="F743">
        <v>44.154054433107376</v>
      </c>
      <c r="G743">
        <v>1.1960968191464687E-4</v>
      </c>
      <c r="H743">
        <v>1.5336594106671545E-2</v>
      </c>
      <c r="I743">
        <v>5</v>
      </c>
      <c r="J743" t="b">
        <v>1</v>
      </c>
      <c r="K743">
        <v>0.65</v>
      </c>
      <c r="L743">
        <v>1.3</v>
      </c>
      <c r="M743" t="b">
        <v>1</v>
      </c>
      <c r="N743">
        <v>200</v>
      </c>
      <c r="O743" t="b">
        <v>0</v>
      </c>
      <c r="P743" t="b">
        <v>0</v>
      </c>
      <c r="Q743">
        <v>0.7</v>
      </c>
      <c r="R743">
        <v>807810.44126975536</v>
      </c>
      <c r="S743">
        <v>1036768.505053401</v>
      </c>
      <c r="T743">
        <v>680232.97063446045</v>
      </c>
      <c r="U743">
        <v>868451.72214591503</v>
      </c>
      <c r="V743">
        <v>1844578.9463231564</v>
      </c>
      <c r="W743">
        <v>1548684.6927803755</v>
      </c>
      <c r="X743">
        <v>15376.830396580672</v>
      </c>
      <c r="Y743">
        <v>12910.188477502263</v>
      </c>
      <c r="Z743">
        <v>2363.7140113627911</v>
      </c>
      <c r="AA743">
        <v>387.1711731950939</v>
      </c>
      <c r="AB743">
        <v>6802.3297063446043</v>
      </c>
      <c r="AC743">
        <v>8684.5172214591512</v>
      </c>
      <c r="AD743">
        <v>15486.846927803756</v>
      </c>
      <c r="AE743">
        <v>1.1910616505232952</v>
      </c>
      <c r="AF743" s="1" t="s">
        <v>1156</v>
      </c>
      <c r="AG743" s="1" t="s">
        <v>1157</v>
      </c>
      <c r="AH743" s="1" t="s">
        <v>1158</v>
      </c>
      <c r="AI743" s="1" t="str">
        <f>_xlfn.TEXTAFTER(_xlfn.TEXTBEFORE(batch_summary[[#This Row],[video]],"_",1),"-",3)</f>
        <v>20</v>
      </c>
      <c r="AJ743" s="1" t="str">
        <f>_xlfn.TEXTBEFORE(_xlfn.TEXTAFTER(batch_summary[[#This Row],[video]],"_",1),"_",1)</f>
        <v>20260325</v>
      </c>
      <c r="AK743" s="1" t="str">
        <f>_xlfn.TEXTBEFORE(_xlfn.TEXTAFTER(batch_summary[[#This Row],[video]],"_",2),".",1)</f>
        <v>080000</v>
      </c>
    </row>
    <row r="744" spans="1:37" x14ac:dyDescent="0.2">
      <c r="A744" s="1" t="s">
        <v>1159</v>
      </c>
      <c r="B744" s="1" t="s">
        <v>1160</v>
      </c>
      <c r="C744">
        <v>119.95833333333333</v>
      </c>
      <c r="D744">
        <v>2879</v>
      </c>
      <c r="E744">
        <v>0.35428420547395945</v>
      </c>
      <c r="F744">
        <v>45.173311616294086</v>
      </c>
      <c r="G744">
        <v>1.2305807762207692E-4</v>
      </c>
      <c r="H744">
        <v>1.5690625778497426E-2</v>
      </c>
      <c r="I744">
        <v>5</v>
      </c>
      <c r="J744" t="b">
        <v>1</v>
      </c>
      <c r="K744">
        <v>0.65</v>
      </c>
      <c r="L744">
        <v>1.3</v>
      </c>
      <c r="M744" t="b">
        <v>1</v>
      </c>
      <c r="N744">
        <v>200</v>
      </c>
      <c r="O744" t="b">
        <v>0</v>
      </c>
      <c r="P744" t="b">
        <v>0</v>
      </c>
      <c r="Q744">
        <v>0.7</v>
      </c>
      <c r="R744">
        <v>2487483.107052803</v>
      </c>
      <c r="S744">
        <v>2282291.9006816745</v>
      </c>
      <c r="T744">
        <v>2061154.359487772</v>
      </c>
      <c r="U744">
        <v>1831163.4083750248</v>
      </c>
      <c r="V744">
        <v>4769775.0077344775</v>
      </c>
      <c r="W744">
        <v>3892317.7678627968</v>
      </c>
      <c r="X744">
        <v>39761.931290596549</v>
      </c>
      <c r="Y744">
        <v>32447.247804344261</v>
      </c>
      <c r="Z744">
        <v>4297.9559497070313</v>
      </c>
      <c r="AA744">
        <v>973.07944196569917</v>
      </c>
      <c r="AB744">
        <v>20611.543594877719</v>
      </c>
      <c r="AC744">
        <v>18311.634083750247</v>
      </c>
      <c r="AD744">
        <v>38923.177678627966</v>
      </c>
      <c r="AE744">
        <v>1.2254330946759975</v>
      </c>
      <c r="AF744" s="1" t="s">
        <v>1161</v>
      </c>
      <c r="AG744" s="1" t="s">
        <v>1162</v>
      </c>
      <c r="AH744" s="1" t="s">
        <v>1163</v>
      </c>
      <c r="AI744" s="1" t="str">
        <f>_xlfn.TEXTAFTER(_xlfn.TEXTBEFORE(batch_summary[[#This Row],[video]],"_",1),"-",3)</f>
        <v>20</v>
      </c>
      <c r="AJ744" s="1" t="str">
        <f>_xlfn.TEXTBEFORE(_xlfn.TEXTAFTER(batch_summary[[#This Row],[video]],"_",1),"_",1)</f>
        <v>20260325</v>
      </c>
      <c r="AK744" s="1" t="str">
        <f>_xlfn.TEXTBEFORE(_xlfn.TEXTAFTER(batch_summary[[#This Row],[video]],"_",2),".",1)</f>
        <v>090000</v>
      </c>
    </row>
    <row r="745" spans="1:37" x14ac:dyDescent="0.2">
      <c r="A745" s="1" t="s">
        <v>1164</v>
      </c>
      <c r="B745" s="1" t="s">
        <v>1165</v>
      </c>
      <c r="C745">
        <v>119.95833333333333</v>
      </c>
      <c r="D745">
        <v>2879</v>
      </c>
      <c r="E745">
        <v>0.29925702232867479</v>
      </c>
      <c r="F745">
        <v>44.199454249814153</v>
      </c>
      <c r="G745">
        <v>1.0394478024615311E-4</v>
      </c>
      <c r="H745">
        <v>1.5352363407368584E-2</v>
      </c>
      <c r="I745">
        <v>5</v>
      </c>
      <c r="J745" t="b">
        <v>1</v>
      </c>
      <c r="K745">
        <v>0.65</v>
      </c>
      <c r="L745">
        <v>1.3</v>
      </c>
      <c r="M745" t="b">
        <v>1</v>
      </c>
      <c r="N745">
        <v>200</v>
      </c>
      <c r="O745" t="b">
        <v>0</v>
      </c>
      <c r="P745" t="b">
        <v>0</v>
      </c>
      <c r="Q745">
        <v>0.7</v>
      </c>
      <c r="R745">
        <v>7660762.3165114522</v>
      </c>
      <c r="S745">
        <v>15222284.710966468</v>
      </c>
      <c r="T745">
        <v>6866514.7905353308</v>
      </c>
      <c r="U745">
        <v>14049835.786534905</v>
      </c>
      <c r="V745">
        <v>22883047.02747792</v>
      </c>
      <c r="W745">
        <v>20916350.577070236</v>
      </c>
      <c r="X745">
        <v>190758.29408109418</v>
      </c>
      <c r="Y745">
        <v>174363.46434514961</v>
      </c>
      <c r="Z745">
        <v>8331.8312578451623</v>
      </c>
      <c r="AA745">
        <v>5229.087644267559</v>
      </c>
      <c r="AB745">
        <v>68665.147905353311</v>
      </c>
      <c r="AC745">
        <v>140498.35786534904</v>
      </c>
      <c r="AD745">
        <v>209163.50577070235</v>
      </c>
      <c r="AE745">
        <v>1.0940267492247762</v>
      </c>
      <c r="AF745" s="1" t="s">
        <v>1166</v>
      </c>
      <c r="AG745" s="1" t="s">
        <v>1167</v>
      </c>
      <c r="AH745" s="1" t="s">
        <v>1168</v>
      </c>
      <c r="AI745" s="1" t="str">
        <f>_xlfn.TEXTAFTER(_xlfn.TEXTBEFORE(batch_summary[[#This Row],[video]],"_",1),"-",3)</f>
        <v>20</v>
      </c>
      <c r="AJ745" s="1" t="str">
        <f>_xlfn.TEXTBEFORE(_xlfn.TEXTAFTER(batch_summary[[#This Row],[video]],"_",1),"_",1)</f>
        <v>20260325</v>
      </c>
      <c r="AK745" s="1" t="str">
        <f>_xlfn.TEXTBEFORE(_xlfn.TEXTAFTER(batch_summary[[#This Row],[video]],"_",2),".",1)</f>
        <v>100000</v>
      </c>
    </row>
    <row r="746" spans="1:37" x14ac:dyDescent="0.2">
      <c r="A746" s="1" t="s">
        <v>1169</v>
      </c>
      <c r="B746" s="1" t="s">
        <v>1170</v>
      </c>
      <c r="C746">
        <v>119.95833333333333</v>
      </c>
      <c r="D746">
        <v>2879</v>
      </c>
      <c r="E746">
        <v>0.28682489506900311</v>
      </c>
      <c r="F746">
        <v>44.15672470536083</v>
      </c>
      <c r="G746">
        <v>9.9626570013547456E-5</v>
      </c>
      <c r="H746">
        <v>1.5337521606585908E-2</v>
      </c>
      <c r="I746">
        <v>5</v>
      </c>
      <c r="J746" t="b">
        <v>1</v>
      </c>
      <c r="K746">
        <v>0.65</v>
      </c>
      <c r="L746">
        <v>1.3</v>
      </c>
      <c r="M746" t="b">
        <v>1</v>
      </c>
      <c r="N746">
        <v>200</v>
      </c>
      <c r="O746" t="b">
        <v>0</v>
      </c>
      <c r="P746" t="b">
        <v>0</v>
      </c>
      <c r="Q746">
        <v>0.7</v>
      </c>
      <c r="R746">
        <v>14821268.745905638</v>
      </c>
      <c r="S746">
        <v>13820863.125163555</v>
      </c>
      <c r="T746">
        <v>13827451.150399446</v>
      </c>
      <c r="U746">
        <v>12751285.978749752</v>
      </c>
      <c r="V746">
        <v>28642131.871069193</v>
      </c>
      <c r="W746">
        <v>26578737.129149199</v>
      </c>
      <c r="X746">
        <v>238767.3375844601</v>
      </c>
      <c r="Y746">
        <v>221566.40885709648</v>
      </c>
      <c r="Z746">
        <v>9798.073374176025</v>
      </c>
      <c r="AA746">
        <v>6644.6842822872986</v>
      </c>
      <c r="AB746">
        <v>138274.51150399446</v>
      </c>
      <c r="AC746">
        <v>127512.85978749752</v>
      </c>
      <c r="AD746">
        <v>265787.37129149202</v>
      </c>
      <c r="AE746">
        <v>1.0776332875370909</v>
      </c>
      <c r="AF746" s="1" t="s">
        <v>1171</v>
      </c>
      <c r="AG746" s="1" t="s">
        <v>1172</v>
      </c>
      <c r="AH746" s="1" t="s">
        <v>1173</v>
      </c>
      <c r="AI746" s="1" t="str">
        <f>_xlfn.TEXTAFTER(_xlfn.TEXTBEFORE(batch_summary[[#This Row],[video]],"_",1),"-",3)</f>
        <v>20</v>
      </c>
      <c r="AJ746" s="1" t="str">
        <f>_xlfn.TEXTBEFORE(_xlfn.TEXTAFTER(batch_summary[[#This Row],[video]],"_",1),"_",1)</f>
        <v>20260325</v>
      </c>
      <c r="AK746" s="1" t="str">
        <f>_xlfn.TEXTBEFORE(_xlfn.TEXTAFTER(batch_summary[[#This Row],[video]],"_",2),".",1)</f>
        <v>110000</v>
      </c>
    </row>
    <row r="747" spans="1:37" x14ac:dyDescent="0.2">
      <c r="A747" s="1" t="s">
        <v>1174</v>
      </c>
      <c r="B747" s="1" t="s">
        <v>1175</v>
      </c>
      <c r="C747">
        <v>119.95833333333333</v>
      </c>
      <c r="D747">
        <v>2879</v>
      </c>
      <c r="E747">
        <v>0.29348977468907833</v>
      </c>
      <c r="F747">
        <v>44.011397441849113</v>
      </c>
      <c r="G747">
        <v>1.0194156814486917E-4</v>
      </c>
      <c r="H747">
        <v>1.5287043223983714E-2</v>
      </c>
      <c r="I747">
        <v>5</v>
      </c>
      <c r="J747" t="b">
        <v>1</v>
      </c>
      <c r="K747">
        <v>0.65</v>
      </c>
      <c r="L747">
        <v>1.3</v>
      </c>
      <c r="M747" t="b">
        <v>1</v>
      </c>
      <c r="N747">
        <v>200</v>
      </c>
      <c r="O747" t="b">
        <v>0</v>
      </c>
      <c r="P747" t="b">
        <v>0</v>
      </c>
      <c r="Q747">
        <v>0.7</v>
      </c>
      <c r="R747">
        <v>16174004.392056823</v>
      </c>
      <c r="S747">
        <v>15880913.284364879</v>
      </c>
      <c r="T747">
        <v>15208546.087980092</v>
      </c>
      <c r="U747">
        <v>14765291.715980053</v>
      </c>
      <c r="V747">
        <v>32054917.676421702</v>
      </c>
      <c r="W747">
        <v>29973837.803960145</v>
      </c>
      <c r="X747">
        <v>267217.0976846547</v>
      </c>
      <c r="Y747">
        <v>249868.74167941767</v>
      </c>
      <c r="Z747">
        <v>10376.718440380097</v>
      </c>
      <c r="AA747">
        <v>7493.4594509900371</v>
      </c>
      <c r="AB747">
        <v>152085.46087980093</v>
      </c>
      <c r="AC747">
        <v>147652.91715980053</v>
      </c>
      <c r="AD747">
        <v>299738.37803960149</v>
      </c>
      <c r="AE747">
        <v>1.0694298770171702</v>
      </c>
      <c r="AF747" s="1" t="s">
        <v>1176</v>
      </c>
      <c r="AG747" s="1" t="s">
        <v>1177</v>
      </c>
      <c r="AH747" s="1" t="s">
        <v>1178</v>
      </c>
      <c r="AI747" s="1" t="str">
        <f>_xlfn.TEXTAFTER(_xlfn.TEXTBEFORE(batch_summary[[#This Row],[video]],"_",1),"-",3)</f>
        <v>20</v>
      </c>
      <c r="AJ747" s="1" t="str">
        <f>_xlfn.TEXTBEFORE(_xlfn.TEXTAFTER(batch_summary[[#This Row],[video]],"_",1),"_",1)</f>
        <v>20260325</v>
      </c>
      <c r="AK747" s="1" t="str">
        <f>_xlfn.TEXTBEFORE(_xlfn.TEXTAFTER(batch_summary[[#This Row],[video]],"_",2),".",1)</f>
        <v>120000</v>
      </c>
    </row>
    <row r="748" spans="1:37" x14ac:dyDescent="0.2">
      <c r="A748" s="1" t="s">
        <v>1179</v>
      </c>
      <c r="B748" s="1" t="s">
        <v>1180</v>
      </c>
      <c r="C748">
        <v>119.95833333333333</v>
      </c>
      <c r="D748">
        <v>2879</v>
      </c>
      <c r="E748">
        <v>0.2875639321282506</v>
      </c>
      <c r="F748">
        <v>43.447852564975619</v>
      </c>
      <c r="G748">
        <v>9.9883269235238141E-5</v>
      </c>
      <c r="H748">
        <v>1.509129995310025E-2</v>
      </c>
      <c r="I748">
        <v>5</v>
      </c>
      <c r="J748" t="b">
        <v>1</v>
      </c>
      <c r="K748">
        <v>0.65</v>
      </c>
      <c r="L748">
        <v>1.3</v>
      </c>
      <c r="M748" t="b">
        <v>1</v>
      </c>
      <c r="N748">
        <v>200</v>
      </c>
      <c r="O748" t="b">
        <v>0</v>
      </c>
      <c r="P748" t="b">
        <v>0</v>
      </c>
      <c r="Q748">
        <v>0.7</v>
      </c>
      <c r="R748">
        <v>20749172.718058586</v>
      </c>
      <c r="S748">
        <v>19598801.629111826</v>
      </c>
      <c r="T748">
        <v>19803152.863091469</v>
      </c>
      <c r="U748">
        <v>18543541.041901052</v>
      </c>
      <c r="V748">
        <v>40347974.347170413</v>
      </c>
      <c r="W748">
        <v>38346693.904992521</v>
      </c>
      <c r="X748">
        <v>336349.90772215696</v>
      </c>
      <c r="Y748">
        <v>319666.77795061498</v>
      </c>
      <c r="Z748">
        <v>13532.514022216797</v>
      </c>
      <c r="AA748">
        <v>9586.6734762481301</v>
      </c>
      <c r="AB748">
        <v>198031.52863091469</v>
      </c>
      <c r="AC748">
        <v>185435.41041901053</v>
      </c>
      <c r="AD748">
        <v>383466.93904992519</v>
      </c>
      <c r="AE748">
        <v>1.052189126059635</v>
      </c>
      <c r="AF748" s="1" t="s">
        <v>1181</v>
      </c>
      <c r="AG748" s="1" t="s">
        <v>1182</v>
      </c>
      <c r="AH748" s="1" t="s">
        <v>1183</v>
      </c>
      <c r="AI748" s="1" t="str">
        <f>_xlfn.TEXTAFTER(_xlfn.TEXTBEFORE(batch_summary[[#This Row],[video]],"_",1),"-",3)</f>
        <v>20</v>
      </c>
      <c r="AJ748" s="1" t="str">
        <f>_xlfn.TEXTBEFORE(_xlfn.TEXTAFTER(batch_summary[[#This Row],[video]],"_",1),"_",1)</f>
        <v>20260325</v>
      </c>
      <c r="AK748" s="1" t="str">
        <f>_xlfn.TEXTBEFORE(_xlfn.TEXTAFTER(batch_summary[[#This Row],[video]],"_",2),".",1)</f>
        <v>130000</v>
      </c>
    </row>
    <row r="749" spans="1:37" x14ac:dyDescent="0.2">
      <c r="A749" s="1" t="s">
        <v>1184</v>
      </c>
      <c r="B749" s="1" t="s">
        <v>1185</v>
      </c>
      <c r="C749">
        <v>119.95833333333333</v>
      </c>
      <c r="D749">
        <v>2879</v>
      </c>
      <c r="E749">
        <v>0.28435821272432804</v>
      </c>
      <c r="F749">
        <v>43.460284782573581</v>
      </c>
      <c r="G749">
        <v>9.8769785593722835E-5</v>
      </c>
      <c r="H749">
        <v>1.5095618194711212E-2</v>
      </c>
      <c r="I749">
        <v>5</v>
      </c>
      <c r="J749" t="b">
        <v>1</v>
      </c>
      <c r="K749">
        <v>0.65</v>
      </c>
      <c r="L749">
        <v>1.3</v>
      </c>
      <c r="M749" t="b">
        <v>1</v>
      </c>
      <c r="N749">
        <v>200</v>
      </c>
      <c r="O749" t="b">
        <v>0</v>
      </c>
      <c r="P749" t="b">
        <v>0</v>
      </c>
      <c r="Q749">
        <v>0.7</v>
      </c>
      <c r="R749">
        <v>20766336.264659882</v>
      </c>
      <c r="S749">
        <v>22213058.370910645</v>
      </c>
      <c r="T749">
        <v>19760014.615954697</v>
      </c>
      <c r="U749">
        <v>21127292.069416404</v>
      </c>
      <c r="V749">
        <v>42979394.635570526</v>
      </c>
      <c r="W749">
        <v>40887306.685371101</v>
      </c>
      <c r="X749">
        <v>358286.02683351602</v>
      </c>
      <c r="Y749">
        <v>340845.90498398972</v>
      </c>
      <c r="Z749">
        <v>14107.274862556458</v>
      </c>
      <c r="AA749">
        <v>10221.826671342777</v>
      </c>
      <c r="AB749">
        <v>197600.14615954697</v>
      </c>
      <c r="AC749">
        <v>211272.92069416403</v>
      </c>
      <c r="AD749">
        <v>408873.06685371103</v>
      </c>
      <c r="AE749">
        <v>1.0511671743580007</v>
      </c>
      <c r="AF749" s="1" t="s">
        <v>1186</v>
      </c>
      <c r="AG749" s="1" t="s">
        <v>1187</v>
      </c>
      <c r="AH749" s="1" t="s">
        <v>1188</v>
      </c>
      <c r="AI749" s="1" t="str">
        <f>_xlfn.TEXTAFTER(_xlfn.TEXTBEFORE(batch_summary[[#This Row],[video]],"_",1),"-",3)</f>
        <v>20</v>
      </c>
      <c r="AJ749" s="1" t="str">
        <f>_xlfn.TEXTBEFORE(_xlfn.TEXTAFTER(batch_summary[[#This Row],[video]],"_",1),"_",1)</f>
        <v>20260325</v>
      </c>
      <c r="AK749" s="1" t="str">
        <f>_xlfn.TEXTBEFORE(_xlfn.TEXTAFTER(batch_summary[[#This Row],[video]],"_",2),".",1)</f>
        <v>140000</v>
      </c>
    </row>
    <row r="750" spans="1:37" x14ac:dyDescent="0.2">
      <c r="A750" s="1" t="s">
        <v>1189</v>
      </c>
      <c r="B750" s="1" t="s">
        <v>1190</v>
      </c>
      <c r="C750">
        <v>119.95833333333333</v>
      </c>
      <c r="D750">
        <v>2879</v>
      </c>
      <c r="E750">
        <v>0.28997592628002167</v>
      </c>
      <c r="F750">
        <v>43.415274032391608</v>
      </c>
      <c r="G750">
        <v>1.0072105810351569E-4</v>
      </c>
      <c r="H750">
        <v>1.5079984033480934E-2</v>
      </c>
      <c r="I750">
        <v>5</v>
      </c>
      <c r="J750" t="b">
        <v>1</v>
      </c>
      <c r="K750">
        <v>0.65</v>
      </c>
      <c r="L750">
        <v>1.3</v>
      </c>
      <c r="M750" t="b">
        <v>1</v>
      </c>
      <c r="N750">
        <v>200</v>
      </c>
      <c r="O750" t="b">
        <v>0</v>
      </c>
      <c r="P750" t="b">
        <v>0</v>
      </c>
      <c r="Q750">
        <v>0.7</v>
      </c>
      <c r="R750">
        <v>20120235.213587284</v>
      </c>
      <c r="S750">
        <v>23087868.460708618</v>
      </c>
      <c r="T750">
        <v>19073793.015788734</v>
      </c>
      <c r="U750">
        <v>21980983.932330251</v>
      </c>
      <c r="V750">
        <v>43208103.674295902</v>
      </c>
      <c r="W750">
        <v>41054776.948118985</v>
      </c>
      <c r="X750">
        <v>360192.59749326215</v>
      </c>
      <c r="Y750">
        <v>342241.97525351011</v>
      </c>
      <c r="Z750">
        <v>14507.336962890626</v>
      </c>
      <c r="AA750">
        <v>10263.694237029746</v>
      </c>
      <c r="AB750">
        <v>190737.93015788734</v>
      </c>
      <c r="AC750">
        <v>219809.8393233025</v>
      </c>
      <c r="AD750">
        <v>410547.76948118984</v>
      </c>
      <c r="AE750">
        <v>1.0524500895205955</v>
      </c>
      <c r="AF750" s="1" t="s">
        <v>1191</v>
      </c>
      <c r="AG750" s="1" t="s">
        <v>1192</v>
      </c>
      <c r="AH750" s="1" t="s">
        <v>1193</v>
      </c>
      <c r="AI750" s="1" t="str">
        <f>_xlfn.TEXTAFTER(_xlfn.TEXTBEFORE(batch_summary[[#This Row],[video]],"_",1),"-",3)</f>
        <v>20</v>
      </c>
      <c r="AJ750" s="1" t="str">
        <f>_xlfn.TEXTBEFORE(_xlfn.TEXTAFTER(batch_summary[[#This Row],[video]],"_",1),"_",1)</f>
        <v>20260325</v>
      </c>
      <c r="AK750" s="1" t="str">
        <f>_xlfn.TEXTBEFORE(_xlfn.TEXTAFTER(batch_summary[[#This Row],[video]],"_",2),".",1)</f>
        <v>150000</v>
      </c>
    </row>
    <row r="751" spans="1:37" x14ac:dyDescent="0.2">
      <c r="A751" s="1" t="s">
        <v>1194</v>
      </c>
      <c r="B751" s="1" t="s">
        <v>1195</v>
      </c>
      <c r="C751">
        <v>119.95833333333333</v>
      </c>
      <c r="D751">
        <v>2879</v>
      </c>
      <c r="E751">
        <v>0.28283857367932796</v>
      </c>
      <c r="F751">
        <v>43.449335878714919</v>
      </c>
      <c r="G751">
        <v>9.8241949871249727E-5</v>
      </c>
      <c r="H751">
        <v>1.5091815171488335E-2</v>
      </c>
      <c r="I751">
        <v>5</v>
      </c>
      <c r="J751" t="b">
        <v>1</v>
      </c>
      <c r="K751">
        <v>0.65</v>
      </c>
      <c r="L751">
        <v>1.3</v>
      </c>
      <c r="M751" t="b">
        <v>1</v>
      </c>
      <c r="N751">
        <v>200</v>
      </c>
      <c r="O751" t="b">
        <v>0</v>
      </c>
      <c r="P751" t="b">
        <v>0</v>
      </c>
      <c r="Q751">
        <v>0.7</v>
      </c>
      <c r="R751">
        <v>17726791.75680548</v>
      </c>
      <c r="S751">
        <v>16905898.033175588</v>
      </c>
      <c r="T751">
        <v>16674550.196118355</v>
      </c>
      <c r="U751">
        <v>15748550.851202488</v>
      </c>
      <c r="V751">
        <v>34632689.789981067</v>
      </c>
      <c r="W751">
        <v>32423101.047320843</v>
      </c>
      <c r="X751">
        <v>288705.99338643474</v>
      </c>
      <c r="Y751">
        <v>270286.35815758951</v>
      </c>
      <c r="Z751">
        <v>10630.528118667604</v>
      </c>
      <c r="AA751">
        <v>8105.7752618302093</v>
      </c>
      <c r="AB751">
        <v>166745.50196118356</v>
      </c>
      <c r="AC751">
        <v>157485.50851202488</v>
      </c>
      <c r="AD751">
        <v>324231.01047320844</v>
      </c>
      <c r="AE751">
        <v>1.0681485937892052</v>
      </c>
      <c r="AF751" s="1" t="s">
        <v>1196</v>
      </c>
      <c r="AG751" s="1" t="s">
        <v>1197</v>
      </c>
      <c r="AH751" s="1" t="s">
        <v>1198</v>
      </c>
      <c r="AI751" s="1" t="str">
        <f>_xlfn.TEXTAFTER(_xlfn.TEXTBEFORE(batch_summary[[#This Row],[video]],"_",1),"-",3)</f>
        <v>20</v>
      </c>
      <c r="AJ751" s="1" t="str">
        <f>_xlfn.TEXTBEFORE(_xlfn.TEXTAFTER(batch_summary[[#This Row],[video]],"_",1),"_",1)</f>
        <v>20260325</v>
      </c>
      <c r="AK751" s="1" t="str">
        <f>_xlfn.TEXTBEFORE(_xlfn.TEXTAFTER(batch_summary[[#This Row],[video]],"_",2),".",1)</f>
        <v>160000</v>
      </c>
    </row>
    <row r="752" spans="1:37" x14ac:dyDescent="0.2">
      <c r="A752" s="1" t="s">
        <v>1199</v>
      </c>
      <c r="B752" s="1" t="s">
        <v>1200</v>
      </c>
      <c r="C752">
        <v>119.95833333333333</v>
      </c>
      <c r="D752">
        <v>2879</v>
      </c>
      <c r="E752">
        <v>0.30116665083914995</v>
      </c>
      <c r="F752">
        <v>43.836115988902748</v>
      </c>
      <c r="G752">
        <v>1.0460807601220909E-4</v>
      </c>
      <c r="H752">
        <v>1.5226160468531693E-2</v>
      </c>
      <c r="I752">
        <v>5</v>
      </c>
      <c r="J752" t="b">
        <v>1</v>
      </c>
      <c r="K752">
        <v>0.65</v>
      </c>
      <c r="L752">
        <v>1.3</v>
      </c>
      <c r="M752" t="b">
        <v>1</v>
      </c>
      <c r="N752">
        <v>200</v>
      </c>
      <c r="O752" t="b">
        <v>0</v>
      </c>
      <c r="P752" t="b">
        <v>0</v>
      </c>
      <c r="Q752">
        <v>0.7</v>
      </c>
      <c r="R752">
        <v>17506837.661721349</v>
      </c>
      <c r="S752">
        <v>15731448.939442337</v>
      </c>
      <c r="T752">
        <v>16524815.22274965</v>
      </c>
      <c r="U752">
        <v>14694964.757704139</v>
      </c>
      <c r="V752">
        <v>33238286.601163685</v>
      </c>
      <c r="W752">
        <v>31219779.980453789</v>
      </c>
      <c r="X752">
        <v>277081.9306800724</v>
      </c>
      <c r="Y752">
        <v>260255.19955918408</v>
      </c>
      <c r="Z752">
        <v>10423.113285522461</v>
      </c>
      <c r="AA752">
        <v>7804.9449951134466</v>
      </c>
      <c r="AB752">
        <v>165248.1522274965</v>
      </c>
      <c r="AC752">
        <v>146949.64757704138</v>
      </c>
      <c r="AD752">
        <v>312197.79980453791</v>
      </c>
      <c r="AE752">
        <v>1.0646547356186895</v>
      </c>
      <c r="AF752" s="1" t="s">
        <v>1201</v>
      </c>
      <c r="AG752" s="1" t="s">
        <v>1202</v>
      </c>
      <c r="AH752" s="1" t="s">
        <v>1203</v>
      </c>
      <c r="AI752" s="1" t="str">
        <f>_xlfn.TEXTAFTER(_xlfn.TEXTBEFORE(batch_summary[[#This Row],[video]],"_",1),"-",3)</f>
        <v>20</v>
      </c>
      <c r="AJ752" s="1" t="str">
        <f>_xlfn.TEXTBEFORE(_xlfn.TEXTAFTER(batch_summary[[#This Row],[video]],"_",1),"_",1)</f>
        <v>20260325</v>
      </c>
      <c r="AK752" s="1" t="str">
        <f>_xlfn.TEXTBEFORE(_xlfn.TEXTAFTER(batch_summary[[#This Row],[video]],"_",2),".",1)</f>
        <v>170000</v>
      </c>
    </row>
    <row r="753" spans="1:37" x14ac:dyDescent="0.2">
      <c r="A753" s="1" t="s">
        <v>1204</v>
      </c>
      <c r="B753" s="1" t="s">
        <v>1205</v>
      </c>
      <c r="C753">
        <v>119.95833333333333</v>
      </c>
      <c r="D753">
        <v>2879</v>
      </c>
      <c r="E753">
        <v>0.31183574255555868</v>
      </c>
      <c r="F753">
        <v>44.312031432986259</v>
      </c>
      <c r="G753">
        <v>1.0831390849446289E-4</v>
      </c>
      <c r="H753">
        <v>1.5391466284469003E-2</v>
      </c>
      <c r="I753">
        <v>5</v>
      </c>
      <c r="J753" t="b">
        <v>1</v>
      </c>
      <c r="K753">
        <v>0.65</v>
      </c>
      <c r="L753">
        <v>1.3</v>
      </c>
      <c r="M753" t="b">
        <v>1</v>
      </c>
      <c r="N753">
        <v>200</v>
      </c>
      <c r="O753" t="b">
        <v>0</v>
      </c>
      <c r="P753" t="b">
        <v>0</v>
      </c>
      <c r="Q753">
        <v>0.7</v>
      </c>
      <c r="R753">
        <v>11626417.855238378</v>
      </c>
      <c r="S753">
        <v>9293485.2828223705</v>
      </c>
      <c r="T753">
        <v>10866658.360358536</v>
      </c>
      <c r="U753">
        <v>8600564.8999641538</v>
      </c>
      <c r="V753">
        <v>20919903.138060749</v>
      </c>
      <c r="W753">
        <v>19467223.26032269</v>
      </c>
      <c r="X753">
        <v>174393.07930304203</v>
      </c>
      <c r="Y753">
        <v>162283.20883909156</v>
      </c>
      <c r="Z753">
        <v>8898.3757594299313</v>
      </c>
      <c r="AA753">
        <v>4866.8058150806737</v>
      </c>
      <c r="AB753">
        <v>108666.58360358536</v>
      </c>
      <c r="AC753">
        <v>86005.648999641533</v>
      </c>
      <c r="AD753">
        <v>194672.2326032269</v>
      </c>
      <c r="AE753">
        <v>1.0746218327242825</v>
      </c>
      <c r="AF753" s="1" t="s">
        <v>1206</v>
      </c>
      <c r="AG753" s="1" t="s">
        <v>1207</v>
      </c>
      <c r="AH753" s="1" t="s">
        <v>1208</v>
      </c>
      <c r="AI753" s="1" t="str">
        <f>_xlfn.TEXTAFTER(_xlfn.TEXTBEFORE(batch_summary[[#This Row],[video]],"_",1),"-",3)</f>
        <v>20</v>
      </c>
      <c r="AJ753" s="1" t="str">
        <f>_xlfn.TEXTBEFORE(_xlfn.TEXTAFTER(batch_summary[[#This Row],[video]],"_",1),"_",1)</f>
        <v>20260325</v>
      </c>
      <c r="AK753" s="1" t="str">
        <f>_xlfn.TEXTBEFORE(_xlfn.TEXTAFTER(batch_summary[[#This Row],[video]],"_",2),".",1)</f>
        <v>180000</v>
      </c>
    </row>
    <row r="754" spans="1:37" x14ac:dyDescent="0.2">
      <c r="A754" s="1" t="s">
        <v>1209</v>
      </c>
      <c r="B754" s="1" t="s">
        <v>1210</v>
      </c>
      <c r="C754">
        <v>119.95833333333333</v>
      </c>
      <c r="D754">
        <v>2879</v>
      </c>
      <c r="E754">
        <v>0.34445722587406635</v>
      </c>
      <c r="F754">
        <v>44.054456260986626</v>
      </c>
      <c r="G754">
        <v>1.196447467433367E-4</v>
      </c>
      <c r="H754">
        <v>1.5301999395966178E-2</v>
      </c>
      <c r="I754">
        <v>5</v>
      </c>
      <c r="J754" t="b">
        <v>1</v>
      </c>
      <c r="K754">
        <v>0.65</v>
      </c>
      <c r="L754">
        <v>1.3</v>
      </c>
      <c r="M754" t="b">
        <v>1</v>
      </c>
      <c r="N754">
        <v>200</v>
      </c>
      <c r="O754" t="b">
        <v>0</v>
      </c>
      <c r="P754" t="b">
        <v>0</v>
      </c>
      <c r="Q754">
        <v>0.7</v>
      </c>
      <c r="R754">
        <v>12.132769584655762</v>
      </c>
      <c r="S754">
        <v>0</v>
      </c>
      <c r="T754">
        <v>0</v>
      </c>
      <c r="U754">
        <v>0</v>
      </c>
      <c r="V754">
        <v>12.132769584655762</v>
      </c>
      <c r="W754">
        <v>0</v>
      </c>
      <c r="X754">
        <v>0.10114153179289277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12132769.584655762</v>
      </c>
      <c r="AF754" s="1" t="s">
        <v>1211</v>
      </c>
      <c r="AG754" s="1" t="s">
        <v>1212</v>
      </c>
      <c r="AH754" s="1" t="s">
        <v>1213</v>
      </c>
      <c r="AI754" s="1" t="str">
        <f>_xlfn.TEXTAFTER(_xlfn.TEXTBEFORE(batch_summary[[#This Row],[video]],"_",1),"-",3)</f>
        <v>20</v>
      </c>
      <c r="AJ754" s="1" t="str">
        <f>_xlfn.TEXTBEFORE(_xlfn.TEXTAFTER(batch_summary[[#This Row],[video]],"_",1),"_",1)</f>
        <v>20260325</v>
      </c>
      <c r="AK754" s="1" t="str">
        <f>_xlfn.TEXTBEFORE(_xlfn.TEXTAFTER(batch_summary[[#This Row],[video]],"_",2),".",1)</f>
        <v>190000</v>
      </c>
    </row>
    <row r="755" spans="1:37" x14ac:dyDescent="0.2">
      <c r="A755" s="1" t="s">
        <v>1214</v>
      </c>
      <c r="B755" s="1" t="s">
        <v>1215</v>
      </c>
      <c r="C755">
        <v>119.95833333333333</v>
      </c>
      <c r="D755">
        <v>2879</v>
      </c>
      <c r="E755">
        <v>0.33933152444660664</v>
      </c>
      <c r="F755">
        <v>44.017894038930535</v>
      </c>
      <c r="G755">
        <v>1.1786437111726524E-4</v>
      </c>
      <c r="H755">
        <v>1.5289299770382262E-2</v>
      </c>
      <c r="I755">
        <v>5</v>
      </c>
      <c r="J755" t="b">
        <v>1</v>
      </c>
      <c r="K755">
        <v>0.65</v>
      </c>
      <c r="L755">
        <v>1.3</v>
      </c>
      <c r="M755" t="b">
        <v>1</v>
      </c>
      <c r="N755">
        <v>200</v>
      </c>
      <c r="O755" t="b">
        <v>0</v>
      </c>
      <c r="P755" t="b">
        <v>0</v>
      </c>
      <c r="Q755">
        <v>0.7</v>
      </c>
      <c r="R755">
        <v>1275.076446056366</v>
      </c>
      <c r="S755">
        <v>783.21374714374542</v>
      </c>
      <c r="T755">
        <v>0</v>
      </c>
      <c r="U755">
        <v>0</v>
      </c>
      <c r="V755">
        <v>2058.2901932001114</v>
      </c>
      <c r="W755">
        <v>0</v>
      </c>
      <c r="X755">
        <v>17.158376046128058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2058290193.2001114</v>
      </c>
      <c r="AF755" s="1" t="s">
        <v>1216</v>
      </c>
      <c r="AG755" s="1" t="s">
        <v>1217</v>
      </c>
      <c r="AH755" s="1" t="s">
        <v>1218</v>
      </c>
      <c r="AI755" s="1" t="str">
        <f>_xlfn.TEXTAFTER(_xlfn.TEXTBEFORE(batch_summary[[#This Row],[video]],"_",1),"-",3)</f>
        <v>20</v>
      </c>
      <c r="AJ755" s="1" t="str">
        <f>_xlfn.TEXTBEFORE(_xlfn.TEXTAFTER(batch_summary[[#This Row],[video]],"_",1),"_",1)</f>
        <v>20260326</v>
      </c>
      <c r="AK755" s="1" t="str">
        <f>_xlfn.TEXTBEFORE(_xlfn.TEXTAFTER(batch_summary[[#This Row],[video]],"_",2),".",1)</f>
        <v>060000</v>
      </c>
    </row>
    <row r="756" spans="1:37" x14ac:dyDescent="0.2">
      <c r="A756" s="1" t="s">
        <v>1219</v>
      </c>
      <c r="B756" s="1" t="s">
        <v>1220</v>
      </c>
      <c r="C756">
        <v>119.95833333333333</v>
      </c>
      <c r="D756">
        <v>2879</v>
      </c>
      <c r="E756">
        <v>0.33255056384950876</v>
      </c>
      <c r="F756">
        <v>43.635559138841927</v>
      </c>
      <c r="G756">
        <v>1.1550905309118054E-4</v>
      </c>
      <c r="H756">
        <v>1.5156498485183025E-2</v>
      </c>
      <c r="I756">
        <v>5</v>
      </c>
      <c r="J756" t="b">
        <v>1</v>
      </c>
      <c r="K756">
        <v>0.65</v>
      </c>
      <c r="L756">
        <v>1.3</v>
      </c>
      <c r="M756" t="b">
        <v>1</v>
      </c>
      <c r="N756">
        <v>200</v>
      </c>
      <c r="O756" t="b">
        <v>0</v>
      </c>
      <c r="P756" t="b">
        <v>0</v>
      </c>
      <c r="Q756">
        <v>0.7</v>
      </c>
      <c r="R756">
        <v>151648.37241947651</v>
      </c>
      <c r="S756">
        <v>156722.61637151241</v>
      </c>
      <c r="T756">
        <v>119338.52463722229</v>
      </c>
      <c r="U756">
        <v>110385.12759399414</v>
      </c>
      <c r="V756">
        <v>308370.98879098892</v>
      </c>
      <c r="W756">
        <v>229723.65223121643</v>
      </c>
      <c r="X756">
        <v>2570.6508270176223</v>
      </c>
      <c r="Y756">
        <v>1915.0287091174694</v>
      </c>
      <c r="Z756">
        <v>706.43462219238279</v>
      </c>
      <c r="AA756">
        <v>57.430913057804105</v>
      </c>
      <c r="AB756">
        <v>1193.3852463722228</v>
      </c>
      <c r="AC756">
        <v>1103.8512759399414</v>
      </c>
      <c r="AD756">
        <v>2297.2365223121642</v>
      </c>
      <c r="AE756">
        <v>1.3423562867641252</v>
      </c>
      <c r="AF756" s="1" t="s">
        <v>1221</v>
      </c>
      <c r="AG756" s="1" t="s">
        <v>1222</v>
      </c>
      <c r="AH756" s="1" t="s">
        <v>1223</v>
      </c>
      <c r="AI756" s="1" t="str">
        <f>_xlfn.TEXTAFTER(_xlfn.TEXTBEFORE(batch_summary[[#This Row],[video]],"_",1),"-",3)</f>
        <v>20</v>
      </c>
      <c r="AJ756" s="1" t="str">
        <f>_xlfn.TEXTBEFORE(_xlfn.TEXTAFTER(batch_summary[[#This Row],[video]],"_",1),"_",1)</f>
        <v>20260326</v>
      </c>
      <c r="AK756" s="1" t="str">
        <f>_xlfn.TEXTBEFORE(_xlfn.TEXTAFTER(batch_summary[[#This Row],[video]],"_",2),".",1)</f>
        <v>070000</v>
      </c>
    </row>
    <row r="757" spans="1:37" x14ac:dyDescent="0.2">
      <c r="A757" s="1" t="s">
        <v>1224</v>
      </c>
      <c r="B757" s="1" t="s">
        <v>1225</v>
      </c>
      <c r="C757">
        <v>119.95833333333333</v>
      </c>
      <c r="D757">
        <v>2879</v>
      </c>
      <c r="E757">
        <v>0.33654080610722303</v>
      </c>
      <c r="F757">
        <v>43.782473539933562</v>
      </c>
      <c r="G757">
        <v>1.1689503511886872E-4</v>
      </c>
      <c r="H757">
        <v>1.5207528148639654E-2</v>
      </c>
      <c r="I757">
        <v>5</v>
      </c>
      <c r="J757" t="b">
        <v>1</v>
      </c>
      <c r="K757">
        <v>0.65</v>
      </c>
      <c r="L757">
        <v>1.3</v>
      </c>
      <c r="M757" t="b">
        <v>1</v>
      </c>
      <c r="N757">
        <v>200</v>
      </c>
      <c r="O757" t="b">
        <v>0</v>
      </c>
      <c r="P757" t="b">
        <v>0</v>
      </c>
      <c r="Q757">
        <v>0.7</v>
      </c>
      <c r="R757">
        <v>539392.22264397144</v>
      </c>
      <c r="S757">
        <v>466010.10122597218</v>
      </c>
      <c r="T757">
        <v>444356.3606351614</v>
      </c>
      <c r="U757">
        <v>364029.19437026978</v>
      </c>
      <c r="V757">
        <v>1005402.3238699436</v>
      </c>
      <c r="W757">
        <v>808385.55500543118</v>
      </c>
      <c r="X757">
        <v>8381.2628596313461</v>
      </c>
      <c r="Y757">
        <v>6738.886182747603</v>
      </c>
      <c r="Z757">
        <v>1271.3490412902834</v>
      </c>
      <c r="AA757">
        <v>202.09638875135778</v>
      </c>
      <c r="AB757">
        <v>4443.563606351614</v>
      </c>
      <c r="AC757">
        <v>3640.2919437026976</v>
      </c>
      <c r="AD757">
        <v>8083.8555500543116</v>
      </c>
      <c r="AE757">
        <v>1.2437163401109868</v>
      </c>
      <c r="AF757" s="1" t="s">
        <v>1226</v>
      </c>
      <c r="AG757" s="1" t="s">
        <v>1227</v>
      </c>
      <c r="AH757" s="1" t="s">
        <v>1228</v>
      </c>
      <c r="AI757" s="1" t="str">
        <f>_xlfn.TEXTAFTER(_xlfn.TEXTBEFORE(batch_summary[[#This Row],[video]],"_",1),"-",3)</f>
        <v>20</v>
      </c>
      <c r="AJ757" s="1" t="str">
        <f>_xlfn.TEXTBEFORE(_xlfn.TEXTAFTER(batch_summary[[#This Row],[video]],"_",1),"_",1)</f>
        <v>20260326</v>
      </c>
      <c r="AK757" s="1" t="str">
        <f>_xlfn.TEXTBEFORE(_xlfn.TEXTAFTER(batch_summary[[#This Row],[video]],"_",2),".",1)</f>
        <v>080000</v>
      </c>
    </row>
    <row r="758" spans="1:37" x14ac:dyDescent="0.2">
      <c r="A758" s="1" t="s">
        <v>1229</v>
      </c>
      <c r="B758" s="1" t="s">
        <v>1230</v>
      </c>
      <c r="C758">
        <v>119.95833333333333</v>
      </c>
      <c r="D758">
        <v>2879</v>
      </c>
      <c r="E758">
        <v>0.3363653589040041</v>
      </c>
      <c r="F758">
        <v>43.757513510994613</v>
      </c>
      <c r="G758">
        <v>1.1683409479124838E-4</v>
      </c>
      <c r="H758">
        <v>1.5198858461616746E-2</v>
      </c>
      <c r="I758">
        <v>5</v>
      </c>
      <c r="J758" t="b">
        <v>1</v>
      </c>
      <c r="K758">
        <v>0.65</v>
      </c>
      <c r="L758">
        <v>1.3</v>
      </c>
      <c r="M758" t="b">
        <v>1</v>
      </c>
      <c r="N758">
        <v>200</v>
      </c>
      <c r="O758" t="b">
        <v>0</v>
      </c>
      <c r="P758" t="b">
        <v>0</v>
      </c>
      <c r="Q758">
        <v>0.7</v>
      </c>
      <c r="R758">
        <v>483803.06933426857</v>
      </c>
      <c r="S758">
        <v>504969.25333237648</v>
      </c>
      <c r="T758">
        <v>393292.63697242737</v>
      </c>
      <c r="U758">
        <v>399873.53341400623</v>
      </c>
      <c r="V758">
        <v>988772.32266664505</v>
      </c>
      <c r="W758">
        <v>793166.1703864336</v>
      </c>
      <c r="X758">
        <v>8242.6313803402154</v>
      </c>
      <c r="Y758">
        <v>6612.0139247219195</v>
      </c>
      <c r="Z758">
        <v>1033.5048753404617</v>
      </c>
      <c r="AA758">
        <v>198.29154259660839</v>
      </c>
      <c r="AB758">
        <v>3932.9263697242736</v>
      </c>
      <c r="AC758">
        <v>3998.7353341400622</v>
      </c>
      <c r="AD758">
        <v>7931.6617038643362</v>
      </c>
      <c r="AE758">
        <v>1.2466143408321504</v>
      </c>
      <c r="AF758" s="1" t="s">
        <v>1231</v>
      </c>
      <c r="AG758" s="1" t="s">
        <v>1232</v>
      </c>
      <c r="AH758" s="1" t="s">
        <v>1233</v>
      </c>
      <c r="AI758" s="1" t="str">
        <f>_xlfn.TEXTAFTER(_xlfn.TEXTBEFORE(batch_summary[[#This Row],[video]],"_",1),"-",3)</f>
        <v>20</v>
      </c>
      <c r="AJ758" s="1" t="str">
        <f>_xlfn.TEXTBEFORE(_xlfn.TEXTAFTER(batch_summary[[#This Row],[video]],"_",1),"_",1)</f>
        <v>20260326</v>
      </c>
      <c r="AK758" s="1" t="str">
        <f>_xlfn.TEXTBEFORE(_xlfn.TEXTAFTER(batch_summary[[#This Row],[video]],"_",2),".",1)</f>
        <v>090000</v>
      </c>
    </row>
    <row r="759" spans="1:37" x14ac:dyDescent="0.2">
      <c r="A759" s="1" t="s">
        <v>1234</v>
      </c>
      <c r="B759" s="1" t="s">
        <v>1235</v>
      </c>
      <c r="C759">
        <v>119.95833333333333</v>
      </c>
      <c r="D759">
        <v>2879</v>
      </c>
      <c r="E759">
        <v>0.30718201491981745</v>
      </c>
      <c r="F759">
        <v>44.352121011354029</v>
      </c>
      <c r="G759">
        <v>1.0669746957965177E-4</v>
      </c>
      <c r="H759">
        <v>1.540539111196736E-2</v>
      </c>
      <c r="I759">
        <v>5</v>
      </c>
      <c r="J759" t="b">
        <v>1</v>
      </c>
      <c r="K759">
        <v>0.65</v>
      </c>
      <c r="L759">
        <v>1.3</v>
      </c>
      <c r="M759" t="b">
        <v>1</v>
      </c>
      <c r="N759">
        <v>200</v>
      </c>
      <c r="O759" t="b">
        <v>0</v>
      </c>
      <c r="P759" t="b">
        <v>0</v>
      </c>
      <c r="Q759">
        <v>0.7</v>
      </c>
      <c r="R759">
        <v>11236887.670459449</v>
      </c>
      <c r="S759">
        <v>14091507.513578594</v>
      </c>
      <c r="T759">
        <v>10261241.587458432</v>
      </c>
      <c r="U759">
        <v>12896083.680749297</v>
      </c>
      <c r="V759">
        <v>25328395.184038043</v>
      </c>
      <c r="W759">
        <v>23157325.268207729</v>
      </c>
      <c r="X759">
        <v>211143.27350361689</v>
      </c>
      <c r="Y759">
        <v>193044.73999200607</v>
      </c>
      <c r="Z759">
        <v>10552.99422668457</v>
      </c>
      <c r="AA759">
        <v>5789.3313170519323</v>
      </c>
      <c r="AB759">
        <v>102612.41587458432</v>
      </c>
      <c r="AC759">
        <v>128960.83680749297</v>
      </c>
      <c r="AD759">
        <v>231573.25268207729</v>
      </c>
      <c r="AE759">
        <v>1.0937530518177303</v>
      </c>
      <c r="AF759" s="1" t="s">
        <v>1236</v>
      </c>
      <c r="AG759" s="1" t="s">
        <v>1237</v>
      </c>
      <c r="AH759" s="1" t="s">
        <v>1238</v>
      </c>
      <c r="AI759" s="1" t="str">
        <f>_xlfn.TEXTAFTER(_xlfn.TEXTBEFORE(batch_summary[[#This Row],[video]],"_",1),"-",3)</f>
        <v>20</v>
      </c>
      <c r="AJ759" s="1" t="str">
        <f>_xlfn.TEXTBEFORE(_xlfn.TEXTAFTER(batch_summary[[#This Row],[video]],"_",1),"_",1)</f>
        <v>20260326</v>
      </c>
      <c r="AK759" s="1" t="str">
        <f>_xlfn.TEXTBEFORE(_xlfn.TEXTAFTER(batch_summary[[#This Row],[video]],"_",2),".",1)</f>
        <v>100000</v>
      </c>
    </row>
    <row r="760" spans="1:37" x14ac:dyDescent="0.2">
      <c r="A760" s="1" t="s">
        <v>1239</v>
      </c>
      <c r="B760" s="1" t="s">
        <v>1240</v>
      </c>
      <c r="C760">
        <v>119.95833333333333</v>
      </c>
      <c r="D760">
        <v>2879</v>
      </c>
      <c r="E760">
        <v>0.2988484613597393</v>
      </c>
      <c r="F760">
        <v>44.040067096240819</v>
      </c>
      <c r="G760">
        <v>1.0380286952404977E-4</v>
      </c>
      <c r="H760">
        <v>1.5297001422799867E-2</v>
      </c>
      <c r="I760">
        <v>5</v>
      </c>
      <c r="J760" t="b">
        <v>1</v>
      </c>
      <c r="K760">
        <v>0.65</v>
      </c>
      <c r="L760">
        <v>1.3</v>
      </c>
      <c r="M760" t="b">
        <v>1</v>
      </c>
      <c r="N760">
        <v>200</v>
      </c>
      <c r="O760" t="b">
        <v>0</v>
      </c>
      <c r="P760" t="b">
        <v>0</v>
      </c>
      <c r="Q760">
        <v>0.7</v>
      </c>
      <c r="R760">
        <v>18610573.249665618</v>
      </c>
      <c r="S760">
        <v>19209723.117964327</v>
      </c>
      <c r="T760">
        <v>17515405.680016994</v>
      </c>
      <c r="U760">
        <v>17989562.36155194</v>
      </c>
      <c r="V760">
        <v>37820296.367629945</v>
      </c>
      <c r="W760">
        <v>35504968.041568935</v>
      </c>
      <c r="X760">
        <v>315278.60813585226</v>
      </c>
      <c r="Y760">
        <v>295977.50364628498</v>
      </c>
      <c r="Z760">
        <v>12930.611788942813</v>
      </c>
      <c r="AA760">
        <v>8876.2420103922341</v>
      </c>
      <c r="AB760">
        <v>175154.05680016996</v>
      </c>
      <c r="AC760">
        <v>179895.62361551941</v>
      </c>
      <c r="AD760">
        <v>355049.68041568936</v>
      </c>
      <c r="AE760">
        <v>1.06521139022996</v>
      </c>
      <c r="AF760" s="1" t="s">
        <v>1241</v>
      </c>
      <c r="AG760" s="1" t="s">
        <v>1242</v>
      </c>
      <c r="AH760" s="1" t="s">
        <v>1243</v>
      </c>
      <c r="AI760" s="1" t="str">
        <f>_xlfn.TEXTAFTER(_xlfn.TEXTBEFORE(batch_summary[[#This Row],[video]],"_",1),"-",3)</f>
        <v>20</v>
      </c>
      <c r="AJ760" s="1" t="str">
        <f>_xlfn.TEXTBEFORE(_xlfn.TEXTAFTER(batch_summary[[#This Row],[video]],"_",1),"_",1)</f>
        <v>20260326</v>
      </c>
      <c r="AK760" s="1" t="str">
        <f>_xlfn.TEXTBEFORE(_xlfn.TEXTAFTER(batch_summary[[#This Row],[video]],"_",2),".",1)</f>
        <v>110000</v>
      </c>
    </row>
    <row r="761" spans="1:37" x14ac:dyDescent="0.2">
      <c r="A761" s="1" t="s">
        <v>1244</v>
      </c>
      <c r="B761" s="1" t="s">
        <v>1245</v>
      </c>
      <c r="C761">
        <v>119.95833333333333</v>
      </c>
      <c r="D761">
        <v>2879</v>
      </c>
      <c r="E761">
        <v>0.27765170391649008</v>
      </c>
      <c r="F761">
        <v>43.237158736214042</v>
      </c>
      <c r="G761">
        <v>9.6440327862622459E-5</v>
      </c>
      <c r="H761">
        <v>1.5018116962908664E-2</v>
      </c>
      <c r="I761">
        <v>5</v>
      </c>
      <c r="J761" t="b">
        <v>1</v>
      </c>
      <c r="K761">
        <v>0.65</v>
      </c>
      <c r="L761">
        <v>1.3</v>
      </c>
      <c r="M761" t="b">
        <v>1</v>
      </c>
      <c r="N761">
        <v>200</v>
      </c>
      <c r="O761" t="b">
        <v>0</v>
      </c>
      <c r="P761" t="b">
        <v>0</v>
      </c>
      <c r="Q761">
        <v>0.7</v>
      </c>
      <c r="R761">
        <v>22272776.577976227</v>
      </c>
      <c r="S761">
        <v>25008104.453841209</v>
      </c>
      <c r="T761">
        <v>21055602.993006706</v>
      </c>
      <c r="U761">
        <v>23730215.764323175</v>
      </c>
      <c r="V761">
        <v>47280881.031817436</v>
      </c>
      <c r="W761">
        <v>44785818.757329881</v>
      </c>
      <c r="X761">
        <v>394144.19755596336</v>
      </c>
      <c r="Y761">
        <v>373344.78991869302</v>
      </c>
      <c r="Z761">
        <v>15203.054521484373</v>
      </c>
      <c r="AA761">
        <v>11196.45468933247</v>
      </c>
      <c r="AB761">
        <v>210556.02993006707</v>
      </c>
      <c r="AC761">
        <v>237302.15764323174</v>
      </c>
      <c r="AD761">
        <v>447858.18757329881</v>
      </c>
      <c r="AE761">
        <v>1.0557109894095482</v>
      </c>
      <c r="AF761" s="1" t="s">
        <v>1246</v>
      </c>
      <c r="AG761" s="1" t="s">
        <v>1247</v>
      </c>
      <c r="AH761" s="1" t="s">
        <v>1248</v>
      </c>
      <c r="AI761" s="1" t="str">
        <f>_xlfn.TEXTAFTER(_xlfn.TEXTBEFORE(batch_summary[[#This Row],[video]],"_",1),"-",3)</f>
        <v>20</v>
      </c>
      <c r="AJ761" s="1" t="str">
        <f>_xlfn.TEXTBEFORE(_xlfn.TEXTAFTER(batch_summary[[#This Row],[video]],"_",1),"_",1)</f>
        <v>20260326</v>
      </c>
      <c r="AK761" s="1" t="str">
        <f>_xlfn.TEXTBEFORE(_xlfn.TEXTAFTER(batch_summary[[#This Row],[video]],"_",2),".",1)</f>
        <v>120000</v>
      </c>
    </row>
    <row r="762" spans="1:37" x14ac:dyDescent="0.2">
      <c r="A762" s="1" t="s">
        <v>1249</v>
      </c>
      <c r="B762" s="1" t="s">
        <v>1250</v>
      </c>
      <c r="C762">
        <v>119.95833333333333</v>
      </c>
      <c r="D762">
        <v>2879</v>
      </c>
      <c r="E762">
        <v>0.28523198701441288</v>
      </c>
      <c r="F762">
        <v>43.249408597126603</v>
      </c>
      <c r="G762">
        <v>9.9073284826124659E-5</v>
      </c>
      <c r="H762">
        <v>1.502237186423293E-2</v>
      </c>
      <c r="I762">
        <v>5</v>
      </c>
      <c r="J762" t="b">
        <v>1</v>
      </c>
      <c r="K762">
        <v>0.65</v>
      </c>
      <c r="L762">
        <v>1.3</v>
      </c>
      <c r="M762" t="b">
        <v>1</v>
      </c>
      <c r="N762">
        <v>200</v>
      </c>
      <c r="O762" t="b">
        <v>0</v>
      </c>
      <c r="P762" t="b">
        <v>0</v>
      </c>
      <c r="Q762">
        <v>0.7</v>
      </c>
      <c r="R762">
        <v>22046476.517464519</v>
      </c>
      <c r="S762">
        <v>24148646.164309502</v>
      </c>
      <c r="T762">
        <v>20962275.416101456</v>
      </c>
      <c r="U762">
        <v>22929647.141345978</v>
      </c>
      <c r="V762">
        <v>46195122.68177402</v>
      </c>
      <c r="W762">
        <v>43891922.557447433</v>
      </c>
      <c r="X762">
        <v>385093.06855247536</v>
      </c>
      <c r="Y762">
        <v>365893.0675160606</v>
      </c>
      <c r="Z762">
        <v>15081.605941772461</v>
      </c>
      <c r="AA762">
        <v>10972.980639361858</v>
      </c>
      <c r="AB762">
        <v>209622.75416101457</v>
      </c>
      <c r="AC762">
        <v>229296.47141345977</v>
      </c>
      <c r="AD762">
        <v>438919.22557447432</v>
      </c>
      <c r="AE762">
        <v>1.052474350407232</v>
      </c>
      <c r="AF762" s="1" t="s">
        <v>1251</v>
      </c>
      <c r="AG762" s="1" t="s">
        <v>1252</v>
      </c>
      <c r="AH762" s="1" t="s">
        <v>1253</v>
      </c>
      <c r="AI762" s="1" t="str">
        <f>_xlfn.TEXTAFTER(_xlfn.TEXTBEFORE(batch_summary[[#This Row],[video]],"_",1),"-",3)</f>
        <v>20</v>
      </c>
      <c r="AJ762" s="1" t="str">
        <f>_xlfn.TEXTBEFORE(_xlfn.TEXTAFTER(batch_summary[[#This Row],[video]],"_",1),"_",1)</f>
        <v>20260326</v>
      </c>
      <c r="AK762" s="1" t="str">
        <f>_xlfn.TEXTBEFORE(_xlfn.TEXTAFTER(batch_summary[[#This Row],[video]],"_",2),".",1)</f>
        <v>130000</v>
      </c>
    </row>
    <row r="763" spans="1:37" x14ac:dyDescent="0.2">
      <c r="A763" s="1" t="s">
        <v>1254</v>
      </c>
      <c r="B763" s="1" t="s">
        <v>1255</v>
      </c>
      <c r="C763">
        <v>119.95833333333333</v>
      </c>
      <c r="D763">
        <v>2879</v>
      </c>
      <c r="E763">
        <v>0.27944709733128548</v>
      </c>
      <c r="F763">
        <v>43.662642725743353</v>
      </c>
      <c r="G763">
        <v>9.7063944887560083E-5</v>
      </c>
      <c r="H763">
        <v>1.5165905774832704E-2</v>
      </c>
      <c r="I763">
        <v>5</v>
      </c>
      <c r="J763" t="b">
        <v>1</v>
      </c>
      <c r="K763">
        <v>0.65</v>
      </c>
      <c r="L763">
        <v>1.3</v>
      </c>
      <c r="M763" t="b">
        <v>1</v>
      </c>
      <c r="N763">
        <v>200</v>
      </c>
      <c r="O763" t="b">
        <v>0</v>
      </c>
      <c r="P763" t="b">
        <v>0</v>
      </c>
      <c r="Q763">
        <v>0.7</v>
      </c>
      <c r="R763">
        <v>19207440.656280518</v>
      </c>
      <c r="S763">
        <v>19480872.913106918</v>
      </c>
      <c r="T763">
        <v>18120602.902211308</v>
      </c>
      <c r="U763">
        <v>18283854.360292196</v>
      </c>
      <c r="V763">
        <v>38688313.569387436</v>
      </c>
      <c r="W763">
        <v>36404457.262503505</v>
      </c>
      <c r="X763">
        <v>322514.59731340694</v>
      </c>
      <c r="Y763">
        <v>303475.85074681632</v>
      </c>
      <c r="Z763">
        <v>14399.772146606445</v>
      </c>
      <c r="AA763">
        <v>9101.1143156258768</v>
      </c>
      <c r="AB763">
        <v>181206.02902211307</v>
      </c>
      <c r="AC763">
        <v>182838.54360292197</v>
      </c>
      <c r="AD763">
        <v>364044.57262503507</v>
      </c>
      <c r="AE763">
        <v>1.0627356230149405</v>
      </c>
      <c r="AF763" s="1" t="s">
        <v>1256</v>
      </c>
      <c r="AG763" s="1" t="s">
        <v>1257</v>
      </c>
      <c r="AH763" s="1" t="s">
        <v>1258</v>
      </c>
      <c r="AI763" s="1" t="str">
        <f>_xlfn.TEXTAFTER(_xlfn.TEXTBEFORE(batch_summary[[#This Row],[video]],"_",1),"-",3)</f>
        <v>20</v>
      </c>
      <c r="AJ763" s="1" t="str">
        <f>_xlfn.TEXTBEFORE(_xlfn.TEXTAFTER(batch_summary[[#This Row],[video]],"_",1),"_",1)</f>
        <v>20260326</v>
      </c>
      <c r="AK763" s="1" t="str">
        <f>_xlfn.TEXTBEFORE(_xlfn.TEXTAFTER(batch_summary[[#This Row],[video]],"_",2),".",1)</f>
        <v>140000</v>
      </c>
    </row>
    <row r="764" spans="1:37" x14ac:dyDescent="0.2">
      <c r="A764" s="1" t="s">
        <v>1259</v>
      </c>
      <c r="B764" s="1" t="s">
        <v>1260</v>
      </c>
      <c r="C764">
        <v>119.95833333333333</v>
      </c>
      <c r="D764">
        <v>2879</v>
      </c>
      <c r="E764">
        <v>0.28425376769155264</v>
      </c>
      <c r="F764">
        <v>43.746091530658305</v>
      </c>
      <c r="G764">
        <v>9.8733507360733807E-5</v>
      </c>
      <c r="H764">
        <v>1.5194891118672562E-2</v>
      </c>
      <c r="I764">
        <v>5</v>
      </c>
      <c r="J764" t="b">
        <v>1</v>
      </c>
      <c r="K764">
        <v>0.65</v>
      </c>
      <c r="L764">
        <v>1.3</v>
      </c>
      <c r="M764" t="b">
        <v>1</v>
      </c>
      <c r="N764">
        <v>200</v>
      </c>
      <c r="O764" t="b">
        <v>0</v>
      </c>
      <c r="P764" t="b">
        <v>0</v>
      </c>
      <c r="Q764">
        <v>0.7</v>
      </c>
      <c r="R764">
        <v>12896462.026951194</v>
      </c>
      <c r="S764">
        <v>13200523.629777789</v>
      </c>
      <c r="T764">
        <v>11637223.813403249</v>
      </c>
      <c r="U764">
        <v>11920718.68488133</v>
      </c>
      <c r="V764">
        <v>26096985.656728983</v>
      </c>
      <c r="W764">
        <v>23557942.498284578</v>
      </c>
      <c r="X764">
        <v>217550.41881260701</v>
      </c>
      <c r="Y764">
        <v>196384.37650532473</v>
      </c>
      <c r="Z764">
        <v>10088.836812438965</v>
      </c>
      <c r="AA764">
        <v>5889.4856245711444</v>
      </c>
      <c r="AB764">
        <v>116372.23813403249</v>
      </c>
      <c r="AC764">
        <v>119207.18684881329</v>
      </c>
      <c r="AD764">
        <v>235579.42498284578</v>
      </c>
      <c r="AE764">
        <v>1.1077786465702295</v>
      </c>
      <c r="AF764" s="1" t="s">
        <v>1261</v>
      </c>
      <c r="AG764" s="1" t="s">
        <v>1262</v>
      </c>
      <c r="AH764" s="1" t="s">
        <v>1263</v>
      </c>
      <c r="AI764" s="1" t="str">
        <f>_xlfn.TEXTAFTER(_xlfn.TEXTBEFORE(batch_summary[[#This Row],[video]],"_",1),"-",3)</f>
        <v>20</v>
      </c>
      <c r="AJ764" s="1" t="str">
        <f>_xlfn.TEXTBEFORE(_xlfn.TEXTAFTER(batch_summary[[#This Row],[video]],"_",1),"_",1)</f>
        <v>20260326</v>
      </c>
      <c r="AK764" s="1" t="str">
        <f>_xlfn.TEXTBEFORE(_xlfn.TEXTAFTER(batch_summary[[#This Row],[video]],"_",2),".",1)</f>
        <v>150000</v>
      </c>
    </row>
    <row r="765" spans="1:37" x14ac:dyDescent="0.2">
      <c r="A765" s="1" t="s">
        <v>1264</v>
      </c>
      <c r="B765" s="1" t="s">
        <v>1265</v>
      </c>
      <c r="C765">
        <v>119.95833333333333</v>
      </c>
      <c r="D765">
        <v>2879</v>
      </c>
      <c r="E765">
        <v>0.28938970621675253</v>
      </c>
      <c r="F765">
        <v>43.603307391516864</v>
      </c>
      <c r="G765">
        <v>1.0051743876927841E-4</v>
      </c>
      <c r="H765">
        <v>1.5145296072079494E-2</v>
      </c>
      <c r="I765">
        <v>5</v>
      </c>
      <c r="J765" t="b">
        <v>1</v>
      </c>
      <c r="K765">
        <v>0.65</v>
      </c>
      <c r="L765">
        <v>1.3</v>
      </c>
      <c r="M765" t="b">
        <v>1</v>
      </c>
      <c r="N765">
        <v>200</v>
      </c>
      <c r="O765" t="b">
        <v>0</v>
      </c>
      <c r="P765" t="b">
        <v>0</v>
      </c>
      <c r="Q765">
        <v>0.7</v>
      </c>
      <c r="R765">
        <v>13664712.411180377</v>
      </c>
      <c r="S765">
        <v>15177950.76788187</v>
      </c>
      <c r="T765">
        <v>12663879.587769032</v>
      </c>
      <c r="U765">
        <v>14046887.214093328</v>
      </c>
      <c r="V765">
        <v>28842663.179062247</v>
      </c>
      <c r="W765">
        <v>26710766.801862359</v>
      </c>
      <c r="X765">
        <v>240439.01226033136</v>
      </c>
      <c r="Y765">
        <v>222667.03829270464</v>
      </c>
      <c r="Z765">
        <v>10451.934968193771</v>
      </c>
      <c r="AA765">
        <v>6677.6917004655897</v>
      </c>
      <c r="AB765">
        <v>126638.79587769031</v>
      </c>
      <c r="AC765">
        <v>140468.87214093326</v>
      </c>
      <c r="AD765">
        <v>267107.6680186236</v>
      </c>
      <c r="AE765">
        <v>1.0798141211375198</v>
      </c>
      <c r="AF765" s="1" t="s">
        <v>1266</v>
      </c>
      <c r="AG765" s="1" t="s">
        <v>1267</v>
      </c>
      <c r="AH765" s="1" t="s">
        <v>1268</v>
      </c>
      <c r="AI765" s="1" t="str">
        <f>_xlfn.TEXTAFTER(_xlfn.TEXTBEFORE(batch_summary[[#This Row],[video]],"_",1),"-",3)</f>
        <v>20</v>
      </c>
      <c r="AJ765" s="1" t="str">
        <f>_xlfn.TEXTBEFORE(_xlfn.TEXTAFTER(batch_summary[[#This Row],[video]],"_",1),"_",1)</f>
        <v>20260326</v>
      </c>
      <c r="AK765" s="1" t="str">
        <f>_xlfn.TEXTBEFORE(_xlfn.TEXTAFTER(batch_summary[[#This Row],[video]],"_",2),".",1)</f>
        <v>160000</v>
      </c>
    </row>
    <row r="766" spans="1:37" x14ac:dyDescent="0.2">
      <c r="A766" s="1" t="s">
        <v>1269</v>
      </c>
      <c r="B766" s="1" t="s">
        <v>1270</v>
      </c>
      <c r="C766">
        <v>119.95833333333333</v>
      </c>
      <c r="D766">
        <v>2879</v>
      </c>
      <c r="E766">
        <v>0.32702460046857595</v>
      </c>
      <c r="F766">
        <v>44.550753680989146</v>
      </c>
      <c r="G766">
        <v>1.1358964934650086E-4</v>
      </c>
      <c r="H766">
        <v>1.5474384745046595E-2</v>
      </c>
      <c r="I766">
        <v>5</v>
      </c>
      <c r="J766" t="b">
        <v>1</v>
      </c>
      <c r="K766">
        <v>0.65</v>
      </c>
      <c r="L766">
        <v>1.3</v>
      </c>
      <c r="M766" t="b">
        <v>1</v>
      </c>
      <c r="N766">
        <v>200</v>
      </c>
      <c r="O766" t="b">
        <v>0</v>
      </c>
      <c r="P766" t="b">
        <v>0</v>
      </c>
      <c r="Q766">
        <v>0.7</v>
      </c>
      <c r="R766">
        <v>7582071.0683397055</v>
      </c>
      <c r="S766">
        <v>6311919.1653257012</v>
      </c>
      <c r="T766">
        <v>6842328.5122824311</v>
      </c>
      <c r="U766">
        <v>5595377.8894803524</v>
      </c>
      <c r="V766">
        <v>13893990.233665407</v>
      </c>
      <c r="W766">
        <v>12437706.401762784</v>
      </c>
      <c r="X766">
        <v>115823.46842930524</v>
      </c>
      <c r="Y766">
        <v>103683.55458225314</v>
      </c>
      <c r="Z766">
        <v>6584.6601679992673</v>
      </c>
      <c r="AA766">
        <v>3109.4266004406959</v>
      </c>
      <c r="AB766">
        <v>68423.285122824309</v>
      </c>
      <c r="AC766">
        <v>55953.778894803523</v>
      </c>
      <c r="AD766">
        <v>124377.06401762782</v>
      </c>
      <c r="AE766">
        <v>1.1170862042294409</v>
      </c>
      <c r="AF766" s="1" t="s">
        <v>1271</v>
      </c>
      <c r="AG766" s="1" t="s">
        <v>1272</v>
      </c>
      <c r="AH766" s="1" t="s">
        <v>1273</v>
      </c>
      <c r="AI766" s="1" t="str">
        <f>_xlfn.TEXTAFTER(_xlfn.TEXTBEFORE(batch_summary[[#This Row],[video]],"_",1),"-",3)</f>
        <v>20</v>
      </c>
      <c r="AJ766" s="1" t="str">
        <f>_xlfn.TEXTBEFORE(_xlfn.TEXTAFTER(batch_summary[[#This Row],[video]],"_",1),"_",1)</f>
        <v>20260326</v>
      </c>
      <c r="AK766" s="1" t="str">
        <f>_xlfn.TEXTBEFORE(_xlfn.TEXTAFTER(batch_summary[[#This Row],[video]],"_",2),".",1)</f>
        <v>170000</v>
      </c>
    </row>
    <row r="767" spans="1:37" x14ac:dyDescent="0.2">
      <c r="A767" s="1" t="s">
        <v>1274</v>
      </c>
      <c r="B767" s="1" t="s">
        <v>1275</v>
      </c>
      <c r="C767">
        <v>119.95833333333333</v>
      </c>
      <c r="D767">
        <v>2879</v>
      </c>
      <c r="E767">
        <v>0.35136996395885944</v>
      </c>
      <c r="F767">
        <v>44.933832727372646</v>
      </c>
      <c r="G767">
        <v>1.2204583673458125E-4</v>
      </c>
      <c r="H767">
        <v>1.5607444504123878E-2</v>
      </c>
      <c r="I767">
        <v>5</v>
      </c>
      <c r="J767" t="b">
        <v>1</v>
      </c>
      <c r="K767">
        <v>0.65</v>
      </c>
      <c r="L767">
        <v>1.3</v>
      </c>
      <c r="M767" t="b">
        <v>1</v>
      </c>
      <c r="N767">
        <v>200</v>
      </c>
      <c r="O767" t="b">
        <v>0</v>
      </c>
      <c r="P767" t="b">
        <v>0</v>
      </c>
      <c r="Q767">
        <v>0.7</v>
      </c>
      <c r="R767">
        <v>3852010.9936313629</v>
      </c>
      <c r="S767">
        <v>3465353.9832535982</v>
      </c>
      <c r="T767">
        <v>3448046.2579609156</v>
      </c>
      <c r="U767">
        <v>3079211.6355302334</v>
      </c>
      <c r="V767">
        <v>7317364.9768849611</v>
      </c>
      <c r="W767">
        <v>6527257.8934911489</v>
      </c>
      <c r="X767">
        <v>60999.221759374464</v>
      </c>
      <c r="Y767">
        <v>54412.709080857094</v>
      </c>
      <c r="Z767">
        <v>4462.9724057960511</v>
      </c>
      <c r="AA767">
        <v>1631.8144733727872</v>
      </c>
      <c r="AB767">
        <v>34480.462579609157</v>
      </c>
      <c r="AC767">
        <v>30792.116355302333</v>
      </c>
      <c r="AD767">
        <v>65272.578934911493</v>
      </c>
      <c r="AE767">
        <v>1.1210473212927117</v>
      </c>
      <c r="AF767" s="1" t="s">
        <v>1276</v>
      </c>
      <c r="AG767" s="1" t="s">
        <v>1277</v>
      </c>
      <c r="AH767" s="1" t="s">
        <v>1278</v>
      </c>
      <c r="AI767" s="1" t="str">
        <f>_xlfn.TEXTAFTER(_xlfn.TEXTBEFORE(batch_summary[[#This Row],[video]],"_",1),"-",3)</f>
        <v>20</v>
      </c>
      <c r="AJ767" s="1" t="str">
        <f>_xlfn.TEXTBEFORE(_xlfn.TEXTAFTER(batch_summary[[#This Row],[video]],"_",1),"_",1)</f>
        <v>20260326</v>
      </c>
      <c r="AK767" s="1" t="str">
        <f>_xlfn.TEXTBEFORE(_xlfn.TEXTAFTER(batch_summary[[#This Row],[video]],"_",2),".",1)</f>
        <v>180000</v>
      </c>
    </row>
    <row r="768" spans="1:37" x14ac:dyDescent="0.2">
      <c r="A768" s="1" t="s">
        <v>1279</v>
      </c>
      <c r="B768" s="1" t="s">
        <v>1280</v>
      </c>
      <c r="C768">
        <v>119.95833333333333</v>
      </c>
      <c r="D768">
        <v>2879</v>
      </c>
      <c r="E768">
        <v>0.33666154928505421</v>
      </c>
      <c r="F768">
        <v>43.735710863955319</v>
      </c>
      <c r="G768">
        <v>1.169369743956423E-4</v>
      </c>
      <c r="H768">
        <v>1.5191285468549955E-2</v>
      </c>
      <c r="I768">
        <v>5</v>
      </c>
      <c r="J768" t="b">
        <v>1</v>
      </c>
      <c r="K768">
        <v>0.65</v>
      </c>
      <c r="L768">
        <v>1.3</v>
      </c>
      <c r="M768" t="b">
        <v>1</v>
      </c>
      <c r="N768">
        <v>200</v>
      </c>
      <c r="O768" t="b">
        <v>0</v>
      </c>
      <c r="P768" t="b">
        <v>0</v>
      </c>
      <c r="Q768">
        <v>0.7</v>
      </c>
      <c r="R768">
        <v>1284.4743702411652</v>
      </c>
      <c r="S768">
        <v>1157.1985562443733</v>
      </c>
      <c r="T768">
        <v>0</v>
      </c>
      <c r="U768">
        <v>0</v>
      </c>
      <c r="V768">
        <v>2441.6729264855385</v>
      </c>
      <c r="W768">
        <v>0</v>
      </c>
      <c r="X768">
        <v>20.354341867194485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2441672926.4855385</v>
      </c>
      <c r="AF768" s="1" t="s">
        <v>1281</v>
      </c>
      <c r="AG768" s="1" t="s">
        <v>1282</v>
      </c>
      <c r="AH768" s="1" t="s">
        <v>1283</v>
      </c>
      <c r="AI768" s="1" t="str">
        <f>_xlfn.TEXTAFTER(_xlfn.TEXTBEFORE(batch_summary[[#This Row],[video]],"_",1),"-",3)</f>
        <v>20</v>
      </c>
      <c r="AJ768" s="1" t="str">
        <f>_xlfn.TEXTBEFORE(_xlfn.TEXTAFTER(batch_summary[[#This Row],[video]],"_",1),"_",1)</f>
        <v>20260326</v>
      </c>
      <c r="AK768" s="1" t="str">
        <f>_xlfn.TEXTBEFORE(_xlfn.TEXTAFTER(batch_summary[[#This Row],[video]],"_",2),".",1)</f>
        <v>190000</v>
      </c>
    </row>
    <row r="769" spans="1:37" x14ac:dyDescent="0.2">
      <c r="A769" s="1" t="s">
        <v>1284</v>
      </c>
      <c r="B769" s="1" t="s">
        <v>1285</v>
      </c>
      <c r="C769">
        <v>119.95833333333333</v>
      </c>
      <c r="D769">
        <v>2879</v>
      </c>
      <c r="E769">
        <v>0.3353731082752347</v>
      </c>
      <c r="F769">
        <v>43.965846804901958</v>
      </c>
      <c r="G769">
        <v>1.1648944365239136E-4</v>
      </c>
      <c r="H769">
        <v>1.5271221536957957E-2</v>
      </c>
      <c r="I769">
        <v>5</v>
      </c>
      <c r="J769" t="b">
        <v>1</v>
      </c>
      <c r="K769">
        <v>0.65</v>
      </c>
      <c r="L769">
        <v>1.3</v>
      </c>
      <c r="M769" t="b">
        <v>1</v>
      </c>
      <c r="N769">
        <v>200</v>
      </c>
      <c r="O769" t="b">
        <v>0</v>
      </c>
      <c r="P769" t="b">
        <v>0</v>
      </c>
      <c r="Q769">
        <v>0.7</v>
      </c>
      <c r="R769">
        <v>48276.570879161358</v>
      </c>
      <c r="S769">
        <v>37825.982353508472</v>
      </c>
      <c r="T769">
        <v>931.77279663085938</v>
      </c>
      <c r="U769">
        <v>1839.6200561523438</v>
      </c>
      <c r="V769">
        <v>86102.55323266983</v>
      </c>
      <c r="W769">
        <v>2771.3928527832031</v>
      </c>
      <c r="X769">
        <v>717.77050280794583</v>
      </c>
      <c r="Y769">
        <v>23.102962301770365</v>
      </c>
      <c r="Z769">
        <v>4.4540347290039062</v>
      </c>
      <c r="AA769">
        <v>0.69284821319580081</v>
      </c>
      <c r="AB769">
        <v>9.3177279663085937</v>
      </c>
      <c r="AC769">
        <v>18.396200561523436</v>
      </c>
      <c r="AD769">
        <v>27.713928527832032</v>
      </c>
      <c r="AE769">
        <v>31.068331992774084</v>
      </c>
      <c r="AF769" s="1" t="s">
        <v>1286</v>
      </c>
      <c r="AG769" s="1" t="s">
        <v>1287</v>
      </c>
      <c r="AH769" s="1" t="s">
        <v>1288</v>
      </c>
      <c r="AI769" s="1" t="str">
        <f>_xlfn.TEXTAFTER(_xlfn.TEXTBEFORE(batch_summary[[#This Row],[video]],"_",1),"-",3)</f>
        <v>20</v>
      </c>
      <c r="AJ769" s="1" t="str">
        <f>_xlfn.TEXTBEFORE(_xlfn.TEXTAFTER(batch_summary[[#This Row],[video]],"_",1),"_",1)</f>
        <v>20260327</v>
      </c>
      <c r="AK769" s="1" t="str">
        <f>_xlfn.TEXTBEFORE(_xlfn.TEXTAFTER(batch_summary[[#This Row],[video]],"_",2),".",1)</f>
        <v>060000</v>
      </c>
    </row>
    <row r="770" spans="1:37" x14ac:dyDescent="0.2">
      <c r="A770" s="1" t="s">
        <v>1289</v>
      </c>
      <c r="B770" s="1" t="s">
        <v>1290</v>
      </c>
      <c r="C770">
        <v>119.95833333333333</v>
      </c>
      <c r="D770">
        <v>2879</v>
      </c>
      <c r="E770">
        <v>0.32536118105053902</v>
      </c>
      <c r="F770">
        <v>43.343688261695206</v>
      </c>
      <c r="G770">
        <v>1.1301187254273672E-4</v>
      </c>
      <c r="H770">
        <v>1.5055119229487742E-2</v>
      </c>
      <c r="I770">
        <v>5</v>
      </c>
      <c r="J770" t="b">
        <v>1</v>
      </c>
      <c r="K770">
        <v>0.65</v>
      </c>
      <c r="L770">
        <v>1.3</v>
      </c>
      <c r="M770" t="b">
        <v>1</v>
      </c>
      <c r="N770">
        <v>200</v>
      </c>
      <c r="O770" t="b">
        <v>0</v>
      </c>
      <c r="P770" t="b">
        <v>0</v>
      </c>
      <c r="Q770">
        <v>0.7</v>
      </c>
      <c r="R770">
        <v>25944.173283576965</v>
      </c>
      <c r="S770">
        <v>17581.352819085121</v>
      </c>
      <c r="T770">
        <v>4300.1546249389648</v>
      </c>
      <c r="U770">
        <v>1077.7251739501953</v>
      </c>
      <c r="V770">
        <v>43525.526102662086</v>
      </c>
      <c r="W770">
        <v>5377.8797988891602</v>
      </c>
      <c r="X770">
        <v>362.83870318301149</v>
      </c>
      <c r="Y770">
        <v>44.831231390531379</v>
      </c>
      <c r="Z770">
        <v>25.116268081665037</v>
      </c>
      <c r="AA770">
        <v>1.3444699497222898</v>
      </c>
      <c r="AB770">
        <v>43.001546249389648</v>
      </c>
      <c r="AC770">
        <v>10.777251739501953</v>
      </c>
      <c r="AD770">
        <v>53.778797988891597</v>
      </c>
      <c r="AE770">
        <v>8.0934360250395692</v>
      </c>
      <c r="AF770" s="1" t="s">
        <v>1291</v>
      </c>
      <c r="AG770" s="1" t="s">
        <v>1292</v>
      </c>
      <c r="AH770" s="1" t="s">
        <v>1293</v>
      </c>
      <c r="AI770" s="1" t="str">
        <f>_xlfn.TEXTAFTER(_xlfn.TEXTBEFORE(batch_summary[[#This Row],[video]],"_",1),"-",3)</f>
        <v>20</v>
      </c>
      <c r="AJ770" s="1" t="str">
        <f>_xlfn.TEXTBEFORE(_xlfn.TEXTAFTER(batch_summary[[#This Row],[video]],"_",1),"_",1)</f>
        <v>20260327</v>
      </c>
      <c r="AK770" s="1" t="str">
        <f>_xlfn.TEXTBEFORE(_xlfn.TEXTAFTER(batch_summary[[#This Row],[video]],"_",2),".",1)</f>
        <v>070000</v>
      </c>
    </row>
    <row r="771" spans="1:37" x14ac:dyDescent="0.2">
      <c r="A771" s="1" t="s">
        <v>1294</v>
      </c>
      <c r="B771" s="1" t="s">
        <v>1295</v>
      </c>
      <c r="C771">
        <v>119.95833333333333</v>
      </c>
      <c r="D771">
        <v>2879</v>
      </c>
      <c r="E771">
        <v>0.33311756607145071</v>
      </c>
      <c r="F771">
        <v>43.433724021539092</v>
      </c>
      <c r="G771">
        <v>1.1570599724607527E-4</v>
      </c>
      <c r="H771">
        <v>1.5086392504876377E-2</v>
      </c>
      <c r="I771">
        <v>5</v>
      </c>
      <c r="J771" t="b">
        <v>1</v>
      </c>
      <c r="K771">
        <v>0.65</v>
      </c>
      <c r="L771">
        <v>1.3</v>
      </c>
      <c r="M771" t="b">
        <v>1</v>
      </c>
      <c r="N771">
        <v>200</v>
      </c>
      <c r="O771" t="b">
        <v>0</v>
      </c>
      <c r="P771" t="b">
        <v>0</v>
      </c>
      <c r="Q771">
        <v>0.7</v>
      </c>
      <c r="R771">
        <v>59063.194471418858</v>
      </c>
      <c r="S771">
        <v>35461.901420116425</v>
      </c>
      <c r="T771">
        <v>24967.622863769531</v>
      </c>
      <c r="U771">
        <v>10062.244873046875</v>
      </c>
      <c r="V771">
        <v>94525.095891535282</v>
      </c>
      <c r="W771">
        <v>35029.867736816406</v>
      </c>
      <c r="X771">
        <v>787.98273754666445</v>
      </c>
      <c r="Y771">
        <v>292.01695925098778</v>
      </c>
      <c r="Z771">
        <v>231.895048828125</v>
      </c>
      <c r="AA771">
        <v>8.7574669342040998</v>
      </c>
      <c r="AB771">
        <v>249.67622863769532</v>
      </c>
      <c r="AC771">
        <v>100.62244873046875</v>
      </c>
      <c r="AD771">
        <v>350.29867736816408</v>
      </c>
      <c r="AE771">
        <v>2.6984142961005064</v>
      </c>
      <c r="AF771" s="1" t="s">
        <v>1296</v>
      </c>
      <c r="AG771" s="1" t="s">
        <v>1297</v>
      </c>
      <c r="AH771" s="1" t="s">
        <v>1298</v>
      </c>
      <c r="AI771" s="1" t="str">
        <f>_xlfn.TEXTAFTER(_xlfn.TEXTBEFORE(batch_summary[[#This Row],[video]],"_",1),"-",3)</f>
        <v>20</v>
      </c>
      <c r="AJ771" s="1" t="str">
        <f>_xlfn.TEXTBEFORE(_xlfn.TEXTAFTER(batch_summary[[#This Row],[video]],"_",1),"_",1)</f>
        <v>20260327</v>
      </c>
      <c r="AK771" s="1" t="str">
        <f>_xlfn.TEXTBEFORE(_xlfn.TEXTAFTER(batch_summary[[#This Row],[video]],"_",2),".",1)</f>
        <v>080000</v>
      </c>
    </row>
    <row r="772" spans="1:37" x14ac:dyDescent="0.2">
      <c r="A772" s="1" t="s">
        <v>1299</v>
      </c>
      <c r="B772" s="1" t="s">
        <v>1300</v>
      </c>
      <c r="C772">
        <v>119.95833333333333</v>
      </c>
      <c r="D772">
        <v>2879</v>
      </c>
      <c r="E772">
        <v>0.33778038248419762</v>
      </c>
      <c r="F772">
        <v>43.96767545118928</v>
      </c>
      <c r="G772">
        <v>1.173255930823889E-4</v>
      </c>
      <c r="H772">
        <v>1.5271856704129656E-2</v>
      </c>
      <c r="I772">
        <v>5</v>
      </c>
      <c r="J772" t="b">
        <v>1</v>
      </c>
      <c r="K772">
        <v>0.65</v>
      </c>
      <c r="L772">
        <v>1.3</v>
      </c>
      <c r="M772" t="b">
        <v>1</v>
      </c>
      <c r="N772">
        <v>200</v>
      </c>
      <c r="O772" t="b">
        <v>0</v>
      </c>
      <c r="P772" t="b">
        <v>0</v>
      </c>
      <c r="Q772">
        <v>0.7</v>
      </c>
      <c r="R772">
        <v>728806.7539755106</v>
      </c>
      <c r="S772">
        <v>825149.14438390732</v>
      </c>
      <c r="T772">
        <v>613546.65618014336</v>
      </c>
      <c r="U772">
        <v>689500.76372289658</v>
      </c>
      <c r="V772">
        <v>1553955.8983594179</v>
      </c>
      <c r="W772">
        <v>1303047.4199030399</v>
      </c>
      <c r="X772">
        <v>12954.130448289694</v>
      </c>
      <c r="Y772">
        <v>10862.500200650558</v>
      </c>
      <c r="Z772">
        <v>3345.7047901916503</v>
      </c>
      <c r="AA772">
        <v>325.76185497576</v>
      </c>
      <c r="AB772">
        <v>6135.4665618014333</v>
      </c>
      <c r="AC772">
        <v>6895.0076372289659</v>
      </c>
      <c r="AD772">
        <v>13030.474199030399</v>
      </c>
      <c r="AE772">
        <v>1.1925551400693062</v>
      </c>
      <c r="AF772" s="1" t="s">
        <v>1301</v>
      </c>
      <c r="AG772" s="1" t="s">
        <v>1302</v>
      </c>
      <c r="AH772" s="1" t="s">
        <v>1303</v>
      </c>
      <c r="AI772" s="1" t="str">
        <f>_xlfn.TEXTAFTER(_xlfn.TEXTBEFORE(batch_summary[[#This Row],[video]],"_",1),"-",3)</f>
        <v>20</v>
      </c>
      <c r="AJ772" s="1" t="str">
        <f>_xlfn.TEXTBEFORE(_xlfn.TEXTAFTER(batch_summary[[#This Row],[video]],"_",1),"_",1)</f>
        <v>20260327</v>
      </c>
      <c r="AK772" s="1" t="str">
        <f>_xlfn.TEXTBEFORE(_xlfn.TEXTAFTER(batch_summary[[#This Row],[video]],"_",2),".",1)</f>
        <v>090000</v>
      </c>
    </row>
    <row r="773" spans="1:37" x14ac:dyDescent="0.2">
      <c r="A773" s="1" t="s">
        <v>1304</v>
      </c>
      <c r="B773" s="1" t="s">
        <v>1305</v>
      </c>
      <c r="C773">
        <v>119.95833333333333</v>
      </c>
      <c r="D773">
        <v>2879</v>
      </c>
      <c r="E773">
        <v>0.29702280834317207</v>
      </c>
      <c r="F773">
        <v>44.427767069078982</v>
      </c>
      <c r="G773">
        <v>1.0316874204347762E-4</v>
      </c>
      <c r="H773">
        <v>1.5431666227536986E-2</v>
      </c>
      <c r="I773">
        <v>5</v>
      </c>
      <c r="J773" t="b">
        <v>1</v>
      </c>
      <c r="K773">
        <v>0.65</v>
      </c>
      <c r="L773">
        <v>1.3</v>
      </c>
      <c r="M773" t="b">
        <v>1</v>
      </c>
      <c r="N773">
        <v>200</v>
      </c>
      <c r="O773" t="b">
        <v>0</v>
      </c>
      <c r="P773" t="b">
        <v>0</v>
      </c>
      <c r="Q773">
        <v>0.7</v>
      </c>
      <c r="R773">
        <v>8642374.9867978096</v>
      </c>
      <c r="S773">
        <v>11134815.455259383</v>
      </c>
      <c r="T773">
        <v>7755411.7512917519</v>
      </c>
      <c r="U773">
        <v>10086391.435657918</v>
      </c>
      <c r="V773">
        <v>19777190.442057192</v>
      </c>
      <c r="W773">
        <v>17841803.18694967</v>
      </c>
      <c r="X773">
        <v>164867.16589418988</v>
      </c>
      <c r="Y773">
        <v>148733.33674428347</v>
      </c>
      <c r="Z773">
        <v>7996.5796043395994</v>
      </c>
      <c r="AA773">
        <v>4460.4507967374175</v>
      </c>
      <c r="AB773">
        <v>77554.117512917524</v>
      </c>
      <c r="AC773">
        <v>100863.91435657919</v>
      </c>
      <c r="AD773">
        <v>178418.03186949671</v>
      </c>
      <c r="AE773">
        <v>1.1084748685336443</v>
      </c>
      <c r="AF773" s="1" t="s">
        <v>1306</v>
      </c>
      <c r="AG773" s="1" t="s">
        <v>1307</v>
      </c>
      <c r="AH773" s="1" t="s">
        <v>1308</v>
      </c>
      <c r="AI773" s="1" t="str">
        <f>_xlfn.TEXTAFTER(_xlfn.TEXTBEFORE(batch_summary[[#This Row],[video]],"_",1),"-",3)</f>
        <v>20</v>
      </c>
      <c r="AJ773" s="1" t="str">
        <f>_xlfn.TEXTBEFORE(_xlfn.TEXTAFTER(batch_summary[[#This Row],[video]],"_",1),"_",1)</f>
        <v>20260327</v>
      </c>
      <c r="AK773" s="1" t="str">
        <f>_xlfn.TEXTBEFORE(_xlfn.TEXTAFTER(batch_summary[[#This Row],[video]],"_",2),".",1)</f>
        <v>100000</v>
      </c>
    </row>
    <row r="774" spans="1:37" x14ac:dyDescent="0.2">
      <c r="A774" s="1" t="s">
        <v>1309</v>
      </c>
      <c r="B774" s="1" t="s">
        <v>1310</v>
      </c>
      <c r="C774">
        <v>119.95833333333333</v>
      </c>
      <c r="D774">
        <v>2879</v>
      </c>
      <c r="E774">
        <v>0.29035001341253519</v>
      </c>
      <c r="F774">
        <v>44.044713780283928</v>
      </c>
      <c r="G774">
        <v>1.008509945858059E-4</v>
      </c>
      <c r="H774">
        <v>1.5298615415173298E-2</v>
      </c>
      <c r="I774">
        <v>5</v>
      </c>
      <c r="J774" t="b">
        <v>1</v>
      </c>
      <c r="K774">
        <v>0.65</v>
      </c>
      <c r="L774">
        <v>1.3</v>
      </c>
      <c r="M774" t="b">
        <v>1</v>
      </c>
      <c r="N774">
        <v>200</v>
      </c>
      <c r="O774" t="b">
        <v>0</v>
      </c>
      <c r="P774" t="b">
        <v>0</v>
      </c>
      <c r="Q774">
        <v>0.7</v>
      </c>
      <c r="R774">
        <v>16763652.507430315</v>
      </c>
      <c r="S774">
        <v>16552771.22132206</v>
      </c>
      <c r="T774">
        <v>15687204.187041402</v>
      </c>
      <c r="U774">
        <v>15359581.828326344</v>
      </c>
      <c r="V774">
        <v>33316423.728752375</v>
      </c>
      <c r="W774">
        <v>31046786.015367746</v>
      </c>
      <c r="X774">
        <v>277733.29957973497</v>
      </c>
      <c r="Y774">
        <v>258813.08244835914</v>
      </c>
      <c r="Z774">
        <v>13957.888887023926</v>
      </c>
      <c r="AA774">
        <v>7761.6965038419366</v>
      </c>
      <c r="AB774">
        <v>156872.04187041402</v>
      </c>
      <c r="AC774">
        <v>153595.81828326345</v>
      </c>
      <c r="AD774">
        <v>310467.86015367747</v>
      </c>
      <c r="AE774">
        <v>1.0731037896245101</v>
      </c>
      <c r="AF774" s="1" t="s">
        <v>1311</v>
      </c>
      <c r="AG774" s="1" t="s">
        <v>1312</v>
      </c>
      <c r="AH774" s="1" t="s">
        <v>1313</v>
      </c>
      <c r="AI774" s="1" t="str">
        <f>_xlfn.TEXTAFTER(_xlfn.TEXTBEFORE(batch_summary[[#This Row],[video]],"_",1),"-",3)</f>
        <v>20</v>
      </c>
      <c r="AJ774" s="1" t="str">
        <f>_xlfn.TEXTBEFORE(_xlfn.TEXTAFTER(batch_summary[[#This Row],[video]],"_",1),"_",1)</f>
        <v>20260327</v>
      </c>
      <c r="AK774" s="1" t="str">
        <f>_xlfn.TEXTBEFORE(_xlfn.TEXTAFTER(batch_summary[[#This Row],[video]],"_",2),".",1)</f>
        <v>110000</v>
      </c>
    </row>
    <row r="775" spans="1:37" x14ac:dyDescent="0.2">
      <c r="A775" s="1" t="s">
        <v>1314</v>
      </c>
      <c r="B775" s="1" t="s">
        <v>1315</v>
      </c>
      <c r="C775">
        <v>119.95833333333333</v>
      </c>
      <c r="D775">
        <v>2879</v>
      </c>
      <c r="E775">
        <v>0.29725112020969391</v>
      </c>
      <c r="F775">
        <v>43.588345880620182</v>
      </c>
      <c r="G775">
        <v>1.0324804453271757E-4</v>
      </c>
      <c r="H775">
        <v>1.5140099298582904E-2</v>
      </c>
      <c r="I775">
        <v>5</v>
      </c>
      <c r="J775" t="b">
        <v>1</v>
      </c>
      <c r="K775">
        <v>0.65</v>
      </c>
      <c r="L775">
        <v>1.3</v>
      </c>
      <c r="M775" t="b">
        <v>1</v>
      </c>
      <c r="N775">
        <v>200</v>
      </c>
      <c r="O775" t="b">
        <v>0</v>
      </c>
      <c r="P775" t="b">
        <v>0</v>
      </c>
      <c r="Q775">
        <v>0.7</v>
      </c>
      <c r="R775">
        <v>19333645.740329027</v>
      </c>
      <c r="S775">
        <v>20367559.169322968</v>
      </c>
      <c r="T775">
        <v>18167302.553246319</v>
      </c>
      <c r="U775">
        <v>19051697.067061663</v>
      </c>
      <c r="V775">
        <v>39701204.909651995</v>
      </c>
      <c r="W775">
        <v>37218999.620307982</v>
      </c>
      <c r="X775">
        <v>330958.29032012779</v>
      </c>
      <c r="Y775">
        <v>310266.06144056673</v>
      </c>
      <c r="Z775">
        <v>14514.970472106932</v>
      </c>
      <c r="AA775">
        <v>9304.7499050769948</v>
      </c>
      <c r="AB775">
        <v>181673.02553246319</v>
      </c>
      <c r="AC775">
        <v>190516.97067061663</v>
      </c>
      <c r="AD775">
        <v>372189.99620307982</v>
      </c>
      <c r="AE775">
        <v>1.0666918862588031</v>
      </c>
      <c r="AF775" s="1" t="s">
        <v>1316</v>
      </c>
      <c r="AG775" s="1" t="s">
        <v>1317</v>
      </c>
      <c r="AH775" s="1" t="s">
        <v>1318</v>
      </c>
      <c r="AI775" s="1" t="str">
        <f>_xlfn.TEXTAFTER(_xlfn.TEXTBEFORE(batch_summary[[#This Row],[video]],"_",1),"-",3)</f>
        <v>20</v>
      </c>
      <c r="AJ775" s="1" t="str">
        <f>_xlfn.TEXTBEFORE(_xlfn.TEXTAFTER(batch_summary[[#This Row],[video]],"_",1),"_",1)</f>
        <v>20260327</v>
      </c>
      <c r="AK775" s="1" t="str">
        <f>_xlfn.TEXTBEFORE(_xlfn.TEXTAFTER(batch_summary[[#This Row],[video]],"_",2),".",1)</f>
        <v>120000</v>
      </c>
    </row>
    <row r="776" spans="1:37" x14ac:dyDescent="0.2">
      <c r="A776" s="1" t="s">
        <v>1319</v>
      </c>
      <c r="B776" s="1" t="s">
        <v>1320</v>
      </c>
      <c r="C776">
        <v>119.95833333333333</v>
      </c>
      <c r="D776">
        <v>2879</v>
      </c>
      <c r="E776">
        <v>0.30301932618021965</v>
      </c>
      <c r="F776">
        <v>43.877366218715906</v>
      </c>
      <c r="G776">
        <v>1.0525158950337604E-4</v>
      </c>
      <c r="H776">
        <v>1.5240488439984684E-2</v>
      </c>
      <c r="I776">
        <v>5</v>
      </c>
      <c r="J776" t="b">
        <v>1</v>
      </c>
      <c r="K776">
        <v>0.65</v>
      </c>
      <c r="L776">
        <v>1.3</v>
      </c>
      <c r="M776" t="b">
        <v>1</v>
      </c>
      <c r="N776">
        <v>200</v>
      </c>
      <c r="O776" t="b">
        <v>0</v>
      </c>
      <c r="P776" t="b">
        <v>0</v>
      </c>
      <c r="Q776">
        <v>0.7</v>
      </c>
      <c r="R776">
        <v>15203221.937164068</v>
      </c>
      <c r="S776">
        <v>16133246.359994888</v>
      </c>
      <c r="T776">
        <v>14048157.357239723</v>
      </c>
      <c r="U776">
        <v>14966494.086726844</v>
      </c>
      <c r="V776">
        <v>31336468.297158957</v>
      </c>
      <c r="W776">
        <v>29014651.443966568</v>
      </c>
      <c r="X776">
        <v>261227.93995547586</v>
      </c>
      <c r="Y776">
        <v>241872.74562528575</v>
      </c>
      <c r="Z776">
        <v>13262.308002929687</v>
      </c>
      <c r="AA776">
        <v>7253.6628609916415</v>
      </c>
      <c r="AB776">
        <v>140481.57357239723</v>
      </c>
      <c r="AC776">
        <v>149664.94086726845</v>
      </c>
      <c r="AD776">
        <v>290146.51443966571</v>
      </c>
      <c r="AE776">
        <v>1.0800222211070263</v>
      </c>
      <c r="AF776" s="1" t="s">
        <v>1321</v>
      </c>
      <c r="AG776" s="1" t="s">
        <v>1322</v>
      </c>
      <c r="AH776" s="1" t="s">
        <v>1323</v>
      </c>
      <c r="AI776" s="1" t="str">
        <f>_xlfn.TEXTAFTER(_xlfn.TEXTBEFORE(batch_summary[[#This Row],[video]],"_",1),"-",3)</f>
        <v>20</v>
      </c>
      <c r="AJ776" s="1" t="str">
        <f>_xlfn.TEXTBEFORE(_xlfn.TEXTAFTER(batch_summary[[#This Row],[video]],"_",1),"_",1)</f>
        <v>20260327</v>
      </c>
      <c r="AK776" s="1" t="str">
        <f>_xlfn.TEXTBEFORE(_xlfn.TEXTAFTER(batch_summary[[#This Row],[video]],"_",2),".",1)</f>
        <v>130000</v>
      </c>
    </row>
    <row r="777" spans="1:37" x14ac:dyDescent="0.2">
      <c r="A777" s="1" t="s">
        <v>1324</v>
      </c>
      <c r="B777" s="1" t="s">
        <v>1325</v>
      </c>
      <c r="C777">
        <v>119.95833333333333</v>
      </c>
      <c r="D777">
        <v>2879</v>
      </c>
      <c r="E777">
        <v>0.28221342246979475</v>
      </c>
      <c r="F777">
        <v>43.892521768808365</v>
      </c>
      <c r="G777">
        <v>9.8024808082596303E-5</v>
      </c>
      <c r="H777">
        <v>1.5245752611604156E-2</v>
      </c>
      <c r="I777">
        <v>5</v>
      </c>
      <c r="J777" t="b">
        <v>1</v>
      </c>
      <c r="K777">
        <v>0.65</v>
      </c>
      <c r="L777">
        <v>1.3</v>
      </c>
      <c r="M777" t="b">
        <v>1</v>
      </c>
      <c r="N777">
        <v>200</v>
      </c>
      <c r="O777" t="b">
        <v>0</v>
      </c>
      <c r="P777" t="b">
        <v>0</v>
      </c>
      <c r="Q777">
        <v>0.7</v>
      </c>
      <c r="R777">
        <v>17035030.024349689</v>
      </c>
      <c r="S777">
        <v>18288137.937108994</v>
      </c>
      <c r="T777">
        <v>15861275.798699319</v>
      </c>
      <c r="U777">
        <v>17000345.271947861</v>
      </c>
      <c r="V777">
        <v>35323167.961458683</v>
      </c>
      <c r="W777">
        <v>32861621.07064718</v>
      </c>
      <c r="X777">
        <v>294461.97675408423</v>
      </c>
      <c r="Y777">
        <v>273941.96099184867</v>
      </c>
      <c r="Z777">
        <v>13185.110258178711</v>
      </c>
      <c r="AA777">
        <v>8215.4052676617957</v>
      </c>
      <c r="AB777">
        <v>158612.75798699318</v>
      </c>
      <c r="AC777">
        <v>170003.45271947861</v>
      </c>
      <c r="AD777">
        <v>328616.21070647181</v>
      </c>
      <c r="AE777">
        <v>1.0749064352461364</v>
      </c>
      <c r="AF777" s="1" t="s">
        <v>1326</v>
      </c>
      <c r="AG777" s="1" t="s">
        <v>1327</v>
      </c>
      <c r="AH777" s="1" t="s">
        <v>1328</v>
      </c>
      <c r="AI777" s="1" t="str">
        <f>_xlfn.TEXTAFTER(_xlfn.TEXTBEFORE(batch_summary[[#This Row],[video]],"_",1),"-",3)</f>
        <v>20</v>
      </c>
      <c r="AJ777" s="1" t="str">
        <f>_xlfn.TEXTBEFORE(_xlfn.TEXTAFTER(batch_summary[[#This Row],[video]],"_",1),"_",1)</f>
        <v>20260327</v>
      </c>
      <c r="AK777" s="1" t="str">
        <f>_xlfn.TEXTBEFORE(_xlfn.TEXTAFTER(batch_summary[[#This Row],[video]],"_",2),".",1)</f>
        <v>140000</v>
      </c>
    </row>
    <row r="778" spans="1:37" x14ac:dyDescent="0.2">
      <c r="A778" s="1" t="s">
        <v>1329</v>
      </c>
      <c r="B778" s="1" t="s">
        <v>1330</v>
      </c>
      <c r="C778">
        <v>119.95833333333333</v>
      </c>
      <c r="D778">
        <v>2879</v>
      </c>
      <c r="E778">
        <v>0.30314468313008547</v>
      </c>
      <c r="F778">
        <v>43.991459951736033</v>
      </c>
      <c r="G778">
        <v>1.05295131340773E-4</v>
      </c>
      <c r="H778">
        <v>1.5280118079797162E-2</v>
      </c>
      <c r="I778">
        <v>5</v>
      </c>
      <c r="J778" t="b">
        <v>1</v>
      </c>
      <c r="K778">
        <v>0.65</v>
      </c>
      <c r="L778">
        <v>1.3</v>
      </c>
      <c r="M778" t="b">
        <v>1</v>
      </c>
      <c r="N778">
        <v>200</v>
      </c>
      <c r="O778" t="b">
        <v>0</v>
      </c>
      <c r="P778" t="b">
        <v>0</v>
      </c>
      <c r="Q778">
        <v>0.7</v>
      </c>
      <c r="R778">
        <v>11168064.710916162</v>
      </c>
      <c r="S778">
        <v>11310969.366994798</v>
      </c>
      <c r="T778">
        <v>9937765.0447827578</v>
      </c>
      <c r="U778">
        <v>10101956.357168913</v>
      </c>
      <c r="V778">
        <v>22479034.07791096</v>
      </c>
      <c r="W778">
        <v>20039721.401951671</v>
      </c>
      <c r="X778">
        <v>187390.35007636785</v>
      </c>
      <c r="Y778">
        <v>167055.68379535954</v>
      </c>
      <c r="Z778">
        <v>7587.9156243896487</v>
      </c>
      <c r="AA778">
        <v>5009.9303504879181</v>
      </c>
      <c r="AB778">
        <v>99377.650447827575</v>
      </c>
      <c r="AC778">
        <v>101019.56357168913</v>
      </c>
      <c r="AD778">
        <v>200397.21401951672</v>
      </c>
      <c r="AE778">
        <v>1.1217238816364845</v>
      </c>
      <c r="AF778" s="1" t="s">
        <v>1331</v>
      </c>
      <c r="AG778" s="1" t="s">
        <v>1332</v>
      </c>
      <c r="AH778" s="1" t="s">
        <v>1333</v>
      </c>
      <c r="AI778" s="1" t="str">
        <f>_xlfn.TEXTAFTER(_xlfn.TEXTBEFORE(batch_summary[[#This Row],[video]],"_",1),"-",3)</f>
        <v>20</v>
      </c>
      <c r="AJ778" s="1" t="str">
        <f>_xlfn.TEXTBEFORE(_xlfn.TEXTAFTER(batch_summary[[#This Row],[video]],"_",1),"_",1)</f>
        <v>20260327</v>
      </c>
      <c r="AK778" s="1" t="str">
        <f>_xlfn.TEXTBEFORE(_xlfn.TEXTAFTER(batch_summary[[#This Row],[video]],"_",2),".",1)</f>
        <v>150000</v>
      </c>
    </row>
    <row r="779" spans="1:37" x14ac:dyDescent="0.2">
      <c r="A779" s="1" t="s">
        <v>1334</v>
      </c>
      <c r="B779" s="1" t="s">
        <v>1335</v>
      </c>
      <c r="C779">
        <v>119.95833333333333</v>
      </c>
      <c r="D779">
        <v>2879</v>
      </c>
      <c r="E779">
        <v>0.32451724167913198</v>
      </c>
      <c r="F779">
        <v>44.441014409065247</v>
      </c>
      <c r="G779">
        <v>1.1271873625534283E-4</v>
      </c>
      <c r="H779">
        <v>1.5436267596062954E-2</v>
      </c>
      <c r="I779">
        <v>5</v>
      </c>
      <c r="J779" t="b">
        <v>1</v>
      </c>
      <c r="K779">
        <v>0.65</v>
      </c>
      <c r="L779">
        <v>1.3</v>
      </c>
      <c r="M779" t="b">
        <v>1</v>
      </c>
      <c r="N779">
        <v>200</v>
      </c>
      <c r="O779" t="b">
        <v>0</v>
      </c>
      <c r="P779" t="b">
        <v>0</v>
      </c>
      <c r="Q779">
        <v>0.7</v>
      </c>
      <c r="R779">
        <v>9045638.2683593631</v>
      </c>
      <c r="S779">
        <v>8938989.5187901258</v>
      </c>
      <c r="T779">
        <v>8288664.341412425</v>
      </c>
      <c r="U779">
        <v>8064690.0197849274</v>
      </c>
      <c r="V779">
        <v>17984627.787149489</v>
      </c>
      <c r="W779">
        <v>16353354.361197352</v>
      </c>
      <c r="X779">
        <v>149923.95515511904</v>
      </c>
      <c r="Y779">
        <v>136325.28817948472</v>
      </c>
      <c r="Z779">
        <v>9905.4506222534183</v>
      </c>
      <c r="AA779">
        <v>4088.3385902993382</v>
      </c>
      <c r="AB779">
        <v>82886.64341412425</v>
      </c>
      <c r="AC779">
        <v>80646.900197849274</v>
      </c>
      <c r="AD779">
        <v>163533.54361197352</v>
      </c>
      <c r="AE779">
        <v>1.0997516099707814</v>
      </c>
      <c r="AF779" s="1" t="s">
        <v>1336</v>
      </c>
      <c r="AG779" s="1" t="s">
        <v>1337</v>
      </c>
      <c r="AH779" s="1" t="s">
        <v>1338</v>
      </c>
      <c r="AI779" s="1" t="str">
        <f>_xlfn.TEXTAFTER(_xlfn.TEXTBEFORE(batch_summary[[#This Row],[video]],"_",1),"-",3)</f>
        <v>20</v>
      </c>
      <c r="AJ779" s="1" t="str">
        <f>_xlfn.TEXTBEFORE(_xlfn.TEXTAFTER(batch_summary[[#This Row],[video]],"_",1),"_",1)</f>
        <v>20260327</v>
      </c>
      <c r="AK779" s="1" t="str">
        <f>_xlfn.TEXTBEFORE(_xlfn.TEXTAFTER(batch_summary[[#This Row],[video]],"_",2),".",1)</f>
        <v>160000</v>
      </c>
    </row>
    <row r="780" spans="1:37" x14ac:dyDescent="0.2">
      <c r="A780" s="1" t="s">
        <v>1339</v>
      </c>
      <c r="B780" s="1" t="s">
        <v>1340</v>
      </c>
      <c r="C780">
        <v>119.95833333333333</v>
      </c>
      <c r="D780">
        <v>2879</v>
      </c>
      <c r="E780">
        <v>0.3341856375336647</v>
      </c>
      <c r="F780">
        <v>44.986373161897063</v>
      </c>
      <c r="G780">
        <v>1.1607698420759455E-4</v>
      </c>
      <c r="H780">
        <v>1.5625694047202869E-2</v>
      </c>
      <c r="I780">
        <v>5</v>
      </c>
      <c r="J780" t="b">
        <v>1</v>
      </c>
      <c r="K780">
        <v>0.65</v>
      </c>
      <c r="L780">
        <v>1.3</v>
      </c>
      <c r="M780" t="b">
        <v>1</v>
      </c>
      <c r="N780">
        <v>200</v>
      </c>
      <c r="O780" t="b">
        <v>0</v>
      </c>
      <c r="P780" t="b">
        <v>0</v>
      </c>
      <c r="Q780">
        <v>0.7</v>
      </c>
      <c r="R780">
        <v>6074627.0573307276</v>
      </c>
      <c r="S780">
        <v>5260652.4975988269</v>
      </c>
      <c r="T780">
        <v>5490035.1269663572</v>
      </c>
      <c r="U780">
        <v>4650137.5032329559</v>
      </c>
      <c r="V780">
        <v>11335279.554929554</v>
      </c>
      <c r="W780">
        <v>10140172.630199313</v>
      </c>
      <c r="X780">
        <v>94493.473191493336</v>
      </c>
      <c r="Y780">
        <v>84530.789553589275</v>
      </c>
      <c r="Z780">
        <v>5076.804852895737</v>
      </c>
      <c r="AA780">
        <v>2535.0431575498283</v>
      </c>
      <c r="AB780">
        <v>54900.351269663573</v>
      </c>
      <c r="AC780">
        <v>46501.375032329561</v>
      </c>
      <c r="AD780">
        <v>101401.72630199313</v>
      </c>
      <c r="AE780">
        <v>1.1178586369595909</v>
      </c>
      <c r="AF780" s="1" t="s">
        <v>1341</v>
      </c>
      <c r="AG780" s="1" t="s">
        <v>1342</v>
      </c>
      <c r="AH780" s="1" t="s">
        <v>1343</v>
      </c>
      <c r="AI780" s="1" t="str">
        <f>_xlfn.TEXTAFTER(_xlfn.TEXTBEFORE(batch_summary[[#This Row],[video]],"_",1),"-",3)</f>
        <v>20</v>
      </c>
      <c r="AJ780" s="1" t="str">
        <f>_xlfn.TEXTBEFORE(_xlfn.TEXTAFTER(batch_summary[[#This Row],[video]],"_",1),"_",1)</f>
        <v>20260327</v>
      </c>
      <c r="AK780" s="1" t="str">
        <f>_xlfn.TEXTBEFORE(_xlfn.TEXTAFTER(batch_summary[[#This Row],[video]],"_",2),".",1)</f>
        <v>170000</v>
      </c>
    </row>
    <row r="781" spans="1:37" x14ac:dyDescent="0.2">
      <c r="A781" s="1" t="s">
        <v>1344</v>
      </c>
      <c r="B781" s="1" t="s">
        <v>1345</v>
      </c>
      <c r="C781">
        <v>119.95833333333333</v>
      </c>
      <c r="D781">
        <v>2879</v>
      </c>
      <c r="E781">
        <v>0.34484619274735451</v>
      </c>
      <c r="F781">
        <v>44.73170480877161</v>
      </c>
      <c r="G781">
        <v>1.1977985159685811E-4</v>
      </c>
      <c r="H781">
        <v>1.5537236821386457E-2</v>
      </c>
      <c r="I781">
        <v>5</v>
      </c>
      <c r="J781" t="b">
        <v>1</v>
      </c>
      <c r="K781">
        <v>0.65</v>
      </c>
      <c r="L781">
        <v>1.3</v>
      </c>
      <c r="M781" t="b">
        <v>1</v>
      </c>
      <c r="N781">
        <v>200</v>
      </c>
      <c r="O781" t="b">
        <v>0</v>
      </c>
      <c r="P781" t="b">
        <v>0</v>
      </c>
      <c r="Q781">
        <v>0.7</v>
      </c>
      <c r="R781">
        <v>2969600.3568750024</v>
      </c>
      <c r="S781">
        <v>1663595.4487171173</v>
      </c>
      <c r="T781">
        <v>2695005.270773232</v>
      </c>
      <c r="U781">
        <v>1455075.9039894938</v>
      </c>
      <c r="V781">
        <v>4633195.8055921197</v>
      </c>
      <c r="W781">
        <v>4150081.1747627258</v>
      </c>
      <c r="X781">
        <v>38623.37594102497</v>
      </c>
      <c r="Y781">
        <v>34596.022297431547</v>
      </c>
      <c r="Z781">
        <v>3541.7389309692385</v>
      </c>
      <c r="AA781">
        <v>1037.5202936906815</v>
      </c>
      <c r="AB781">
        <v>26950.05270773232</v>
      </c>
      <c r="AC781">
        <v>14550.759039894938</v>
      </c>
      <c r="AD781">
        <v>41500.81174762726</v>
      </c>
      <c r="AE781">
        <v>1.11641088703693</v>
      </c>
      <c r="AF781" s="1" t="s">
        <v>1346</v>
      </c>
      <c r="AG781" s="1" t="s">
        <v>1347</v>
      </c>
      <c r="AH781" s="1" t="s">
        <v>1348</v>
      </c>
      <c r="AI781" s="1" t="str">
        <f>_xlfn.TEXTAFTER(_xlfn.TEXTBEFORE(batch_summary[[#This Row],[video]],"_",1),"-",3)</f>
        <v>20</v>
      </c>
      <c r="AJ781" s="1" t="str">
        <f>_xlfn.TEXTBEFORE(_xlfn.TEXTAFTER(batch_summary[[#This Row],[video]],"_",1),"_",1)</f>
        <v>20260327</v>
      </c>
      <c r="AK781" s="1" t="str">
        <f>_xlfn.TEXTBEFORE(_xlfn.TEXTAFTER(batch_summary[[#This Row],[video]],"_",2),".",1)</f>
        <v>180000</v>
      </c>
    </row>
    <row r="782" spans="1:37" x14ac:dyDescent="0.2">
      <c r="A782" s="1" t="s">
        <v>1349</v>
      </c>
      <c r="B782" s="1" t="s">
        <v>1350</v>
      </c>
      <c r="C782">
        <v>119.95833333333333</v>
      </c>
      <c r="D782">
        <v>2879</v>
      </c>
      <c r="E782">
        <v>0.35437328554689884</v>
      </c>
      <c r="F782">
        <v>44.347158601507545</v>
      </c>
      <c r="G782">
        <v>1.2308901894647406E-4</v>
      </c>
      <c r="H782">
        <v>1.5403667454500711E-2</v>
      </c>
      <c r="I782">
        <v>5</v>
      </c>
      <c r="J782" t="b">
        <v>1</v>
      </c>
      <c r="K782">
        <v>0.65</v>
      </c>
      <c r="L782">
        <v>1.3</v>
      </c>
      <c r="M782" t="b">
        <v>1</v>
      </c>
      <c r="N782">
        <v>200</v>
      </c>
      <c r="O782" t="b">
        <v>0</v>
      </c>
      <c r="P782" t="b">
        <v>0</v>
      </c>
      <c r="Q782">
        <v>0.7</v>
      </c>
      <c r="R782">
        <v>524.05713176727295</v>
      </c>
      <c r="S782">
        <v>3212.6890828609467</v>
      </c>
      <c r="T782">
        <v>0</v>
      </c>
      <c r="U782">
        <v>0</v>
      </c>
      <c r="V782">
        <v>3736.7462146282196</v>
      </c>
      <c r="W782">
        <v>0</v>
      </c>
      <c r="X782">
        <v>31.150367888529793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3736746214.6282196</v>
      </c>
      <c r="AF782" s="1" t="s">
        <v>1351</v>
      </c>
      <c r="AG782" s="1" t="s">
        <v>1352</v>
      </c>
      <c r="AH782" s="1" t="s">
        <v>1353</v>
      </c>
      <c r="AI782" s="1" t="str">
        <f>_xlfn.TEXTAFTER(_xlfn.TEXTBEFORE(batch_summary[[#This Row],[video]],"_",1),"-",3)</f>
        <v>20</v>
      </c>
      <c r="AJ782" s="1" t="str">
        <f>_xlfn.TEXTBEFORE(_xlfn.TEXTAFTER(batch_summary[[#This Row],[video]],"_",1),"_",1)</f>
        <v>20260327</v>
      </c>
      <c r="AK782" s="1" t="str">
        <f>_xlfn.TEXTBEFORE(_xlfn.TEXTAFTER(batch_summary[[#This Row],[video]],"_",2),".",1)</f>
        <v>190000</v>
      </c>
    </row>
    <row r="783" spans="1:37" x14ac:dyDescent="0.2">
      <c r="A783" s="1" t="s">
        <v>1354</v>
      </c>
      <c r="B783" s="1" t="s">
        <v>1355</v>
      </c>
      <c r="C783">
        <v>119.95833333333333</v>
      </c>
      <c r="D783">
        <v>2879</v>
      </c>
      <c r="E783">
        <v>0.34466699045151472</v>
      </c>
      <c r="F783">
        <v>44.388288219459355</v>
      </c>
      <c r="G783">
        <v>1.1971760696474982E-4</v>
      </c>
      <c r="H783">
        <v>1.5417953532288765E-2</v>
      </c>
      <c r="I783">
        <v>5</v>
      </c>
      <c r="J783" t="b">
        <v>1</v>
      </c>
      <c r="K783">
        <v>0.65</v>
      </c>
      <c r="L783">
        <v>1.3</v>
      </c>
      <c r="M783" t="b">
        <v>1</v>
      </c>
      <c r="N783">
        <v>200</v>
      </c>
      <c r="O783" t="b">
        <v>0</v>
      </c>
      <c r="P783" t="b">
        <v>0</v>
      </c>
      <c r="Q783">
        <v>0.7</v>
      </c>
      <c r="R783">
        <v>155799.67667406797</v>
      </c>
      <c r="S783">
        <v>161951.95337224007</v>
      </c>
      <c r="T783">
        <v>10989.543395996094</v>
      </c>
      <c r="U783">
        <v>9814.3192749023438</v>
      </c>
      <c r="V783">
        <v>317751.63004630804</v>
      </c>
      <c r="W783">
        <v>20803.862670898438</v>
      </c>
      <c r="X783">
        <v>2648.8499899657495</v>
      </c>
      <c r="Y783">
        <v>173.4257395281565</v>
      </c>
      <c r="Z783">
        <v>27.775268249511718</v>
      </c>
      <c r="AA783">
        <v>5.200965667724609</v>
      </c>
      <c r="AB783">
        <v>109.89543395996094</v>
      </c>
      <c r="AC783">
        <v>98.143192749023441</v>
      </c>
      <c r="AD783">
        <v>208.0386267089844</v>
      </c>
      <c r="AE783">
        <v>15.273684270700176</v>
      </c>
      <c r="AF783" s="1" t="s">
        <v>1356</v>
      </c>
      <c r="AG783" s="1" t="s">
        <v>1357</v>
      </c>
      <c r="AH783" s="1" t="s">
        <v>1358</v>
      </c>
      <c r="AI783" s="1" t="str">
        <f>_xlfn.TEXTAFTER(_xlfn.TEXTBEFORE(batch_summary[[#This Row],[video]],"_",1),"-",3)</f>
        <v>20</v>
      </c>
      <c r="AJ783" s="1" t="str">
        <f>_xlfn.TEXTBEFORE(_xlfn.TEXTAFTER(batch_summary[[#This Row],[video]],"_",1),"_",1)</f>
        <v>20260328</v>
      </c>
      <c r="AK783" s="1" t="str">
        <f>_xlfn.TEXTBEFORE(_xlfn.TEXTAFTER(batch_summary[[#This Row],[video]],"_",2),".",1)</f>
        <v>060000</v>
      </c>
    </row>
    <row r="784" spans="1:37" x14ac:dyDescent="0.2">
      <c r="A784" s="1" t="s">
        <v>1359</v>
      </c>
      <c r="B784" s="1" t="s">
        <v>1360</v>
      </c>
      <c r="C784">
        <v>119.95833333333333</v>
      </c>
      <c r="D784">
        <v>2879</v>
      </c>
      <c r="E784">
        <v>0.32569859828799963</v>
      </c>
      <c r="F784">
        <v>43.277867193333805</v>
      </c>
      <c r="G784">
        <v>1.1312907199999987E-4</v>
      </c>
      <c r="H784">
        <v>1.5032256753502537E-2</v>
      </c>
      <c r="I784">
        <v>5</v>
      </c>
      <c r="J784" t="b">
        <v>1</v>
      </c>
      <c r="K784">
        <v>0.65</v>
      </c>
      <c r="L784">
        <v>1.3</v>
      </c>
      <c r="M784" t="b">
        <v>1</v>
      </c>
      <c r="N784">
        <v>200</v>
      </c>
      <c r="O784" t="b">
        <v>0</v>
      </c>
      <c r="P784" t="b">
        <v>0</v>
      </c>
      <c r="Q784">
        <v>0.7</v>
      </c>
      <c r="R784">
        <v>14590.228853404522</v>
      </c>
      <c r="S784">
        <v>12518.180438876152</v>
      </c>
      <c r="T784">
        <v>0</v>
      </c>
      <c r="U784">
        <v>408.3475341796875</v>
      </c>
      <c r="V784">
        <v>27108.409292280674</v>
      </c>
      <c r="W784">
        <v>408.3475341796875</v>
      </c>
      <c r="X784">
        <v>225.98187669841479</v>
      </c>
      <c r="Y784">
        <v>3.4040780897229941</v>
      </c>
      <c r="Z784">
        <v>4.0834753417968752</v>
      </c>
      <c r="AA784">
        <v>0.10208688354492187</v>
      </c>
      <c r="AB784">
        <v>0</v>
      </c>
      <c r="AC784">
        <v>4.0834753417968752</v>
      </c>
      <c r="AD784">
        <v>4.0834753417968752</v>
      </c>
      <c r="AE784">
        <v>66.385632392118239</v>
      </c>
      <c r="AF784" s="1" t="s">
        <v>1361</v>
      </c>
      <c r="AG784" s="1" t="s">
        <v>1362</v>
      </c>
      <c r="AH784" s="1" t="s">
        <v>1363</v>
      </c>
      <c r="AI784" s="1" t="str">
        <f>_xlfn.TEXTAFTER(_xlfn.TEXTBEFORE(batch_summary[[#This Row],[video]],"_",1),"-",3)</f>
        <v>20</v>
      </c>
      <c r="AJ784" s="1" t="str">
        <f>_xlfn.TEXTBEFORE(_xlfn.TEXTAFTER(batch_summary[[#This Row],[video]],"_",1),"_",1)</f>
        <v>20260328</v>
      </c>
      <c r="AK784" s="1" t="str">
        <f>_xlfn.TEXTBEFORE(_xlfn.TEXTAFTER(batch_summary[[#This Row],[video]],"_",2),".",1)</f>
        <v>070000</v>
      </c>
    </row>
    <row r="785" spans="1:37" x14ac:dyDescent="0.2">
      <c r="A785" s="1" t="s">
        <v>1364</v>
      </c>
      <c r="B785" s="1" t="s">
        <v>1365</v>
      </c>
      <c r="C785">
        <v>119.95833333333333</v>
      </c>
      <c r="D785">
        <v>2879</v>
      </c>
      <c r="E785">
        <v>0.34104695543646812</v>
      </c>
      <c r="F785">
        <v>44.027266158722341</v>
      </c>
      <c r="G785">
        <v>1.184602137674429E-4</v>
      </c>
      <c r="H785">
        <v>1.5292555108969205E-2</v>
      </c>
      <c r="I785">
        <v>5</v>
      </c>
      <c r="J785" t="b">
        <v>1</v>
      </c>
      <c r="K785">
        <v>0.65</v>
      </c>
      <c r="L785">
        <v>1.3</v>
      </c>
      <c r="M785" t="b">
        <v>1</v>
      </c>
      <c r="N785">
        <v>200</v>
      </c>
      <c r="O785" t="b">
        <v>0</v>
      </c>
      <c r="P785" t="b">
        <v>0</v>
      </c>
      <c r="Q785">
        <v>0.7</v>
      </c>
      <c r="R785">
        <v>774960.26401871443</v>
      </c>
      <c r="S785">
        <v>760886.14830464125</v>
      </c>
      <c r="T785">
        <v>630397.70948719978</v>
      </c>
      <c r="U785">
        <v>606212.97284036875</v>
      </c>
      <c r="V785">
        <v>1535846.4123233557</v>
      </c>
      <c r="W785">
        <v>1236610.6823275685</v>
      </c>
      <c r="X785">
        <v>12803.165646321826</v>
      </c>
      <c r="Y785">
        <v>10308.668418152707</v>
      </c>
      <c r="Z785">
        <v>1426.7882995033265</v>
      </c>
      <c r="AA785">
        <v>309.15267058189215</v>
      </c>
      <c r="AB785">
        <v>6303.9770948719979</v>
      </c>
      <c r="AC785">
        <v>6062.1297284036873</v>
      </c>
      <c r="AD785">
        <v>12366.106823275684</v>
      </c>
      <c r="AE785">
        <v>1.241980547533813</v>
      </c>
      <c r="AF785" s="1" t="s">
        <v>1366</v>
      </c>
      <c r="AG785" s="1" t="s">
        <v>1367</v>
      </c>
      <c r="AH785" s="1" t="s">
        <v>1368</v>
      </c>
      <c r="AI785" s="1" t="str">
        <f>_xlfn.TEXTAFTER(_xlfn.TEXTBEFORE(batch_summary[[#This Row],[video]],"_",1),"-",3)</f>
        <v>20</v>
      </c>
      <c r="AJ785" s="1" t="str">
        <f>_xlfn.TEXTBEFORE(_xlfn.TEXTAFTER(batch_summary[[#This Row],[video]],"_",1),"_",1)</f>
        <v>20260328</v>
      </c>
      <c r="AK785" s="1" t="str">
        <f>_xlfn.TEXTBEFORE(_xlfn.TEXTAFTER(batch_summary[[#This Row],[video]],"_",2),".",1)</f>
        <v>080000</v>
      </c>
    </row>
    <row r="786" spans="1:37" x14ac:dyDescent="0.2">
      <c r="A786" s="1" t="s">
        <v>1369</v>
      </c>
      <c r="B786" s="1" t="s">
        <v>1370</v>
      </c>
      <c r="C786">
        <v>119.95833333333333</v>
      </c>
      <c r="D786">
        <v>2879</v>
      </c>
      <c r="E786">
        <v>0.32422967907041311</v>
      </c>
      <c r="F786">
        <v>45.219719497486949</v>
      </c>
      <c r="G786">
        <v>1.1261885344578434E-4</v>
      </c>
      <c r="H786">
        <v>1.5706745223163232E-2</v>
      </c>
      <c r="I786">
        <v>5</v>
      </c>
      <c r="J786" t="b">
        <v>1</v>
      </c>
      <c r="K786">
        <v>0.65</v>
      </c>
      <c r="L786">
        <v>1.3</v>
      </c>
      <c r="M786" t="b">
        <v>1</v>
      </c>
      <c r="N786">
        <v>200</v>
      </c>
      <c r="O786" t="b">
        <v>0</v>
      </c>
      <c r="P786" t="b">
        <v>0</v>
      </c>
      <c r="Q786">
        <v>0.7</v>
      </c>
      <c r="R786">
        <v>3856382.5846213102</v>
      </c>
      <c r="S786">
        <v>3682910.8916116953</v>
      </c>
      <c r="T786">
        <v>3384078.6655035615</v>
      </c>
      <c r="U786">
        <v>3205966.7510829568</v>
      </c>
      <c r="V786">
        <v>7539293.4762330055</v>
      </c>
      <c r="W786">
        <v>6590045.4165865183</v>
      </c>
      <c r="X786">
        <v>62849.26829787848</v>
      </c>
      <c r="Y786">
        <v>54936.120179950136</v>
      </c>
      <c r="Z786">
        <v>5315.5438869094851</v>
      </c>
      <c r="AA786">
        <v>1647.5113541466294</v>
      </c>
      <c r="AB786">
        <v>33840.786655035612</v>
      </c>
      <c r="AC786">
        <v>32059.667510829568</v>
      </c>
      <c r="AD786">
        <v>65900.454165865172</v>
      </c>
      <c r="AE786">
        <v>1.1440427189253233</v>
      </c>
      <c r="AF786" s="1" t="s">
        <v>1371</v>
      </c>
      <c r="AG786" s="1" t="s">
        <v>1372</v>
      </c>
      <c r="AH786" s="1" t="s">
        <v>1373</v>
      </c>
      <c r="AI786" s="1" t="str">
        <f>_xlfn.TEXTAFTER(_xlfn.TEXTBEFORE(batch_summary[[#This Row],[video]],"_",1),"-",3)</f>
        <v>20</v>
      </c>
      <c r="AJ786" s="1" t="str">
        <f>_xlfn.TEXTBEFORE(_xlfn.TEXTAFTER(batch_summary[[#This Row],[video]],"_",1),"_",1)</f>
        <v>20260328</v>
      </c>
      <c r="AK786" s="1" t="str">
        <f>_xlfn.TEXTBEFORE(_xlfn.TEXTAFTER(batch_summary[[#This Row],[video]],"_",2),".",1)</f>
        <v>090000</v>
      </c>
    </row>
    <row r="787" spans="1:37" x14ac:dyDescent="0.2">
      <c r="A787" s="1" t="s">
        <v>1374</v>
      </c>
      <c r="B787" s="1" t="s">
        <v>1375</v>
      </c>
      <c r="C787">
        <v>119.95833333333333</v>
      </c>
      <c r="D787">
        <v>2879</v>
      </c>
      <c r="E787">
        <v>0.2968134880065918</v>
      </c>
      <c r="F787">
        <v>45.100410202518106</v>
      </c>
      <c r="G787">
        <v>1.0309603612594366E-4</v>
      </c>
      <c r="H787">
        <v>1.5665303995317161E-2</v>
      </c>
      <c r="I787">
        <v>5</v>
      </c>
      <c r="J787" t="b">
        <v>1</v>
      </c>
      <c r="K787">
        <v>0.65</v>
      </c>
      <c r="L787">
        <v>1.3</v>
      </c>
      <c r="M787" t="b">
        <v>1</v>
      </c>
      <c r="N787">
        <v>200</v>
      </c>
      <c r="O787" t="b">
        <v>0</v>
      </c>
      <c r="P787" t="b">
        <v>0</v>
      </c>
      <c r="Q787">
        <v>0.7</v>
      </c>
      <c r="R787">
        <v>14808747.865556955</v>
      </c>
      <c r="S787">
        <v>15419471.252651036</v>
      </c>
      <c r="T787">
        <v>13733761.280477524</v>
      </c>
      <c r="U787">
        <v>14237150.76448077</v>
      </c>
      <c r="V787">
        <v>30228219.118207991</v>
      </c>
      <c r="W787">
        <v>27970912.044958293</v>
      </c>
      <c r="X787">
        <v>251989.32227752407</v>
      </c>
      <c r="Y787">
        <v>233171.89617193438</v>
      </c>
      <c r="Z787">
        <v>10612.61697654724</v>
      </c>
      <c r="AA787">
        <v>6992.7280112395729</v>
      </c>
      <c r="AB787">
        <v>137337.61280477524</v>
      </c>
      <c r="AC787">
        <v>142371.50764480769</v>
      </c>
      <c r="AD787">
        <v>279709.12044958293</v>
      </c>
      <c r="AE787">
        <v>1.0807019474238622</v>
      </c>
      <c r="AF787" s="1" t="s">
        <v>1376</v>
      </c>
      <c r="AG787" s="1" t="s">
        <v>1377</v>
      </c>
      <c r="AH787" s="1" t="s">
        <v>1378</v>
      </c>
      <c r="AI787" s="1" t="str">
        <f>_xlfn.TEXTAFTER(_xlfn.TEXTBEFORE(batch_summary[[#This Row],[video]],"_",1),"-",3)</f>
        <v>20</v>
      </c>
      <c r="AJ787" s="1" t="str">
        <f>_xlfn.TEXTBEFORE(_xlfn.TEXTAFTER(batch_summary[[#This Row],[video]],"_",1),"_",1)</f>
        <v>20260328</v>
      </c>
      <c r="AK787" s="1" t="str">
        <f>_xlfn.TEXTBEFORE(_xlfn.TEXTAFTER(batch_summary[[#This Row],[video]],"_",2),".",1)</f>
        <v>100000</v>
      </c>
    </row>
    <row r="788" spans="1:37" x14ac:dyDescent="0.2">
      <c r="A788" s="1" t="s">
        <v>1379</v>
      </c>
      <c r="B788" s="1" t="s">
        <v>1380</v>
      </c>
      <c r="C788">
        <v>119.95833333333333</v>
      </c>
      <c r="D788">
        <v>2879</v>
      </c>
      <c r="E788">
        <v>0.28915195073932409</v>
      </c>
      <c r="F788">
        <v>43.844394870102406</v>
      </c>
      <c r="G788">
        <v>1.0043485610952556E-4</v>
      </c>
      <c r="H788">
        <v>1.522903607853505E-2</v>
      </c>
      <c r="I788">
        <v>5</v>
      </c>
      <c r="J788" t="b">
        <v>1</v>
      </c>
      <c r="K788">
        <v>0.65</v>
      </c>
      <c r="L788">
        <v>1.3</v>
      </c>
      <c r="M788" t="b">
        <v>1</v>
      </c>
      <c r="N788">
        <v>200</v>
      </c>
      <c r="O788" t="b">
        <v>0</v>
      </c>
      <c r="P788" t="b">
        <v>0</v>
      </c>
      <c r="Q788">
        <v>0.7</v>
      </c>
      <c r="R788">
        <v>17082480.869401813</v>
      </c>
      <c r="S788">
        <v>19520218.47046113</v>
      </c>
      <c r="T788">
        <v>15884846.034656763</v>
      </c>
      <c r="U788">
        <v>18189541.193523824</v>
      </c>
      <c r="V788">
        <v>36602699.339862943</v>
      </c>
      <c r="W788">
        <v>34074387.228180587</v>
      </c>
      <c r="X788">
        <v>305128.44187450875</v>
      </c>
      <c r="Y788">
        <v>284051.85601817787</v>
      </c>
      <c r="Z788">
        <v>11794.345529785156</v>
      </c>
      <c r="AA788">
        <v>8518.5968070451472</v>
      </c>
      <c r="AB788">
        <v>158848.46034656762</v>
      </c>
      <c r="AC788">
        <v>181895.41193523825</v>
      </c>
      <c r="AD788">
        <v>340743.87228180584</v>
      </c>
      <c r="AE788">
        <v>1.0741997822220957</v>
      </c>
      <c r="AF788" s="1" t="s">
        <v>1381</v>
      </c>
      <c r="AG788" s="1" t="s">
        <v>1382</v>
      </c>
      <c r="AH788" s="1" t="s">
        <v>1383</v>
      </c>
      <c r="AI788" s="1" t="str">
        <f>_xlfn.TEXTAFTER(_xlfn.TEXTBEFORE(batch_summary[[#This Row],[video]],"_",1),"-",3)</f>
        <v>20</v>
      </c>
      <c r="AJ788" s="1" t="str">
        <f>_xlfn.TEXTBEFORE(_xlfn.TEXTAFTER(batch_summary[[#This Row],[video]],"_",1),"_",1)</f>
        <v>20260328</v>
      </c>
      <c r="AK788" s="1" t="str">
        <f>_xlfn.TEXTBEFORE(_xlfn.TEXTAFTER(batch_summary[[#This Row],[video]],"_",2),".",1)</f>
        <v>110000</v>
      </c>
    </row>
    <row r="789" spans="1:37" x14ac:dyDescent="0.2">
      <c r="A789" s="1" t="s">
        <v>1384</v>
      </c>
      <c r="B789" s="1" t="s">
        <v>1385</v>
      </c>
      <c r="C789">
        <v>119.95833333333333</v>
      </c>
      <c r="D789">
        <v>2879</v>
      </c>
      <c r="E789">
        <v>0.29183516930788755</v>
      </c>
      <c r="F789">
        <v>43.730468027293682</v>
      </c>
      <c r="G789">
        <v>1.0136685283358373E-4</v>
      </c>
      <c r="H789">
        <v>1.5189464406840459E-2</v>
      </c>
      <c r="I789">
        <v>5</v>
      </c>
      <c r="J789" t="b">
        <v>1</v>
      </c>
      <c r="K789">
        <v>0.65</v>
      </c>
      <c r="L789">
        <v>1.3</v>
      </c>
      <c r="M789" t="b">
        <v>1</v>
      </c>
      <c r="N789">
        <v>200</v>
      </c>
      <c r="O789" t="b">
        <v>0</v>
      </c>
      <c r="P789" t="b">
        <v>0</v>
      </c>
      <c r="Q789">
        <v>0.7</v>
      </c>
      <c r="R789">
        <v>18452347.445274353</v>
      </c>
      <c r="S789">
        <v>20741756.830976963</v>
      </c>
      <c r="T789">
        <v>17232942.923987746</v>
      </c>
      <c r="U789">
        <v>19387651.058264494</v>
      </c>
      <c r="V789">
        <v>39194104.276251316</v>
      </c>
      <c r="W789">
        <v>36620593.98225224</v>
      </c>
      <c r="X789">
        <v>326730.9838937241</v>
      </c>
      <c r="Y789">
        <v>305277.6156908836</v>
      </c>
      <c r="Z789">
        <v>13670.449974975585</v>
      </c>
      <c r="AA789">
        <v>9155.1484955630604</v>
      </c>
      <c r="AB789">
        <v>172329.42923987747</v>
      </c>
      <c r="AC789">
        <v>193876.51058264493</v>
      </c>
      <c r="AD789">
        <v>366205.9398225224</v>
      </c>
      <c r="AE789">
        <v>1.0702749468030557</v>
      </c>
      <c r="AF789" s="1" t="s">
        <v>1386</v>
      </c>
      <c r="AG789" s="1" t="s">
        <v>1387</v>
      </c>
      <c r="AH789" s="1" t="s">
        <v>1388</v>
      </c>
      <c r="AI789" s="1" t="str">
        <f>_xlfn.TEXTAFTER(_xlfn.TEXTBEFORE(batch_summary[[#This Row],[video]],"_",1),"-",3)</f>
        <v>20</v>
      </c>
      <c r="AJ789" s="1" t="str">
        <f>_xlfn.TEXTBEFORE(_xlfn.TEXTAFTER(batch_summary[[#This Row],[video]],"_",1),"_",1)</f>
        <v>20260328</v>
      </c>
      <c r="AK789" s="1" t="str">
        <f>_xlfn.TEXTBEFORE(_xlfn.TEXTAFTER(batch_summary[[#This Row],[video]],"_",2),".",1)</f>
        <v>120000</v>
      </c>
    </row>
    <row r="790" spans="1:37" x14ac:dyDescent="0.2">
      <c r="A790" s="1" t="s">
        <v>1389</v>
      </c>
      <c r="B790" s="1" t="s">
        <v>1390</v>
      </c>
      <c r="C790">
        <v>119.95833333333333</v>
      </c>
      <c r="D790">
        <v>2879</v>
      </c>
      <c r="E790">
        <v>0.2887158989906311</v>
      </c>
      <c r="F790">
        <v>43.766428724862635</v>
      </c>
      <c r="G790">
        <v>1.0028339666225464E-4</v>
      </c>
      <c r="H790">
        <v>1.5201955097208279E-2</v>
      </c>
      <c r="I790">
        <v>5</v>
      </c>
      <c r="J790" t="b">
        <v>1</v>
      </c>
      <c r="K790">
        <v>0.65</v>
      </c>
      <c r="L790">
        <v>1.3</v>
      </c>
      <c r="M790" t="b">
        <v>1</v>
      </c>
      <c r="N790">
        <v>200</v>
      </c>
      <c r="O790" t="b">
        <v>0</v>
      </c>
      <c r="P790" t="b">
        <v>0</v>
      </c>
      <c r="Q790">
        <v>0.7</v>
      </c>
      <c r="R790">
        <v>18632458.154490471</v>
      </c>
      <c r="S790">
        <v>20431083.757050693</v>
      </c>
      <c r="T790">
        <v>17478724.696798563</v>
      </c>
      <c r="U790">
        <v>19087095.399266362</v>
      </c>
      <c r="V790">
        <v>39063541.911541164</v>
      </c>
      <c r="W790">
        <v>36565820.096064925</v>
      </c>
      <c r="X790">
        <v>325642.58627196524</v>
      </c>
      <c r="Y790">
        <v>304821.00809501851</v>
      </c>
      <c r="Z790">
        <v>12571.825288696289</v>
      </c>
      <c r="AA790">
        <v>9141.4550240162316</v>
      </c>
      <c r="AB790">
        <v>174787.24696798564</v>
      </c>
      <c r="AC790">
        <v>190870.95399266362</v>
      </c>
      <c r="AD790">
        <v>365658.20096064929</v>
      </c>
      <c r="AE790">
        <v>1.0683075563166442</v>
      </c>
      <c r="AF790" s="1" t="s">
        <v>1391</v>
      </c>
      <c r="AG790" s="1" t="s">
        <v>1392</v>
      </c>
      <c r="AH790" s="1" t="s">
        <v>1393</v>
      </c>
      <c r="AI790" s="1" t="str">
        <f>_xlfn.TEXTAFTER(_xlfn.TEXTBEFORE(batch_summary[[#This Row],[video]],"_",1),"-",3)</f>
        <v>20</v>
      </c>
      <c r="AJ790" s="1" t="str">
        <f>_xlfn.TEXTBEFORE(_xlfn.TEXTAFTER(batch_summary[[#This Row],[video]],"_",1),"_",1)</f>
        <v>20260328</v>
      </c>
      <c r="AK790" s="1" t="str">
        <f>_xlfn.TEXTBEFORE(_xlfn.TEXTAFTER(batch_summary[[#This Row],[video]],"_",2),".",1)</f>
        <v>130000</v>
      </c>
    </row>
    <row r="791" spans="1:37" x14ac:dyDescent="0.2">
      <c r="A791" s="1" t="s">
        <v>1394</v>
      </c>
      <c r="B791" s="1" t="s">
        <v>1395</v>
      </c>
      <c r="C791">
        <v>119.95833333333333</v>
      </c>
      <c r="D791">
        <v>2879</v>
      </c>
      <c r="E791">
        <v>0.28943821601569653</v>
      </c>
      <c r="F791">
        <v>43.522864862345159</v>
      </c>
      <c r="G791">
        <v>1.0053428829999879E-4</v>
      </c>
      <c r="H791">
        <v>1.5117354936556152E-2</v>
      </c>
      <c r="I791">
        <v>5</v>
      </c>
      <c r="J791" t="b">
        <v>1</v>
      </c>
      <c r="K791">
        <v>0.65</v>
      </c>
      <c r="L791">
        <v>1.3</v>
      </c>
      <c r="M791" t="b">
        <v>1</v>
      </c>
      <c r="N791">
        <v>200</v>
      </c>
      <c r="O791" t="b">
        <v>0</v>
      </c>
      <c r="P791" t="b">
        <v>0</v>
      </c>
      <c r="Q791">
        <v>0.7</v>
      </c>
      <c r="R791">
        <v>22064535.090918541</v>
      </c>
      <c r="S791">
        <v>21379133.021697998</v>
      </c>
      <c r="T791">
        <v>20928733.078101099</v>
      </c>
      <c r="U791">
        <v>20148309.215901613</v>
      </c>
      <c r="V791">
        <v>43443668.112616539</v>
      </c>
      <c r="W791">
        <v>41077042.294002712</v>
      </c>
      <c r="X791">
        <v>362156.31632608437</v>
      </c>
      <c r="Y791">
        <v>342427.58425010944</v>
      </c>
      <c r="Z791">
        <v>15046.462208251953</v>
      </c>
      <c r="AA791">
        <v>10269.260573500676</v>
      </c>
      <c r="AB791">
        <v>209287.330781011</v>
      </c>
      <c r="AC791">
        <v>201483.09215901615</v>
      </c>
      <c r="AD791">
        <v>410770.42294002714</v>
      </c>
      <c r="AE791">
        <v>1.0576143190075629</v>
      </c>
      <c r="AF791" s="1" t="s">
        <v>1396</v>
      </c>
      <c r="AG791" s="1" t="s">
        <v>1397</v>
      </c>
      <c r="AH791" s="1" t="s">
        <v>1398</v>
      </c>
      <c r="AI791" s="1" t="str">
        <f>_xlfn.TEXTAFTER(_xlfn.TEXTBEFORE(batch_summary[[#This Row],[video]],"_",1),"-",3)</f>
        <v>20</v>
      </c>
      <c r="AJ791" s="1" t="str">
        <f>_xlfn.TEXTBEFORE(_xlfn.TEXTAFTER(batch_summary[[#This Row],[video]],"_",1),"_",1)</f>
        <v>20260328</v>
      </c>
      <c r="AK791" s="1" t="str">
        <f>_xlfn.TEXTBEFORE(_xlfn.TEXTAFTER(batch_summary[[#This Row],[video]],"_",2),".",1)</f>
        <v>140000</v>
      </c>
    </row>
    <row r="792" spans="1:37" x14ac:dyDescent="0.2">
      <c r="A792" s="1" t="s">
        <v>1399</v>
      </c>
      <c r="B792" s="1" t="s">
        <v>1400</v>
      </c>
      <c r="C792">
        <v>119.95833333333333</v>
      </c>
      <c r="D792">
        <v>2879</v>
      </c>
      <c r="E792">
        <v>0.32176126353442669</v>
      </c>
      <c r="F792">
        <v>44.592713361606002</v>
      </c>
      <c r="G792">
        <v>1.1176146701438927E-4</v>
      </c>
      <c r="H792">
        <v>1.5488959139147621E-2</v>
      </c>
      <c r="I792">
        <v>5</v>
      </c>
      <c r="J792" t="b">
        <v>1</v>
      </c>
      <c r="K792">
        <v>0.65</v>
      </c>
      <c r="L792">
        <v>1.3</v>
      </c>
      <c r="M792" t="b">
        <v>1</v>
      </c>
      <c r="N792">
        <v>200</v>
      </c>
      <c r="O792" t="b">
        <v>0</v>
      </c>
      <c r="P792" t="b">
        <v>0</v>
      </c>
      <c r="Q792">
        <v>0.7</v>
      </c>
      <c r="R792">
        <v>6566367.0649371147</v>
      </c>
      <c r="S792">
        <v>5944031.3948308229</v>
      </c>
      <c r="T792">
        <v>5559891.2897509933</v>
      </c>
      <c r="U792">
        <v>4948352.7175233364</v>
      </c>
      <c r="V792">
        <v>12510398.459767938</v>
      </c>
      <c r="W792">
        <v>10508244.00727433</v>
      </c>
      <c r="X792">
        <v>104289.53214117073</v>
      </c>
      <c r="Y792">
        <v>87599.11642048764</v>
      </c>
      <c r="Z792">
        <v>3921.2710954856875</v>
      </c>
      <c r="AA792">
        <v>2627.0610018185826</v>
      </c>
      <c r="AB792">
        <v>55598.91289750993</v>
      </c>
      <c r="AC792">
        <v>49483.527175233365</v>
      </c>
      <c r="AD792">
        <v>105082.44007274329</v>
      </c>
      <c r="AE792">
        <v>1.1905317816285592</v>
      </c>
      <c r="AF792" s="1" t="s">
        <v>1401</v>
      </c>
      <c r="AG792" s="1" t="s">
        <v>1402</v>
      </c>
      <c r="AH792" s="1" t="s">
        <v>1403</v>
      </c>
      <c r="AI792" s="1" t="str">
        <f>_xlfn.TEXTAFTER(_xlfn.TEXTBEFORE(batch_summary[[#This Row],[video]],"_",1),"-",3)</f>
        <v>20</v>
      </c>
      <c r="AJ792" s="1" t="str">
        <f>_xlfn.TEXTBEFORE(_xlfn.TEXTAFTER(batch_summary[[#This Row],[video]],"_",1),"_",1)</f>
        <v>20260328</v>
      </c>
      <c r="AK792" s="1" t="str">
        <f>_xlfn.TEXTBEFORE(_xlfn.TEXTAFTER(batch_summary[[#This Row],[video]],"_",2),".",1)</f>
        <v>150000</v>
      </c>
    </row>
    <row r="793" spans="1:37" x14ac:dyDescent="0.2">
      <c r="A793" s="1" t="s">
        <v>1404</v>
      </c>
      <c r="B793" s="1" t="s">
        <v>1405</v>
      </c>
      <c r="C793">
        <v>119.95833333333333</v>
      </c>
      <c r="D793">
        <v>2879</v>
      </c>
      <c r="E793">
        <v>0.30103565473109484</v>
      </c>
      <c r="F793">
        <v>44.489653744734824</v>
      </c>
      <c r="G793">
        <v>1.0456257545366267E-4</v>
      </c>
      <c r="H793">
        <v>1.5453162120435853E-2</v>
      </c>
      <c r="I793">
        <v>5</v>
      </c>
      <c r="J793" t="b">
        <v>1</v>
      </c>
      <c r="K793">
        <v>0.65</v>
      </c>
      <c r="L793">
        <v>1.3</v>
      </c>
      <c r="M793" t="b">
        <v>1</v>
      </c>
      <c r="N793">
        <v>200</v>
      </c>
      <c r="O793" t="b">
        <v>0</v>
      </c>
      <c r="P793" t="b">
        <v>0</v>
      </c>
      <c r="Q793">
        <v>0.7</v>
      </c>
      <c r="R793">
        <v>11024450.01268661</v>
      </c>
      <c r="S793">
        <v>11297623.619781494</v>
      </c>
      <c r="T793">
        <v>10030148.662429035</v>
      </c>
      <c r="U793">
        <v>10225997.855541408</v>
      </c>
      <c r="V793">
        <v>22322073.632468104</v>
      </c>
      <c r="W793">
        <v>20256146.517970443</v>
      </c>
      <c r="X793">
        <v>186081.89203863652</v>
      </c>
      <c r="Y793">
        <v>168859.85287644691</v>
      </c>
      <c r="Z793">
        <v>8612.8433138322835</v>
      </c>
      <c r="AA793">
        <v>5064.0366294926107</v>
      </c>
      <c r="AB793">
        <v>100301.48662429035</v>
      </c>
      <c r="AC793">
        <v>102259.97855541408</v>
      </c>
      <c r="AD793">
        <v>202561.46517970442</v>
      </c>
      <c r="AE793">
        <v>1.101990134829685</v>
      </c>
      <c r="AF793" s="1" t="s">
        <v>1406</v>
      </c>
      <c r="AG793" s="1" t="s">
        <v>1407</v>
      </c>
      <c r="AH793" s="1" t="s">
        <v>1408</v>
      </c>
      <c r="AI793" s="1" t="str">
        <f>_xlfn.TEXTAFTER(_xlfn.TEXTBEFORE(batch_summary[[#This Row],[video]],"_",1),"-",3)</f>
        <v>20</v>
      </c>
      <c r="AJ793" s="1" t="str">
        <f>_xlfn.TEXTBEFORE(_xlfn.TEXTAFTER(batch_summary[[#This Row],[video]],"_",1),"_",1)</f>
        <v>20260328</v>
      </c>
      <c r="AK793" s="1" t="str">
        <f>_xlfn.TEXTBEFORE(_xlfn.TEXTAFTER(batch_summary[[#This Row],[video]],"_",2),".",1)</f>
        <v>160000</v>
      </c>
    </row>
    <row r="794" spans="1:37" x14ac:dyDescent="0.2">
      <c r="A794" s="1" t="s">
        <v>1409</v>
      </c>
      <c r="B794" s="1" t="s">
        <v>1410</v>
      </c>
      <c r="C794">
        <v>119.95833333333333</v>
      </c>
      <c r="D794">
        <v>2879</v>
      </c>
      <c r="E794">
        <v>0.31869116146117449</v>
      </c>
      <c r="F794">
        <v>44.47327371686697</v>
      </c>
      <c r="G794">
        <v>1.1069508907994945E-4</v>
      </c>
      <c r="H794">
        <v>1.5447472635243825E-2</v>
      </c>
      <c r="I794">
        <v>5</v>
      </c>
      <c r="J794" t="b">
        <v>1</v>
      </c>
      <c r="K794">
        <v>0.65</v>
      </c>
      <c r="L794">
        <v>1.3</v>
      </c>
      <c r="M794" t="b">
        <v>1</v>
      </c>
      <c r="N794">
        <v>200</v>
      </c>
      <c r="O794" t="b">
        <v>0</v>
      </c>
      <c r="P794" t="b">
        <v>0</v>
      </c>
      <c r="Q794">
        <v>0.7</v>
      </c>
      <c r="R794">
        <v>9568105.6138134003</v>
      </c>
      <c r="S794">
        <v>9028563.2964699864</v>
      </c>
      <c r="T794">
        <v>8629903.9638849497</v>
      </c>
      <c r="U794">
        <v>8087630.9109162092</v>
      </c>
      <c r="V794">
        <v>18596668.910283387</v>
      </c>
      <c r="W794">
        <v>16717534.874801159</v>
      </c>
      <c r="X794">
        <v>155026.06941535301</v>
      </c>
      <c r="Y794">
        <v>139361.17992192699</v>
      </c>
      <c r="Z794">
        <v>8441.3955770874018</v>
      </c>
      <c r="AA794">
        <v>4179.3837187002891</v>
      </c>
      <c r="AB794">
        <v>86299.039638849499</v>
      </c>
      <c r="AC794">
        <v>80876.309109162088</v>
      </c>
      <c r="AD794">
        <v>167175.34874801157</v>
      </c>
      <c r="AE794">
        <v>1.1124049717590063</v>
      </c>
      <c r="AF794" s="1" t="s">
        <v>1411</v>
      </c>
      <c r="AG794" s="1" t="s">
        <v>1412</v>
      </c>
      <c r="AH794" s="1" t="s">
        <v>1413</v>
      </c>
      <c r="AI794" s="1" t="str">
        <f>_xlfn.TEXTAFTER(_xlfn.TEXTBEFORE(batch_summary[[#This Row],[video]],"_",1),"-",3)</f>
        <v>20</v>
      </c>
      <c r="AJ794" s="1" t="str">
        <f>_xlfn.TEXTBEFORE(_xlfn.TEXTAFTER(batch_summary[[#This Row],[video]],"_",1),"_",1)</f>
        <v>20260328</v>
      </c>
      <c r="AK794" s="1" t="str">
        <f>_xlfn.TEXTBEFORE(_xlfn.TEXTAFTER(batch_summary[[#This Row],[video]],"_",2),".",1)</f>
        <v>170000</v>
      </c>
    </row>
    <row r="795" spans="1:37" x14ac:dyDescent="0.2">
      <c r="A795" s="1" t="s">
        <v>1414</v>
      </c>
      <c r="B795" s="1" t="s">
        <v>1415</v>
      </c>
      <c r="C795">
        <v>119.95833333333333</v>
      </c>
      <c r="D795">
        <v>2879</v>
      </c>
      <c r="E795">
        <v>0.35027214139699936</v>
      </c>
      <c r="F795">
        <v>45.205409941263497</v>
      </c>
      <c r="G795">
        <v>1.2166451594199352E-4</v>
      </c>
      <c r="H795">
        <v>1.5701774901446162E-2</v>
      </c>
      <c r="I795">
        <v>5</v>
      </c>
      <c r="J795" t="b">
        <v>1</v>
      </c>
      <c r="K795">
        <v>0.65</v>
      </c>
      <c r="L795">
        <v>1.3</v>
      </c>
      <c r="M795" t="b">
        <v>1</v>
      </c>
      <c r="N795">
        <v>200</v>
      </c>
      <c r="O795" t="b">
        <v>0</v>
      </c>
      <c r="P795" t="b">
        <v>0</v>
      </c>
      <c r="Q795">
        <v>0.7</v>
      </c>
      <c r="R795">
        <v>2970858.0226424932</v>
      </c>
      <c r="S795">
        <v>2299414.5590600967</v>
      </c>
      <c r="T795">
        <v>2612527.0402632356</v>
      </c>
      <c r="U795">
        <v>1952709.3733465672</v>
      </c>
      <c r="V795">
        <v>5270272.58170259</v>
      </c>
      <c r="W795">
        <v>4565236.4136098027</v>
      </c>
      <c r="X795">
        <v>43934.193109017775</v>
      </c>
      <c r="Y795">
        <v>38056.850964444347</v>
      </c>
      <c r="Z795">
        <v>4379.223543329239</v>
      </c>
      <c r="AA795">
        <v>1141.3091034024505</v>
      </c>
      <c r="AB795">
        <v>26125.270402632355</v>
      </c>
      <c r="AC795">
        <v>19527.09373346567</v>
      </c>
      <c r="AD795">
        <v>45652.364136098025</v>
      </c>
      <c r="AE795">
        <v>1.1544358504613137</v>
      </c>
      <c r="AF795" s="1" t="s">
        <v>1416</v>
      </c>
      <c r="AG795" s="1" t="s">
        <v>1417</v>
      </c>
      <c r="AH795" s="1" t="s">
        <v>1418</v>
      </c>
      <c r="AI795" s="1" t="str">
        <f>_xlfn.TEXTAFTER(_xlfn.TEXTBEFORE(batch_summary[[#This Row],[video]],"_",1),"-",3)</f>
        <v>20</v>
      </c>
      <c r="AJ795" s="1" t="str">
        <f>_xlfn.TEXTBEFORE(_xlfn.TEXTAFTER(batch_summary[[#This Row],[video]],"_",1),"_",1)</f>
        <v>20260328</v>
      </c>
      <c r="AK795" s="1" t="str">
        <f>_xlfn.TEXTBEFORE(_xlfn.TEXTAFTER(batch_summary[[#This Row],[video]],"_",2),".",1)</f>
        <v>180000</v>
      </c>
    </row>
    <row r="796" spans="1:37" x14ac:dyDescent="0.2">
      <c r="A796" s="1" t="s">
        <v>1419</v>
      </c>
      <c r="B796" s="1" t="s">
        <v>1420</v>
      </c>
      <c r="C796">
        <v>119.95833333333333</v>
      </c>
      <c r="D796">
        <v>2879</v>
      </c>
      <c r="E796">
        <v>0.33880045730620623</v>
      </c>
      <c r="F796">
        <v>44.081245054490864</v>
      </c>
      <c r="G796">
        <v>1.1767990875519494E-4</v>
      </c>
      <c r="H796">
        <v>1.5311304291243787E-2</v>
      </c>
      <c r="I796">
        <v>5</v>
      </c>
      <c r="J796" t="b">
        <v>1</v>
      </c>
      <c r="K796">
        <v>0.65</v>
      </c>
      <c r="L796">
        <v>1.3</v>
      </c>
      <c r="M796" t="b">
        <v>1</v>
      </c>
      <c r="N796">
        <v>200</v>
      </c>
      <c r="O796" t="b">
        <v>0</v>
      </c>
      <c r="P796" t="b">
        <v>0</v>
      </c>
      <c r="Q796">
        <v>0.7</v>
      </c>
      <c r="R796">
        <v>31892.017075419426</v>
      </c>
      <c r="S796">
        <v>40022.774040520191</v>
      </c>
      <c r="T796">
        <v>1455.1144866943359</v>
      </c>
      <c r="U796">
        <v>0</v>
      </c>
      <c r="V796">
        <v>71914.791115939617</v>
      </c>
      <c r="W796">
        <v>1455.1144866943359</v>
      </c>
      <c r="X796">
        <v>599.49808502346332</v>
      </c>
      <c r="Y796">
        <v>12.130165918952436</v>
      </c>
      <c r="Z796">
        <v>5.2106158447265623</v>
      </c>
      <c r="AA796">
        <v>0.36377862167358399</v>
      </c>
      <c r="AB796">
        <v>14.551144866943359</v>
      </c>
      <c r="AC796">
        <v>0</v>
      </c>
      <c r="AD796">
        <v>14.551144866943359</v>
      </c>
      <c r="AE796">
        <v>49.422084498184347</v>
      </c>
      <c r="AF796" s="1" t="s">
        <v>1421</v>
      </c>
      <c r="AG796" s="1" t="s">
        <v>1422</v>
      </c>
      <c r="AH796" s="1" t="s">
        <v>1423</v>
      </c>
      <c r="AI796" s="1" t="str">
        <f>_xlfn.TEXTAFTER(_xlfn.TEXTBEFORE(batch_summary[[#This Row],[video]],"_",1),"-",3)</f>
        <v>20</v>
      </c>
      <c r="AJ796" s="1" t="str">
        <f>_xlfn.TEXTBEFORE(_xlfn.TEXTAFTER(batch_summary[[#This Row],[video]],"_",1),"_",1)</f>
        <v>20260328</v>
      </c>
      <c r="AK796" s="1" t="str">
        <f>_xlfn.TEXTBEFORE(_xlfn.TEXTAFTER(batch_summary[[#This Row],[video]],"_",2),".",1)</f>
        <v>190000</v>
      </c>
    </row>
    <row r="797" spans="1:37" x14ac:dyDescent="0.2">
      <c r="A797" s="1" t="s">
        <v>1424</v>
      </c>
      <c r="B797" s="1" t="s">
        <v>1425</v>
      </c>
      <c r="C797">
        <v>119.95833333333333</v>
      </c>
      <c r="D797">
        <v>2879</v>
      </c>
      <c r="E797">
        <v>0.35176313109695911</v>
      </c>
      <c r="F797">
        <v>44.464641831815243</v>
      </c>
      <c r="G797">
        <v>1.2218240051995802E-4</v>
      </c>
      <c r="H797">
        <v>1.5444474411884419E-2</v>
      </c>
      <c r="I797">
        <v>5</v>
      </c>
      <c r="J797" t="b">
        <v>1</v>
      </c>
      <c r="K797">
        <v>0.65</v>
      </c>
      <c r="L797">
        <v>1.3</v>
      </c>
      <c r="M797" t="b">
        <v>1</v>
      </c>
      <c r="N797">
        <v>200</v>
      </c>
      <c r="O797" t="b">
        <v>0</v>
      </c>
      <c r="P797" t="b">
        <v>0</v>
      </c>
      <c r="Q797">
        <v>0.7</v>
      </c>
      <c r="R797">
        <v>123922.92030209303</v>
      </c>
      <c r="S797">
        <v>110342.41498309374</v>
      </c>
      <c r="T797">
        <v>8252.0650787353516</v>
      </c>
      <c r="U797">
        <v>4465.9488525390625</v>
      </c>
      <c r="V797">
        <v>234265.33528518677</v>
      </c>
      <c r="W797">
        <v>12718.013931274414</v>
      </c>
      <c r="X797">
        <v>1952.8892139091638</v>
      </c>
      <c r="Y797">
        <v>106.02026201826536</v>
      </c>
      <c r="Z797">
        <v>21.429125976562499</v>
      </c>
      <c r="AA797">
        <v>3.1795034828186037</v>
      </c>
      <c r="AB797">
        <v>82.520650787353517</v>
      </c>
      <c r="AC797">
        <v>44.659488525390628</v>
      </c>
      <c r="AD797">
        <v>127.18013931274415</v>
      </c>
      <c r="AE797">
        <v>18.419962153769408</v>
      </c>
      <c r="AF797" s="1" t="s">
        <v>1426</v>
      </c>
      <c r="AG797" s="1" t="s">
        <v>1427</v>
      </c>
      <c r="AH797" s="1" t="s">
        <v>1428</v>
      </c>
      <c r="AI797" s="1" t="str">
        <f>_xlfn.TEXTAFTER(_xlfn.TEXTBEFORE(batch_summary[[#This Row],[video]],"_",1),"-",3)</f>
        <v>20</v>
      </c>
      <c r="AJ797" s="1" t="str">
        <f>_xlfn.TEXTBEFORE(_xlfn.TEXTAFTER(batch_summary[[#This Row],[video]],"_",1),"_",1)</f>
        <v>20260329</v>
      </c>
      <c r="AK797" s="1" t="str">
        <f>_xlfn.TEXTBEFORE(_xlfn.TEXTAFTER(batch_summary[[#This Row],[video]],"_",2),".",1)</f>
        <v>060000</v>
      </c>
    </row>
    <row r="798" spans="1:37" x14ac:dyDescent="0.2">
      <c r="A798" s="1" t="s">
        <v>1429</v>
      </c>
      <c r="B798" s="1" t="s">
        <v>1430</v>
      </c>
      <c r="C798">
        <v>119.95833333333333</v>
      </c>
      <c r="D798">
        <v>2879</v>
      </c>
      <c r="E798">
        <v>0.3475017873570323</v>
      </c>
      <c r="F798">
        <v>44.122550719417632</v>
      </c>
      <c r="G798">
        <v>1.2070225333693376E-4</v>
      </c>
      <c r="H798">
        <v>1.5325651517685874E-2</v>
      </c>
      <c r="I798">
        <v>5</v>
      </c>
      <c r="J798" t="b">
        <v>1</v>
      </c>
      <c r="K798">
        <v>0.65</v>
      </c>
      <c r="L798">
        <v>1.3</v>
      </c>
      <c r="M798" t="b">
        <v>1</v>
      </c>
      <c r="N798">
        <v>200</v>
      </c>
      <c r="O798" t="b">
        <v>0</v>
      </c>
      <c r="P798" t="b">
        <v>0</v>
      </c>
      <c r="Q798">
        <v>0.7</v>
      </c>
      <c r="R798">
        <v>384597.54578483105</v>
      </c>
      <c r="S798">
        <v>313580.81740087271</v>
      </c>
      <c r="T798">
        <v>275048.40713214874</v>
      </c>
      <c r="U798">
        <v>194028.53799808025</v>
      </c>
      <c r="V798">
        <v>698178.36318570375</v>
      </c>
      <c r="W798">
        <v>469076.945130229</v>
      </c>
      <c r="X798">
        <v>5820.1739202698473</v>
      </c>
      <c r="Y798">
        <v>3910.3322970217077</v>
      </c>
      <c r="Z798">
        <v>1331.6315436935424</v>
      </c>
      <c r="AA798">
        <v>117.26923628255724</v>
      </c>
      <c r="AB798">
        <v>2750.4840713214876</v>
      </c>
      <c r="AC798">
        <v>1940.2853799808026</v>
      </c>
      <c r="AD798">
        <v>4690.7694513022907</v>
      </c>
      <c r="AE798">
        <v>1.4884090348799166</v>
      </c>
      <c r="AF798" s="1" t="s">
        <v>1431</v>
      </c>
      <c r="AG798" s="1" t="s">
        <v>1432</v>
      </c>
      <c r="AH798" s="1" t="s">
        <v>1433</v>
      </c>
      <c r="AI798" s="1" t="str">
        <f>_xlfn.TEXTAFTER(_xlfn.TEXTBEFORE(batch_summary[[#This Row],[video]],"_",1),"-",3)</f>
        <v>20</v>
      </c>
      <c r="AJ798" s="1" t="str">
        <f>_xlfn.TEXTBEFORE(_xlfn.TEXTAFTER(batch_summary[[#This Row],[video]],"_",1),"_",1)</f>
        <v>20260329</v>
      </c>
      <c r="AK798" s="1" t="str">
        <f>_xlfn.TEXTBEFORE(_xlfn.TEXTAFTER(batch_summary[[#This Row],[video]],"_",2),".",1)</f>
        <v>070000</v>
      </c>
    </row>
    <row r="799" spans="1:37" x14ac:dyDescent="0.2">
      <c r="A799" s="1" t="s">
        <v>1434</v>
      </c>
      <c r="B799" s="1" t="s">
        <v>1435</v>
      </c>
      <c r="C799">
        <v>119.95833333333333</v>
      </c>
      <c r="D799">
        <v>2879</v>
      </c>
      <c r="E799">
        <v>0.33398718014359474</v>
      </c>
      <c r="F799">
        <v>44.345322098582983</v>
      </c>
      <c r="G799">
        <v>1.1600805145661506E-4</v>
      </c>
      <c r="H799">
        <v>1.5403029558382419E-2</v>
      </c>
      <c r="I799">
        <v>5</v>
      </c>
      <c r="J799" t="b">
        <v>1</v>
      </c>
      <c r="K799">
        <v>0.65</v>
      </c>
      <c r="L799">
        <v>1.3</v>
      </c>
      <c r="M799" t="b">
        <v>1</v>
      </c>
      <c r="N799">
        <v>200</v>
      </c>
      <c r="O799" t="b">
        <v>0</v>
      </c>
      <c r="P799" t="b">
        <v>0</v>
      </c>
      <c r="Q799">
        <v>0.7</v>
      </c>
      <c r="R799">
        <v>937749.59848928452</v>
      </c>
      <c r="S799">
        <v>1066074.0936948061</v>
      </c>
      <c r="T799">
        <v>739085.16772550344</v>
      </c>
      <c r="U799">
        <v>852219.12826693058</v>
      </c>
      <c r="V799">
        <v>2003823.6921840906</v>
      </c>
      <c r="W799">
        <v>1591304.295992434</v>
      </c>
      <c r="X799">
        <v>16704.330883090719</v>
      </c>
      <c r="Y799">
        <v>13265.475201048426</v>
      </c>
      <c r="Z799">
        <v>1298.8053645420073</v>
      </c>
      <c r="AA799">
        <v>397.82607399810848</v>
      </c>
      <c r="AB799">
        <v>7390.8516772550347</v>
      </c>
      <c r="AC799">
        <v>8522.191282669306</v>
      </c>
      <c r="AD799">
        <v>15913.04295992434</v>
      </c>
      <c r="AE799">
        <v>1.259233508783048</v>
      </c>
      <c r="AF799" s="1" t="s">
        <v>1436</v>
      </c>
      <c r="AG799" s="1" t="s">
        <v>1437</v>
      </c>
      <c r="AH799" s="1" t="s">
        <v>1438</v>
      </c>
      <c r="AI799" s="1" t="str">
        <f>_xlfn.TEXTAFTER(_xlfn.TEXTBEFORE(batch_summary[[#This Row],[video]],"_",1),"-",3)</f>
        <v>20</v>
      </c>
      <c r="AJ799" s="1" t="str">
        <f>_xlfn.TEXTBEFORE(_xlfn.TEXTAFTER(batch_summary[[#This Row],[video]],"_",1),"_",1)</f>
        <v>20260329</v>
      </c>
      <c r="AK799" s="1" t="str">
        <f>_xlfn.TEXTBEFORE(_xlfn.TEXTAFTER(batch_summary[[#This Row],[video]],"_",2),".",1)</f>
        <v>080000</v>
      </c>
    </row>
    <row r="800" spans="1:37" x14ac:dyDescent="0.2">
      <c r="A800" s="1" t="s">
        <v>1439</v>
      </c>
      <c r="B800" s="1" t="s">
        <v>1440</v>
      </c>
      <c r="C800">
        <v>119.95833333333333</v>
      </c>
      <c r="D800">
        <v>2879</v>
      </c>
      <c r="E800">
        <v>0.34310469217598438</v>
      </c>
      <c r="F800">
        <v>44.974653733894229</v>
      </c>
      <c r="G800">
        <v>1.1917495386453087E-4</v>
      </c>
      <c r="H800">
        <v>1.56216233879452E-2</v>
      </c>
      <c r="I800">
        <v>5</v>
      </c>
      <c r="J800" t="b">
        <v>1</v>
      </c>
      <c r="K800">
        <v>0.65</v>
      </c>
      <c r="L800">
        <v>1.3</v>
      </c>
      <c r="M800" t="b">
        <v>1</v>
      </c>
      <c r="N800">
        <v>200</v>
      </c>
      <c r="O800" t="b">
        <v>0</v>
      </c>
      <c r="P800" t="b">
        <v>0</v>
      </c>
      <c r="Q800">
        <v>0.7</v>
      </c>
      <c r="R800">
        <v>2086010.6541874409</v>
      </c>
      <c r="S800">
        <v>2305687.2761048675</v>
      </c>
      <c r="T800">
        <v>1756564.3196986914</v>
      </c>
      <c r="U800">
        <v>1957320.0001289845</v>
      </c>
      <c r="V800">
        <v>4391697.9302923083</v>
      </c>
      <c r="W800">
        <v>3713884.3198276758</v>
      </c>
      <c r="X800">
        <v>36610.194625569784</v>
      </c>
      <c r="Y800">
        <v>30959.785924232103</v>
      </c>
      <c r="Z800">
        <v>3379.278182396889</v>
      </c>
      <c r="AA800">
        <v>928.47107995691897</v>
      </c>
      <c r="AB800">
        <v>17565.643196986915</v>
      </c>
      <c r="AC800">
        <v>19573.200001289846</v>
      </c>
      <c r="AD800">
        <v>37138.843198276765</v>
      </c>
      <c r="AE800">
        <v>1.1825080029676538</v>
      </c>
      <c r="AF800" s="1" t="s">
        <v>1441</v>
      </c>
      <c r="AG800" s="1" t="s">
        <v>1442</v>
      </c>
      <c r="AH800" s="1" t="s">
        <v>1443</v>
      </c>
      <c r="AI800" s="1" t="str">
        <f>_xlfn.TEXTAFTER(_xlfn.TEXTBEFORE(batch_summary[[#This Row],[video]],"_",1),"-",3)</f>
        <v>20</v>
      </c>
      <c r="AJ800" s="1" t="str">
        <f>_xlfn.TEXTBEFORE(_xlfn.TEXTAFTER(batch_summary[[#This Row],[video]],"_",1),"_",1)</f>
        <v>20260329</v>
      </c>
      <c r="AK800" s="1" t="str">
        <f>_xlfn.TEXTBEFORE(_xlfn.TEXTAFTER(batch_summary[[#This Row],[video]],"_",2),".",1)</f>
        <v>090000</v>
      </c>
    </row>
    <row r="801" spans="1:37" x14ac:dyDescent="0.2">
      <c r="A801" s="1" t="s">
        <v>1444</v>
      </c>
      <c r="B801" s="1" t="s">
        <v>1445</v>
      </c>
      <c r="C801">
        <v>119.95833333333333</v>
      </c>
      <c r="D801">
        <v>2879</v>
      </c>
      <c r="E801">
        <v>0.3023217199370265</v>
      </c>
      <c r="F801">
        <v>44.51183747779578</v>
      </c>
      <c r="G801">
        <v>1.0500928097847395E-4</v>
      </c>
      <c r="H801">
        <v>1.5460867480998881E-2</v>
      </c>
      <c r="I801">
        <v>5</v>
      </c>
      <c r="J801" t="b">
        <v>1</v>
      </c>
      <c r="K801">
        <v>0.65</v>
      </c>
      <c r="L801">
        <v>1.3</v>
      </c>
      <c r="M801" t="b">
        <v>1</v>
      </c>
      <c r="N801">
        <v>200</v>
      </c>
      <c r="O801" t="b">
        <v>0</v>
      </c>
      <c r="P801" t="b">
        <v>0</v>
      </c>
      <c r="Q801">
        <v>0.7</v>
      </c>
      <c r="R801">
        <v>7950549.3740739226</v>
      </c>
      <c r="S801">
        <v>11060354.606833637</v>
      </c>
      <c r="T801">
        <v>7161258.7318759561</v>
      </c>
      <c r="U801">
        <v>10057753.583637893</v>
      </c>
      <c r="V801">
        <v>19010903.980907559</v>
      </c>
      <c r="W801">
        <v>17219012.315513849</v>
      </c>
      <c r="X801">
        <v>158479.22735039299</v>
      </c>
      <c r="Y801">
        <v>143541.61013280042</v>
      </c>
      <c r="Z801">
        <v>7343.8541723632807</v>
      </c>
      <c r="AA801">
        <v>4304.7530788784625</v>
      </c>
      <c r="AB801">
        <v>71612.587318759557</v>
      </c>
      <c r="AC801">
        <v>100577.53583637893</v>
      </c>
      <c r="AD801">
        <v>172190.12315513848</v>
      </c>
      <c r="AE801">
        <v>1.1040647182637338</v>
      </c>
      <c r="AF801" s="1" t="s">
        <v>1446</v>
      </c>
      <c r="AG801" s="1" t="s">
        <v>1447</v>
      </c>
      <c r="AH801" s="1" t="s">
        <v>1448</v>
      </c>
      <c r="AI801" s="1" t="str">
        <f>_xlfn.TEXTAFTER(_xlfn.TEXTBEFORE(batch_summary[[#This Row],[video]],"_",1),"-",3)</f>
        <v>20</v>
      </c>
      <c r="AJ801" s="1" t="str">
        <f>_xlfn.TEXTBEFORE(_xlfn.TEXTAFTER(batch_summary[[#This Row],[video]],"_",1),"_",1)</f>
        <v>20260329</v>
      </c>
      <c r="AK801" s="1" t="str">
        <f>_xlfn.TEXTBEFORE(_xlfn.TEXTAFTER(batch_summary[[#This Row],[video]],"_",2),".",1)</f>
        <v>100000</v>
      </c>
    </row>
    <row r="802" spans="1:37" x14ac:dyDescent="0.2">
      <c r="A802" s="1" t="s">
        <v>1449</v>
      </c>
      <c r="B802" s="1" t="s">
        <v>1450</v>
      </c>
      <c r="C802">
        <v>119.95833333333333</v>
      </c>
      <c r="D802">
        <v>2879</v>
      </c>
      <c r="E802">
        <v>0.29793011583387852</v>
      </c>
      <c r="F802">
        <v>44.520628249272704</v>
      </c>
      <c r="G802">
        <v>1.0348388879259414E-4</v>
      </c>
      <c r="H802">
        <v>1.5463920892418445E-2</v>
      </c>
      <c r="I802">
        <v>5</v>
      </c>
      <c r="J802" t="b">
        <v>1</v>
      </c>
      <c r="K802">
        <v>0.65</v>
      </c>
      <c r="L802">
        <v>1.3</v>
      </c>
      <c r="M802" t="b">
        <v>1</v>
      </c>
      <c r="N802">
        <v>200</v>
      </c>
      <c r="O802" t="b">
        <v>0</v>
      </c>
      <c r="P802" t="b">
        <v>0</v>
      </c>
      <c r="Q802">
        <v>0.7</v>
      </c>
      <c r="R802">
        <v>14117290.756444097</v>
      </c>
      <c r="S802">
        <v>15559820.655134201</v>
      </c>
      <c r="T802">
        <v>13075134.399626791</v>
      </c>
      <c r="U802">
        <v>14371638.158250093</v>
      </c>
      <c r="V802">
        <v>29677111.411578298</v>
      </c>
      <c r="W802">
        <v>27446772.557876885</v>
      </c>
      <c r="X802">
        <v>247395.16286136824</v>
      </c>
      <c r="Y802">
        <v>228802.5499788278</v>
      </c>
      <c r="Z802">
        <v>10778.688151855469</v>
      </c>
      <c r="AA802">
        <v>6861.6931394692201</v>
      </c>
      <c r="AB802">
        <v>130751.34399626791</v>
      </c>
      <c r="AC802">
        <v>143716.38158250094</v>
      </c>
      <c r="AD802">
        <v>274467.72557876888</v>
      </c>
      <c r="AE802">
        <v>1.0812605142917371</v>
      </c>
      <c r="AF802" s="1" t="s">
        <v>1451</v>
      </c>
      <c r="AG802" s="1" t="s">
        <v>1452</v>
      </c>
      <c r="AH802" s="1" t="s">
        <v>1453</v>
      </c>
      <c r="AI802" s="1" t="str">
        <f>_xlfn.TEXTAFTER(_xlfn.TEXTBEFORE(batch_summary[[#This Row],[video]],"_",1),"-",3)</f>
        <v>20</v>
      </c>
      <c r="AJ802" s="1" t="str">
        <f>_xlfn.TEXTBEFORE(_xlfn.TEXTAFTER(batch_summary[[#This Row],[video]],"_",1),"_",1)</f>
        <v>20260329</v>
      </c>
      <c r="AK802" s="1" t="str">
        <f>_xlfn.TEXTBEFORE(_xlfn.TEXTAFTER(batch_summary[[#This Row],[video]],"_",2),".",1)</f>
        <v>110000</v>
      </c>
    </row>
    <row r="803" spans="1:37" x14ac:dyDescent="0.2">
      <c r="A803" s="1" t="s">
        <v>1454</v>
      </c>
      <c r="B803" s="1" t="s">
        <v>1455</v>
      </c>
      <c r="C803">
        <v>119.95833333333333</v>
      </c>
      <c r="D803">
        <v>2879</v>
      </c>
      <c r="E803">
        <v>0.29451028816401958</v>
      </c>
      <c r="F803">
        <v>44.016218593344092</v>
      </c>
      <c r="G803">
        <v>1.0229603618062508E-4</v>
      </c>
      <c r="H803">
        <v>1.5288717816375162E-2</v>
      </c>
      <c r="I803">
        <v>5</v>
      </c>
      <c r="J803" t="b">
        <v>1</v>
      </c>
      <c r="K803">
        <v>0.65</v>
      </c>
      <c r="L803">
        <v>1.3</v>
      </c>
      <c r="M803" t="b">
        <v>1</v>
      </c>
      <c r="N803">
        <v>200</v>
      </c>
      <c r="O803" t="b">
        <v>0</v>
      </c>
      <c r="P803" t="b">
        <v>0</v>
      </c>
      <c r="Q803">
        <v>0.7</v>
      </c>
      <c r="R803">
        <v>16239369.889221668</v>
      </c>
      <c r="S803">
        <v>17942462.240513802</v>
      </c>
      <c r="T803">
        <v>15137750.977963448</v>
      </c>
      <c r="U803">
        <v>16691908.195713401</v>
      </c>
      <c r="V803">
        <v>34181832.12973547</v>
      </c>
      <c r="W803">
        <v>31829659.173676848</v>
      </c>
      <c r="X803">
        <v>284947.54119960102</v>
      </c>
      <c r="Y803">
        <v>265339.29147907067</v>
      </c>
      <c r="Z803">
        <v>12353.431274414062</v>
      </c>
      <c r="AA803">
        <v>7957.4147934192124</v>
      </c>
      <c r="AB803">
        <v>151377.50977963448</v>
      </c>
      <c r="AC803">
        <v>166919.08195713401</v>
      </c>
      <c r="AD803">
        <v>318296.59173676849</v>
      </c>
      <c r="AE803">
        <v>1.0738987792242485</v>
      </c>
      <c r="AF803" s="1" t="s">
        <v>1456</v>
      </c>
      <c r="AG803" s="1" t="s">
        <v>1457</v>
      </c>
      <c r="AH803" s="1" t="s">
        <v>1458</v>
      </c>
      <c r="AI803" s="1" t="str">
        <f>_xlfn.TEXTAFTER(_xlfn.TEXTBEFORE(batch_summary[[#This Row],[video]],"_",1),"-",3)</f>
        <v>20</v>
      </c>
      <c r="AJ803" s="1" t="str">
        <f>_xlfn.TEXTBEFORE(_xlfn.TEXTAFTER(batch_summary[[#This Row],[video]],"_",1),"_",1)</f>
        <v>20260329</v>
      </c>
      <c r="AK803" s="1" t="str">
        <f>_xlfn.TEXTBEFORE(_xlfn.TEXTAFTER(batch_summary[[#This Row],[video]],"_",2),".",1)</f>
        <v>120000</v>
      </c>
    </row>
    <row r="804" spans="1:37" x14ac:dyDescent="0.2">
      <c r="A804" s="1" t="s">
        <v>1459</v>
      </c>
      <c r="B804" s="1" t="s">
        <v>1460</v>
      </c>
      <c r="C804">
        <v>119.95833333333333</v>
      </c>
      <c r="D804">
        <v>2879</v>
      </c>
      <c r="E804">
        <v>0.27913279365748167</v>
      </c>
      <c r="F804">
        <v>43.38488373439759</v>
      </c>
      <c r="G804">
        <v>9.6954773760848099E-5</v>
      </c>
      <c r="H804">
        <v>1.5069428181451057E-2</v>
      </c>
      <c r="I804">
        <v>5</v>
      </c>
      <c r="J804" t="b">
        <v>1</v>
      </c>
      <c r="K804">
        <v>0.65</v>
      </c>
      <c r="L804">
        <v>1.3</v>
      </c>
      <c r="M804" t="b">
        <v>1</v>
      </c>
      <c r="N804">
        <v>200</v>
      </c>
      <c r="O804" t="b">
        <v>0</v>
      </c>
      <c r="P804" t="b">
        <v>0</v>
      </c>
      <c r="Q804">
        <v>0.7</v>
      </c>
      <c r="R804">
        <v>23374669.819561958</v>
      </c>
      <c r="S804">
        <v>23144137.521512985</v>
      </c>
      <c r="T804">
        <v>22279500.591016531</v>
      </c>
      <c r="U804">
        <v>21910999.415032148</v>
      </c>
      <c r="V804">
        <v>46518807.341074944</v>
      </c>
      <c r="W804">
        <v>44190500.006048679</v>
      </c>
      <c r="X804">
        <v>387791.37762618921</v>
      </c>
      <c r="Y804">
        <v>368382.07716053084</v>
      </c>
      <c r="Z804">
        <v>14393.702600708008</v>
      </c>
      <c r="AA804">
        <v>11047.62500151217</v>
      </c>
      <c r="AB804">
        <v>222795.00591016532</v>
      </c>
      <c r="AC804">
        <v>219109.99415032149</v>
      </c>
      <c r="AD804">
        <v>441905.00006048684</v>
      </c>
      <c r="AE804">
        <v>1.0526879608673261</v>
      </c>
      <c r="AF804" s="1" t="s">
        <v>1461</v>
      </c>
      <c r="AG804" s="1" t="s">
        <v>1462</v>
      </c>
      <c r="AH804" s="1" t="s">
        <v>1463</v>
      </c>
      <c r="AI804" s="1" t="str">
        <f>_xlfn.TEXTAFTER(_xlfn.TEXTBEFORE(batch_summary[[#This Row],[video]],"_",1),"-",3)</f>
        <v>20</v>
      </c>
      <c r="AJ804" s="1" t="str">
        <f>_xlfn.TEXTBEFORE(_xlfn.TEXTAFTER(batch_summary[[#This Row],[video]],"_",1),"_",1)</f>
        <v>20260329</v>
      </c>
      <c r="AK804" s="1" t="str">
        <f>_xlfn.TEXTBEFORE(_xlfn.TEXTAFTER(batch_summary[[#This Row],[video]],"_",2),".",1)</f>
        <v>130000</v>
      </c>
    </row>
    <row r="805" spans="1:37" x14ac:dyDescent="0.2">
      <c r="A805" s="1" t="s">
        <v>1464</v>
      </c>
      <c r="B805" s="1" t="s">
        <v>1465</v>
      </c>
      <c r="C805">
        <v>119.95833333333333</v>
      </c>
      <c r="D805">
        <v>2879</v>
      </c>
      <c r="E805">
        <v>0.3031811723485589</v>
      </c>
      <c r="F805">
        <v>44.14441336132586</v>
      </c>
      <c r="G805">
        <v>1.0530780560908611E-4</v>
      </c>
      <c r="H805">
        <v>1.5333245349540069E-2</v>
      </c>
      <c r="I805">
        <v>5</v>
      </c>
      <c r="J805" t="b">
        <v>1</v>
      </c>
      <c r="K805">
        <v>0.65</v>
      </c>
      <c r="L805">
        <v>1.3</v>
      </c>
      <c r="M805" t="b">
        <v>1</v>
      </c>
      <c r="N805">
        <v>200</v>
      </c>
      <c r="O805" t="b">
        <v>0</v>
      </c>
      <c r="P805" t="b">
        <v>0</v>
      </c>
      <c r="Q805">
        <v>0.7</v>
      </c>
      <c r="R805">
        <v>20429252.226133943</v>
      </c>
      <c r="S805">
        <v>17310180.262389898</v>
      </c>
      <c r="T805">
        <v>19243477.926032364</v>
      </c>
      <c r="U805">
        <v>16105267.959967613</v>
      </c>
      <c r="V805">
        <v>37739432.488523841</v>
      </c>
      <c r="W805">
        <v>35348745.885999978</v>
      </c>
      <c r="X805">
        <v>314604.50841423142</v>
      </c>
      <c r="Y805">
        <v>294675.2001611669</v>
      </c>
      <c r="Z805">
        <v>12867.886842651365</v>
      </c>
      <c r="AA805">
        <v>8837.1864714999938</v>
      </c>
      <c r="AB805">
        <v>192434.77926032364</v>
      </c>
      <c r="AC805">
        <v>161052.67959967614</v>
      </c>
      <c r="AD805">
        <v>353487.45885999978</v>
      </c>
      <c r="AE805">
        <v>1.067631440454319</v>
      </c>
      <c r="AF805" s="1" t="s">
        <v>1466</v>
      </c>
      <c r="AG805" s="1" t="s">
        <v>1467</v>
      </c>
      <c r="AH805" s="1" t="s">
        <v>1468</v>
      </c>
      <c r="AI805" s="1" t="str">
        <f>_xlfn.TEXTAFTER(_xlfn.TEXTBEFORE(batch_summary[[#This Row],[video]],"_",1),"-",3)</f>
        <v>20</v>
      </c>
      <c r="AJ805" s="1" t="str">
        <f>_xlfn.TEXTBEFORE(_xlfn.TEXTAFTER(batch_summary[[#This Row],[video]],"_",1),"_",1)</f>
        <v>20260329</v>
      </c>
      <c r="AK805" s="1" t="str">
        <f>_xlfn.TEXTBEFORE(_xlfn.TEXTAFTER(batch_summary[[#This Row],[video]],"_",2),".",1)</f>
        <v>140000</v>
      </c>
    </row>
    <row r="806" spans="1:37" x14ac:dyDescent="0.2">
      <c r="A806" s="1" t="s">
        <v>1469</v>
      </c>
      <c r="B806" s="1" t="s">
        <v>1470</v>
      </c>
      <c r="C806">
        <v>119.95833333333333</v>
      </c>
      <c r="D806">
        <v>2879</v>
      </c>
      <c r="E806">
        <v>0.31036693695932627</v>
      </c>
      <c r="F806">
        <v>44.277789159677923</v>
      </c>
      <c r="G806">
        <v>1.0780372940580974E-4</v>
      </c>
      <c r="H806">
        <v>1.5379572476442487E-2</v>
      </c>
      <c r="I806">
        <v>5</v>
      </c>
      <c r="J806" t="b">
        <v>1</v>
      </c>
      <c r="K806">
        <v>0.65</v>
      </c>
      <c r="L806">
        <v>1.3</v>
      </c>
      <c r="M806" t="b">
        <v>1</v>
      </c>
      <c r="N806">
        <v>200</v>
      </c>
      <c r="O806" t="b">
        <v>0</v>
      </c>
      <c r="P806" t="b">
        <v>0</v>
      </c>
      <c r="Q806">
        <v>0.7</v>
      </c>
      <c r="R806">
        <v>6403684.6845577359</v>
      </c>
      <c r="S806">
        <v>6891650.6740676165</v>
      </c>
      <c r="T806">
        <v>5371675.6818174124</v>
      </c>
      <c r="U806">
        <v>5760485.2204115391</v>
      </c>
      <c r="V806">
        <v>13295335.358625352</v>
      </c>
      <c r="W806">
        <v>11132160.902228951</v>
      </c>
      <c r="X806">
        <v>110832.94498333048</v>
      </c>
      <c r="Y806">
        <v>92800.229820595632</v>
      </c>
      <c r="Z806">
        <v>5385.1467490386967</v>
      </c>
      <c r="AA806">
        <v>2783.040225557238</v>
      </c>
      <c r="AB806">
        <v>53716.756818174123</v>
      </c>
      <c r="AC806">
        <v>57604.852204115392</v>
      </c>
      <c r="AD806">
        <v>111321.60902228951</v>
      </c>
      <c r="AE806">
        <v>1.1943175700921891</v>
      </c>
      <c r="AF806" s="1" t="s">
        <v>1471</v>
      </c>
      <c r="AG806" s="1" t="s">
        <v>1472</v>
      </c>
      <c r="AH806" s="1" t="s">
        <v>1473</v>
      </c>
      <c r="AI806" s="1" t="str">
        <f>_xlfn.TEXTAFTER(_xlfn.TEXTBEFORE(batch_summary[[#This Row],[video]],"_",1),"-",3)</f>
        <v>20</v>
      </c>
      <c r="AJ806" s="1" t="str">
        <f>_xlfn.TEXTBEFORE(_xlfn.TEXTAFTER(batch_summary[[#This Row],[video]],"_",1),"_",1)</f>
        <v>20260329</v>
      </c>
      <c r="AK806" s="1" t="str">
        <f>_xlfn.TEXTBEFORE(_xlfn.TEXTAFTER(batch_summary[[#This Row],[video]],"_",2),".",1)</f>
        <v>150000</v>
      </c>
    </row>
    <row r="807" spans="1:37" x14ac:dyDescent="0.2">
      <c r="A807" s="1" t="s">
        <v>1474</v>
      </c>
      <c r="B807" s="1" t="s">
        <v>1475</v>
      </c>
      <c r="C807">
        <v>119.95833333333333</v>
      </c>
      <c r="D807">
        <v>2879</v>
      </c>
      <c r="E807">
        <v>0.28177137300372124</v>
      </c>
      <c r="F807">
        <v>43.913722547702491</v>
      </c>
      <c r="G807">
        <v>9.787126537121266E-5</v>
      </c>
      <c r="H807">
        <v>1.5253116550087702E-2</v>
      </c>
      <c r="I807">
        <v>5</v>
      </c>
      <c r="J807" t="b">
        <v>1</v>
      </c>
      <c r="K807">
        <v>0.65</v>
      </c>
      <c r="L807">
        <v>1.3</v>
      </c>
      <c r="M807" t="b">
        <v>1</v>
      </c>
      <c r="N807">
        <v>200</v>
      </c>
      <c r="O807" t="b">
        <v>0</v>
      </c>
      <c r="P807" t="b">
        <v>0</v>
      </c>
      <c r="Q807">
        <v>0.7</v>
      </c>
      <c r="R807">
        <v>12110576.957498193</v>
      </c>
      <c r="S807">
        <v>11906609.675008059</v>
      </c>
      <c r="T807">
        <v>11142974.25729692</v>
      </c>
      <c r="U807">
        <v>10898891.332605064</v>
      </c>
      <c r="V807">
        <v>24017186.632506251</v>
      </c>
      <c r="W807">
        <v>22041865.589901984</v>
      </c>
      <c r="X807">
        <v>200212.74025013894</v>
      </c>
      <c r="Y807">
        <v>183746.01394847088</v>
      </c>
      <c r="Z807">
        <v>8779.0914306640625</v>
      </c>
      <c r="AA807">
        <v>5510.4663974754967</v>
      </c>
      <c r="AB807">
        <v>111429.7425729692</v>
      </c>
      <c r="AC807">
        <v>108988.91332605064</v>
      </c>
      <c r="AD807">
        <v>220418.65589901985</v>
      </c>
      <c r="AE807">
        <v>1.0896167810545592</v>
      </c>
      <c r="AF807" s="1" t="s">
        <v>1476</v>
      </c>
      <c r="AG807" s="1" t="s">
        <v>1477</v>
      </c>
      <c r="AH807" s="1" t="s">
        <v>1478</v>
      </c>
      <c r="AI807" s="1" t="str">
        <f>_xlfn.TEXTAFTER(_xlfn.TEXTBEFORE(batch_summary[[#This Row],[video]],"_",1),"-",3)</f>
        <v>20</v>
      </c>
      <c r="AJ807" s="1" t="str">
        <f>_xlfn.TEXTBEFORE(_xlfn.TEXTAFTER(batch_summary[[#This Row],[video]],"_",1),"_",1)</f>
        <v>20260329</v>
      </c>
      <c r="AK807" s="1" t="str">
        <f>_xlfn.TEXTBEFORE(_xlfn.TEXTAFTER(batch_summary[[#This Row],[video]],"_",2),".",1)</f>
        <v>160000</v>
      </c>
    </row>
    <row r="808" spans="1:37" x14ac:dyDescent="0.2">
      <c r="A808" s="1" t="s">
        <v>1479</v>
      </c>
      <c r="B808" s="1" t="s">
        <v>1480</v>
      </c>
      <c r="C808">
        <v>119.95833333333333</v>
      </c>
      <c r="D808">
        <v>2879</v>
      </c>
      <c r="E808">
        <v>0.32688025664538145</v>
      </c>
      <c r="F808">
        <v>44.893470780923963</v>
      </c>
      <c r="G808">
        <v>1.1353951255483898E-4</v>
      </c>
      <c r="H808">
        <v>1.5593425071526211E-2</v>
      </c>
      <c r="I808">
        <v>5</v>
      </c>
      <c r="J808" t="b">
        <v>1</v>
      </c>
      <c r="K808">
        <v>0.65</v>
      </c>
      <c r="L808">
        <v>1.3</v>
      </c>
      <c r="M808" t="b">
        <v>1</v>
      </c>
      <c r="N808">
        <v>200</v>
      </c>
      <c r="O808" t="b">
        <v>0</v>
      </c>
      <c r="P808" t="b">
        <v>0</v>
      </c>
      <c r="Q808">
        <v>0.7</v>
      </c>
      <c r="R808">
        <v>7697162.1898516417</v>
      </c>
      <c r="S808">
        <v>5883248.3603990078</v>
      </c>
      <c r="T808">
        <v>7009670.1253303885</v>
      </c>
      <c r="U808">
        <v>5274719.9858688116</v>
      </c>
      <c r="V808">
        <v>13580410.550250649</v>
      </c>
      <c r="W808">
        <v>12284390.1111992</v>
      </c>
      <c r="X808">
        <v>113209.3967370669</v>
      </c>
      <c r="Y808">
        <v>102405.47504994123</v>
      </c>
      <c r="Z808">
        <v>6784.7699610900881</v>
      </c>
      <c r="AA808">
        <v>3071.0975277997995</v>
      </c>
      <c r="AB808">
        <v>70096.70125330388</v>
      </c>
      <c r="AC808">
        <v>52747.199858688116</v>
      </c>
      <c r="AD808">
        <v>122843.90111199199</v>
      </c>
      <c r="AE808">
        <v>1.1055014068520925</v>
      </c>
      <c r="AF808" s="1" t="s">
        <v>1481</v>
      </c>
      <c r="AG808" s="1" t="s">
        <v>1482</v>
      </c>
      <c r="AH808" s="1" t="s">
        <v>1483</v>
      </c>
      <c r="AI808" s="1" t="str">
        <f>_xlfn.TEXTAFTER(_xlfn.TEXTBEFORE(batch_summary[[#This Row],[video]],"_",1),"-",3)</f>
        <v>20</v>
      </c>
      <c r="AJ808" s="1" t="str">
        <f>_xlfn.TEXTBEFORE(_xlfn.TEXTAFTER(batch_summary[[#This Row],[video]],"_",1),"_",1)</f>
        <v>20260329</v>
      </c>
      <c r="AK808" s="1" t="str">
        <f>_xlfn.TEXTBEFORE(_xlfn.TEXTAFTER(batch_summary[[#This Row],[video]],"_",2),".",1)</f>
        <v>170000</v>
      </c>
    </row>
    <row r="809" spans="1:37" x14ac:dyDescent="0.2">
      <c r="A809" s="1" t="s">
        <v>1484</v>
      </c>
      <c r="B809" s="1" t="s">
        <v>1485</v>
      </c>
      <c r="C809">
        <v>119.95833333333333</v>
      </c>
      <c r="D809">
        <v>2879</v>
      </c>
      <c r="E809">
        <v>0.33432419970631599</v>
      </c>
      <c r="F809">
        <v>44.973927536047995</v>
      </c>
      <c r="G809">
        <v>1.1612511278440987E-4</v>
      </c>
      <c r="H809">
        <v>1.5621371148332059E-2</v>
      </c>
      <c r="I809">
        <v>5</v>
      </c>
      <c r="J809" t="b">
        <v>1</v>
      </c>
      <c r="K809">
        <v>0.65</v>
      </c>
      <c r="L809">
        <v>1.3</v>
      </c>
      <c r="M809" t="b">
        <v>1</v>
      </c>
      <c r="N809">
        <v>200</v>
      </c>
      <c r="O809" t="b">
        <v>0</v>
      </c>
      <c r="P809" t="b">
        <v>0</v>
      </c>
      <c r="Q809">
        <v>0.7</v>
      </c>
      <c r="R809">
        <v>4609622.8459596038</v>
      </c>
      <c r="S809">
        <v>4357272.0130646825</v>
      </c>
      <c r="T809">
        <v>4203538.6845755577</v>
      </c>
      <c r="U809">
        <v>3887960.7287681103</v>
      </c>
      <c r="V809">
        <v>8966894.8590242863</v>
      </c>
      <c r="W809">
        <v>8091499.413343668</v>
      </c>
      <c r="X809">
        <v>74750.078713644631</v>
      </c>
      <c r="Y809">
        <v>67452.582813563058</v>
      </c>
      <c r="Z809">
        <v>4244.2084990692138</v>
      </c>
      <c r="AA809">
        <v>2022.8748533359169</v>
      </c>
      <c r="AB809">
        <v>42035.38684575558</v>
      </c>
      <c r="AC809">
        <v>38879.607287681101</v>
      </c>
      <c r="AD809">
        <v>80914.994133436674</v>
      </c>
      <c r="AE809">
        <v>1.1081870492676558</v>
      </c>
      <c r="AF809" s="1" t="s">
        <v>1486</v>
      </c>
      <c r="AG809" s="1" t="s">
        <v>1487</v>
      </c>
      <c r="AH809" s="1" t="s">
        <v>1488</v>
      </c>
      <c r="AI809" s="1" t="str">
        <f>_xlfn.TEXTAFTER(_xlfn.TEXTBEFORE(batch_summary[[#This Row],[video]],"_",1),"-",3)</f>
        <v>20</v>
      </c>
      <c r="AJ809" s="1" t="str">
        <f>_xlfn.TEXTBEFORE(_xlfn.TEXTAFTER(batch_summary[[#This Row],[video]],"_",1),"_",1)</f>
        <v>20260329</v>
      </c>
      <c r="AK809" s="1" t="str">
        <f>_xlfn.TEXTBEFORE(_xlfn.TEXTAFTER(batch_summary[[#This Row],[video]],"_",2),".",1)</f>
        <v>180000</v>
      </c>
    </row>
    <row r="810" spans="1:37" x14ac:dyDescent="0.2">
      <c r="A810" s="1" t="s">
        <v>1489</v>
      </c>
      <c r="B810" s="1" t="s">
        <v>1490</v>
      </c>
      <c r="C810">
        <v>119.95833333333333</v>
      </c>
      <c r="D810">
        <v>2879</v>
      </c>
      <c r="E810">
        <v>0.34768872614949942</v>
      </c>
      <c r="F810">
        <v>44.352521516382694</v>
      </c>
      <c r="G810">
        <v>1.2076718518565454E-4</v>
      </c>
      <c r="H810">
        <v>1.5405530224516392E-2</v>
      </c>
      <c r="I810">
        <v>5</v>
      </c>
      <c r="J810" t="b">
        <v>1</v>
      </c>
      <c r="K810">
        <v>0.65</v>
      </c>
      <c r="L810">
        <v>1.3</v>
      </c>
      <c r="M810" t="b">
        <v>1</v>
      </c>
      <c r="N810">
        <v>200</v>
      </c>
      <c r="O810" t="b">
        <v>0</v>
      </c>
      <c r="P810" t="b">
        <v>0</v>
      </c>
      <c r="Q810">
        <v>0.7</v>
      </c>
      <c r="R810">
        <v>31723.649694383144</v>
      </c>
      <c r="S810">
        <v>33929.655129015446</v>
      </c>
      <c r="T810">
        <v>485.12762451171875</v>
      </c>
      <c r="U810">
        <v>1052.1322021484375</v>
      </c>
      <c r="V810">
        <v>65653.30482339859</v>
      </c>
      <c r="W810">
        <v>1537.2598266601562</v>
      </c>
      <c r="X810">
        <v>547.30090856601817</v>
      </c>
      <c r="Y810">
        <v>12.814948190289597</v>
      </c>
      <c r="Z810">
        <v>3.1962225341796877</v>
      </c>
      <c r="AA810">
        <v>0.38431495666503901</v>
      </c>
      <c r="AB810">
        <v>4.8512762451171874</v>
      </c>
      <c r="AC810">
        <v>10.521322021484375</v>
      </c>
      <c r="AD810">
        <v>15.372598266601562</v>
      </c>
      <c r="AE810">
        <v>42.708007901329644</v>
      </c>
      <c r="AF810" s="1" t="s">
        <v>1491</v>
      </c>
      <c r="AG810" s="1" t="s">
        <v>1492</v>
      </c>
      <c r="AH810" s="1" t="s">
        <v>1493</v>
      </c>
      <c r="AI810" s="1" t="str">
        <f>_xlfn.TEXTAFTER(_xlfn.TEXTBEFORE(batch_summary[[#This Row],[video]],"_",1),"-",3)</f>
        <v>20</v>
      </c>
      <c r="AJ810" s="1" t="str">
        <f>_xlfn.TEXTBEFORE(_xlfn.TEXTAFTER(batch_summary[[#This Row],[video]],"_",1),"_",1)</f>
        <v>20260329</v>
      </c>
      <c r="AK810" s="1" t="str">
        <f>_xlfn.TEXTBEFORE(_xlfn.TEXTAFTER(batch_summary[[#This Row],[video]],"_",2),".",1)</f>
        <v>190000</v>
      </c>
    </row>
    <row r="811" spans="1:37" x14ac:dyDescent="0.2">
      <c r="A811" s="1" t="s">
        <v>1494</v>
      </c>
      <c r="B811" s="1" t="s">
        <v>1495</v>
      </c>
      <c r="C811">
        <v>119.95833333333333</v>
      </c>
      <c r="D811">
        <v>2879</v>
      </c>
      <c r="E811">
        <v>0.34468667302280664</v>
      </c>
      <c r="F811">
        <v>44.450861991383135</v>
      </c>
      <c r="G811">
        <v>1.1972444356471227E-4</v>
      </c>
      <c r="H811">
        <v>1.5439688083148015E-2</v>
      </c>
      <c r="I811">
        <v>5</v>
      </c>
      <c r="J811" t="b">
        <v>1</v>
      </c>
      <c r="K811">
        <v>0.65</v>
      </c>
      <c r="L811">
        <v>1.3</v>
      </c>
      <c r="M811" t="b">
        <v>1</v>
      </c>
      <c r="N811">
        <v>200</v>
      </c>
      <c r="O811" t="b">
        <v>0</v>
      </c>
      <c r="P811" t="b">
        <v>0</v>
      </c>
      <c r="Q811">
        <v>0.7</v>
      </c>
      <c r="R811">
        <v>221371.31869769096</v>
      </c>
      <c r="S811">
        <v>195897.57936769724</v>
      </c>
      <c r="T811">
        <v>45524.654449462891</v>
      </c>
      <c r="U811">
        <v>30941.186310768127</v>
      </c>
      <c r="V811">
        <v>417268.8980653882</v>
      </c>
      <c r="W811">
        <v>76465.840760231018</v>
      </c>
      <c r="X811">
        <v>3478.4486118684672</v>
      </c>
      <c r="Y811">
        <v>637.43667184631624</v>
      </c>
      <c r="Z811">
        <v>192.70152893066404</v>
      </c>
      <c r="AA811">
        <v>19.116460190057754</v>
      </c>
      <c r="AB811">
        <v>455.24654449462889</v>
      </c>
      <c r="AC811">
        <v>309.41186310768126</v>
      </c>
      <c r="AD811">
        <v>764.65840760231015</v>
      </c>
      <c r="AE811">
        <v>5.4569320616481711</v>
      </c>
      <c r="AF811" s="1" t="s">
        <v>1496</v>
      </c>
      <c r="AG811" s="1" t="s">
        <v>1497</v>
      </c>
      <c r="AH811" s="1" t="s">
        <v>1498</v>
      </c>
      <c r="AI811" s="1" t="str">
        <f>_xlfn.TEXTAFTER(_xlfn.TEXTBEFORE(batch_summary[[#This Row],[video]],"_",1),"-",3)</f>
        <v>20</v>
      </c>
      <c r="AJ811" s="1" t="str">
        <f>_xlfn.TEXTBEFORE(_xlfn.TEXTAFTER(batch_summary[[#This Row],[video]],"_",1),"_",1)</f>
        <v>20260330</v>
      </c>
      <c r="AK811" s="1" t="str">
        <f>_xlfn.TEXTBEFORE(_xlfn.TEXTAFTER(batch_summary[[#This Row],[video]],"_",2),".",1)</f>
        <v>060000</v>
      </c>
    </row>
    <row r="812" spans="1:37" x14ac:dyDescent="0.2">
      <c r="A812" s="1" t="s">
        <v>1499</v>
      </c>
      <c r="B812" s="1" t="s">
        <v>1500</v>
      </c>
      <c r="C812">
        <v>119.95833333333333</v>
      </c>
      <c r="D812">
        <v>2879</v>
      </c>
      <c r="E812">
        <v>0.33000143896788359</v>
      </c>
      <c r="F812">
        <v>43.841273522935808</v>
      </c>
      <c r="G812">
        <v>1.1462363284747606E-4</v>
      </c>
      <c r="H812">
        <v>1.5227951900984997E-2</v>
      </c>
      <c r="I812">
        <v>5</v>
      </c>
      <c r="J812" t="b">
        <v>1</v>
      </c>
      <c r="K812">
        <v>0.65</v>
      </c>
      <c r="L812">
        <v>1.3</v>
      </c>
      <c r="M812" t="b">
        <v>1</v>
      </c>
      <c r="N812">
        <v>200</v>
      </c>
      <c r="O812" t="b">
        <v>0</v>
      </c>
      <c r="P812" t="b">
        <v>0</v>
      </c>
      <c r="Q812">
        <v>0.7</v>
      </c>
      <c r="R812">
        <v>128316.72717529535</v>
      </c>
      <c r="S812">
        <v>130288.01052749157</v>
      </c>
      <c r="T812">
        <v>57248.077651977539</v>
      </c>
      <c r="U812">
        <v>63190.97102355957</v>
      </c>
      <c r="V812">
        <v>258604.73770278692</v>
      </c>
      <c r="W812">
        <v>120439.04867553711</v>
      </c>
      <c r="X812">
        <v>2155.7880183629336</v>
      </c>
      <c r="Y812">
        <v>1004.0073526269158</v>
      </c>
      <c r="Z812">
        <v>266.84496810913083</v>
      </c>
      <c r="AA812">
        <v>30.109762168884277</v>
      </c>
      <c r="AB812">
        <v>572.48077651977542</v>
      </c>
      <c r="AC812">
        <v>631.90971023559575</v>
      </c>
      <c r="AD812">
        <v>1204.3904867553711</v>
      </c>
      <c r="AE812">
        <v>2.1471834969360168</v>
      </c>
      <c r="AF812" s="1" t="s">
        <v>1501</v>
      </c>
      <c r="AG812" s="1" t="s">
        <v>1502</v>
      </c>
      <c r="AH812" s="1" t="s">
        <v>1503</v>
      </c>
      <c r="AI812" s="1" t="str">
        <f>_xlfn.TEXTAFTER(_xlfn.TEXTBEFORE(batch_summary[[#This Row],[video]],"_",1),"-",3)</f>
        <v>20</v>
      </c>
      <c r="AJ812" s="1" t="str">
        <f>_xlfn.TEXTBEFORE(_xlfn.TEXTAFTER(batch_summary[[#This Row],[video]],"_",1),"_",1)</f>
        <v>20260330</v>
      </c>
      <c r="AK812" s="1" t="str">
        <f>_xlfn.TEXTBEFORE(_xlfn.TEXTAFTER(batch_summary[[#This Row],[video]],"_",2),".",1)</f>
        <v>070000</v>
      </c>
    </row>
    <row r="813" spans="1:37" x14ac:dyDescent="0.2">
      <c r="A813" s="1" t="s">
        <v>1504</v>
      </c>
      <c r="B813" s="1" t="s">
        <v>1505</v>
      </c>
      <c r="C813">
        <v>119.95833333333333</v>
      </c>
      <c r="D813">
        <v>2879</v>
      </c>
      <c r="E813">
        <v>0.33403917774558067</v>
      </c>
      <c r="F813">
        <v>44.262787851504982</v>
      </c>
      <c r="G813">
        <v>1.1602611245070534E-4</v>
      </c>
      <c r="H813">
        <v>1.5374361879647441E-2</v>
      </c>
      <c r="I813">
        <v>5</v>
      </c>
      <c r="J813" t="b">
        <v>1</v>
      </c>
      <c r="K813">
        <v>0.65</v>
      </c>
      <c r="L813">
        <v>1.3</v>
      </c>
      <c r="M813" t="b">
        <v>1</v>
      </c>
      <c r="N813">
        <v>200</v>
      </c>
      <c r="O813" t="b">
        <v>0</v>
      </c>
      <c r="P813" t="b">
        <v>0</v>
      </c>
      <c r="Q813">
        <v>0.7</v>
      </c>
      <c r="R813">
        <v>1171121.9812476635</v>
      </c>
      <c r="S813">
        <v>1233861.068238914</v>
      </c>
      <c r="T813">
        <v>1026333.6742290854</v>
      </c>
      <c r="U813">
        <v>1035071.5780704618</v>
      </c>
      <c r="V813">
        <v>2404983.0494865775</v>
      </c>
      <c r="W813">
        <v>2061405.2522995472</v>
      </c>
      <c r="X813">
        <v>20048.486692489707</v>
      </c>
      <c r="Y813">
        <v>17184.343888568648</v>
      </c>
      <c r="Z813">
        <v>2923.7592885589602</v>
      </c>
      <c r="AA813">
        <v>515.35131307488678</v>
      </c>
      <c r="AB813">
        <v>10263.336742290854</v>
      </c>
      <c r="AC813">
        <v>10350.715780704617</v>
      </c>
      <c r="AD813">
        <v>20614.052522995473</v>
      </c>
      <c r="AE813">
        <v>1.1666716414949274</v>
      </c>
      <c r="AF813" s="1" t="s">
        <v>1506</v>
      </c>
      <c r="AG813" s="1" t="s">
        <v>1507</v>
      </c>
      <c r="AH813" s="1" t="s">
        <v>1508</v>
      </c>
      <c r="AI813" s="1" t="str">
        <f>_xlfn.TEXTAFTER(_xlfn.TEXTBEFORE(batch_summary[[#This Row],[video]],"_",1),"-",3)</f>
        <v>20</v>
      </c>
      <c r="AJ813" s="1" t="str">
        <f>_xlfn.TEXTBEFORE(_xlfn.TEXTAFTER(batch_summary[[#This Row],[video]],"_",1),"_",1)</f>
        <v>20260330</v>
      </c>
      <c r="AK813" s="1" t="str">
        <f>_xlfn.TEXTBEFORE(_xlfn.TEXTAFTER(batch_summary[[#This Row],[video]],"_",2),".",1)</f>
        <v>080000</v>
      </c>
    </row>
    <row r="814" spans="1:37" x14ac:dyDescent="0.2">
      <c r="A814" s="1" t="s">
        <v>1509</v>
      </c>
      <c r="B814" s="1" t="s">
        <v>1510</v>
      </c>
      <c r="C814">
        <v>119.95833333333333</v>
      </c>
      <c r="D814">
        <v>2879</v>
      </c>
      <c r="E814">
        <v>0.32726928219199181</v>
      </c>
      <c r="F814">
        <v>44.222134070470929</v>
      </c>
      <c r="G814">
        <v>1.1367463778811802E-4</v>
      </c>
      <c r="H814">
        <v>1.5360241080399767E-2</v>
      </c>
      <c r="I814">
        <v>5</v>
      </c>
      <c r="J814" t="b">
        <v>1</v>
      </c>
      <c r="K814">
        <v>0.65</v>
      </c>
      <c r="L814">
        <v>1.3</v>
      </c>
      <c r="M814" t="b">
        <v>1</v>
      </c>
      <c r="N814">
        <v>200</v>
      </c>
      <c r="O814" t="b">
        <v>0</v>
      </c>
      <c r="P814" t="b">
        <v>0</v>
      </c>
      <c r="Q814">
        <v>0.7</v>
      </c>
      <c r="R814">
        <v>817706.09189844131</v>
      </c>
      <c r="S814">
        <v>717061.86098492146</v>
      </c>
      <c r="T814">
        <v>701756.28056949377</v>
      </c>
      <c r="U814">
        <v>578215.61453008652</v>
      </c>
      <c r="V814">
        <v>1534767.9528833628</v>
      </c>
      <c r="W814">
        <v>1279971.8950995803</v>
      </c>
      <c r="X814">
        <v>12794.175362695627</v>
      </c>
      <c r="Y814">
        <v>10670.137367971492</v>
      </c>
      <c r="Z814">
        <v>1626.9549601173401</v>
      </c>
      <c r="AA814">
        <v>319.99297377489506</v>
      </c>
      <c r="AB814">
        <v>7017.5628056949381</v>
      </c>
      <c r="AC814">
        <v>5782.1561453008653</v>
      </c>
      <c r="AD814">
        <v>12799.718950995804</v>
      </c>
      <c r="AE814">
        <v>1.1990637909779727</v>
      </c>
      <c r="AF814" s="1" t="s">
        <v>1511</v>
      </c>
      <c r="AG814" s="1" t="s">
        <v>1512</v>
      </c>
      <c r="AH814" s="1" t="s">
        <v>1513</v>
      </c>
      <c r="AI814" s="1" t="str">
        <f>_xlfn.TEXTAFTER(_xlfn.TEXTBEFORE(batch_summary[[#This Row],[video]],"_",1),"-",3)</f>
        <v>20</v>
      </c>
      <c r="AJ814" s="1" t="str">
        <f>_xlfn.TEXTBEFORE(_xlfn.TEXTAFTER(batch_summary[[#This Row],[video]],"_",1),"_",1)</f>
        <v>20260330</v>
      </c>
      <c r="AK814" s="1" t="str">
        <f>_xlfn.TEXTBEFORE(_xlfn.TEXTAFTER(batch_summary[[#This Row],[video]],"_",2),".",1)</f>
        <v>090000</v>
      </c>
    </row>
    <row r="815" spans="1:37" x14ac:dyDescent="0.2">
      <c r="A815" s="1" t="s">
        <v>1514</v>
      </c>
      <c r="B815" s="1" t="s">
        <v>1515</v>
      </c>
      <c r="C815">
        <v>119.95833333333333</v>
      </c>
      <c r="D815">
        <v>2879</v>
      </c>
      <c r="E815">
        <v>0.3183880178257823</v>
      </c>
      <c r="F815">
        <v>44.907253020443022</v>
      </c>
      <c r="G815">
        <v>1.1058979431253292E-4</v>
      </c>
      <c r="H815">
        <v>1.559821223356826E-2</v>
      </c>
      <c r="I815">
        <v>5</v>
      </c>
      <c r="J815" t="b">
        <v>1</v>
      </c>
      <c r="K815">
        <v>0.65</v>
      </c>
      <c r="L815">
        <v>1.3</v>
      </c>
      <c r="M815" t="b">
        <v>1</v>
      </c>
      <c r="N815">
        <v>200</v>
      </c>
      <c r="O815" t="b">
        <v>0</v>
      </c>
      <c r="P815" t="b">
        <v>0</v>
      </c>
      <c r="Q815">
        <v>0.7</v>
      </c>
      <c r="R815">
        <v>6045120.4278795719</v>
      </c>
      <c r="S815">
        <v>8063924.8440093398</v>
      </c>
      <c r="T815">
        <v>5474205.8827033043</v>
      </c>
      <c r="U815">
        <v>7301827.7743792534</v>
      </c>
      <c r="V815">
        <v>14109045.271888912</v>
      </c>
      <c r="W815">
        <v>12776033.657082558</v>
      </c>
      <c r="X815">
        <v>117616.21622970958</v>
      </c>
      <c r="Y815">
        <v>106503.92767279659</v>
      </c>
      <c r="Z815">
        <v>6675.6325309753411</v>
      </c>
      <c r="AA815">
        <v>3194.0084142706392</v>
      </c>
      <c r="AB815">
        <v>54742.058827033041</v>
      </c>
      <c r="AC815">
        <v>73018.27774379254</v>
      </c>
      <c r="AD815">
        <v>127760.33657082557</v>
      </c>
      <c r="AE815">
        <v>1.1043368897253478</v>
      </c>
      <c r="AF815" s="1" t="s">
        <v>1516</v>
      </c>
      <c r="AG815" s="1" t="s">
        <v>1517</v>
      </c>
      <c r="AH815" s="1" t="s">
        <v>1518</v>
      </c>
      <c r="AI815" s="1" t="str">
        <f>_xlfn.TEXTAFTER(_xlfn.TEXTBEFORE(batch_summary[[#This Row],[video]],"_",1),"-",3)</f>
        <v>20</v>
      </c>
      <c r="AJ815" s="1" t="str">
        <f>_xlfn.TEXTBEFORE(_xlfn.TEXTAFTER(batch_summary[[#This Row],[video]],"_",1),"_",1)</f>
        <v>20260330</v>
      </c>
      <c r="AK815" s="1" t="str">
        <f>_xlfn.TEXTBEFORE(_xlfn.TEXTAFTER(batch_summary[[#This Row],[video]],"_",2),".",1)</f>
        <v>100000</v>
      </c>
    </row>
    <row r="816" spans="1:37" x14ac:dyDescent="0.2">
      <c r="A816" s="1" t="s">
        <v>1519</v>
      </c>
      <c r="B816" s="1" t="s">
        <v>1520</v>
      </c>
      <c r="C816">
        <v>119.95833333333333</v>
      </c>
      <c r="D816">
        <v>2879</v>
      </c>
      <c r="E816">
        <v>0.28583622723817825</v>
      </c>
      <c r="F816">
        <v>44.189841094426811</v>
      </c>
      <c r="G816">
        <v>9.9283163333858365E-5</v>
      </c>
      <c r="H816">
        <v>1.5349024346796391E-2</v>
      </c>
      <c r="I816">
        <v>5</v>
      </c>
      <c r="J816" t="b">
        <v>1</v>
      </c>
      <c r="K816">
        <v>0.65</v>
      </c>
      <c r="L816">
        <v>1.3</v>
      </c>
      <c r="M816" t="b">
        <v>1</v>
      </c>
      <c r="N816">
        <v>200</v>
      </c>
      <c r="O816" t="b">
        <v>0</v>
      </c>
      <c r="P816" t="b">
        <v>0</v>
      </c>
      <c r="Q816">
        <v>0.7</v>
      </c>
      <c r="R816">
        <v>14982953.959920049</v>
      </c>
      <c r="S816">
        <v>14025909.652526796</v>
      </c>
      <c r="T816">
        <v>14026521.773809433</v>
      </c>
      <c r="U816">
        <v>13041082.006894231</v>
      </c>
      <c r="V816">
        <v>29008863.612446845</v>
      </c>
      <c r="W816">
        <v>27067603.780703664</v>
      </c>
      <c r="X816">
        <v>241824.49694294002</v>
      </c>
      <c r="Y816">
        <v>225641.71265609169</v>
      </c>
      <c r="Z816">
        <v>12054.148368835449</v>
      </c>
      <c r="AA816">
        <v>6766.9009451759148</v>
      </c>
      <c r="AB816">
        <v>140265.21773809433</v>
      </c>
      <c r="AC816">
        <v>130410.82006894231</v>
      </c>
      <c r="AD816">
        <v>270676.03780703666</v>
      </c>
      <c r="AE816">
        <v>1.071718939270387</v>
      </c>
      <c r="AF816" s="1" t="s">
        <v>1521</v>
      </c>
      <c r="AG816" s="1" t="s">
        <v>1522</v>
      </c>
      <c r="AH816" s="1" t="s">
        <v>1523</v>
      </c>
      <c r="AI816" s="1" t="str">
        <f>_xlfn.TEXTAFTER(_xlfn.TEXTBEFORE(batch_summary[[#This Row],[video]],"_",1),"-",3)</f>
        <v>20</v>
      </c>
      <c r="AJ816" s="1" t="str">
        <f>_xlfn.TEXTBEFORE(_xlfn.TEXTAFTER(batch_summary[[#This Row],[video]],"_",1),"_",1)</f>
        <v>20260330</v>
      </c>
      <c r="AK816" s="1" t="str">
        <f>_xlfn.TEXTBEFORE(_xlfn.TEXTAFTER(batch_summary[[#This Row],[video]],"_",2),".",1)</f>
        <v>110000</v>
      </c>
    </row>
    <row r="817" spans="1:37" x14ac:dyDescent="0.2">
      <c r="A817" s="1" t="s">
        <v>1524</v>
      </c>
      <c r="B817" s="1" t="s">
        <v>1525</v>
      </c>
      <c r="C817">
        <v>119.95833333333333</v>
      </c>
      <c r="D817">
        <v>2879</v>
      </c>
      <c r="E817">
        <v>0.27893127966672182</v>
      </c>
      <c r="F817">
        <v>44.009949399158359</v>
      </c>
      <c r="G817">
        <v>9.6884779321542835E-5</v>
      </c>
      <c r="H817">
        <v>1.5286540256741353E-2</v>
      </c>
      <c r="I817">
        <v>5</v>
      </c>
      <c r="J817" t="b">
        <v>1</v>
      </c>
      <c r="K817">
        <v>0.65</v>
      </c>
      <c r="L817">
        <v>1.3</v>
      </c>
      <c r="M817" t="b">
        <v>1</v>
      </c>
      <c r="N817">
        <v>200</v>
      </c>
      <c r="O817" t="b">
        <v>0</v>
      </c>
      <c r="P817" t="b">
        <v>0</v>
      </c>
      <c r="Q817">
        <v>0.7</v>
      </c>
      <c r="R817">
        <v>18139432.309682369</v>
      </c>
      <c r="S817">
        <v>16913454.99710083</v>
      </c>
      <c r="T817">
        <v>17097937.435495019</v>
      </c>
      <c r="U817">
        <v>15763865.201355934</v>
      </c>
      <c r="V817">
        <v>35052887.306783199</v>
      </c>
      <c r="W817">
        <v>32861802.636850953</v>
      </c>
      <c r="X817">
        <v>292208.85563139868</v>
      </c>
      <c r="Y817">
        <v>273943.47456909443</v>
      </c>
      <c r="Z817">
        <v>11654.575460205078</v>
      </c>
      <c r="AA817">
        <v>8215.4506592127382</v>
      </c>
      <c r="AB817">
        <v>170979.37435495018</v>
      </c>
      <c r="AC817">
        <v>157638.65201355933</v>
      </c>
      <c r="AD817">
        <v>328618.02636850951</v>
      </c>
      <c r="AE817">
        <v>1.0666757296958258</v>
      </c>
      <c r="AF817" s="1" t="s">
        <v>1526</v>
      </c>
      <c r="AG817" s="1" t="s">
        <v>1527</v>
      </c>
      <c r="AH817" s="1" t="s">
        <v>1528</v>
      </c>
      <c r="AI817" s="1" t="str">
        <f>_xlfn.TEXTAFTER(_xlfn.TEXTBEFORE(batch_summary[[#This Row],[video]],"_",1),"-",3)</f>
        <v>20</v>
      </c>
      <c r="AJ817" s="1" t="str">
        <f>_xlfn.TEXTBEFORE(_xlfn.TEXTAFTER(batch_summary[[#This Row],[video]],"_",1),"_",1)</f>
        <v>20260330</v>
      </c>
      <c r="AK817" s="1" t="str">
        <f>_xlfn.TEXTBEFORE(_xlfn.TEXTAFTER(batch_summary[[#This Row],[video]],"_",2),".",1)</f>
        <v>120000</v>
      </c>
    </row>
    <row r="818" spans="1:37" x14ac:dyDescent="0.2">
      <c r="A818" s="1" t="s">
        <v>1529</v>
      </c>
      <c r="B818" s="1" t="s">
        <v>1530</v>
      </c>
      <c r="C818">
        <v>119.95833333333333</v>
      </c>
      <c r="D818">
        <v>2879</v>
      </c>
      <c r="E818">
        <v>0.28388016950339079</v>
      </c>
      <c r="F818">
        <v>43.977734376676381</v>
      </c>
      <c r="G818">
        <v>9.8603740709757138E-5</v>
      </c>
      <c r="H818">
        <v>1.5275350599748655E-2</v>
      </c>
      <c r="I818">
        <v>5</v>
      </c>
      <c r="J818" t="b">
        <v>1</v>
      </c>
      <c r="K818">
        <v>0.65</v>
      </c>
      <c r="L818">
        <v>1.3</v>
      </c>
      <c r="M818" t="b">
        <v>1</v>
      </c>
      <c r="N818">
        <v>200</v>
      </c>
      <c r="O818" t="b">
        <v>0</v>
      </c>
      <c r="P818" t="b">
        <v>0</v>
      </c>
      <c r="Q818">
        <v>0.7</v>
      </c>
      <c r="R818">
        <v>15972188.266744375</v>
      </c>
      <c r="S818">
        <v>15656424.614218235</v>
      </c>
      <c r="T818">
        <v>15058711.691042185</v>
      </c>
      <c r="U818">
        <v>14620824.610498011</v>
      </c>
      <c r="V818">
        <v>31628612.88096261</v>
      </c>
      <c r="W818">
        <v>29679536.301540196</v>
      </c>
      <c r="X818">
        <v>263663.32377322082</v>
      </c>
      <c r="Y818">
        <v>247415.37729661854</v>
      </c>
      <c r="Z818">
        <v>10542.00983947754</v>
      </c>
      <c r="AA818">
        <v>7419.88407538505</v>
      </c>
      <c r="AB818">
        <v>150587.11691042184</v>
      </c>
      <c r="AC818">
        <v>146208.24610498012</v>
      </c>
      <c r="AD818">
        <v>296795.36301540199</v>
      </c>
      <c r="AE818">
        <v>1.0656707220631769</v>
      </c>
      <c r="AF818" s="1" t="s">
        <v>1531</v>
      </c>
      <c r="AG818" s="1" t="s">
        <v>1532</v>
      </c>
      <c r="AH818" s="1" t="s">
        <v>1533</v>
      </c>
      <c r="AI818" s="1" t="str">
        <f>_xlfn.TEXTAFTER(_xlfn.TEXTBEFORE(batch_summary[[#This Row],[video]],"_",1),"-",3)</f>
        <v>20</v>
      </c>
      <c r="AJ818" s="1" t="str">
        <f>_xlfn.TEXTBEFORE(_xlfn.TEXTAFTER(batch_summary[[#This Row],[video]],"_",1),"_",1)</f>
        <v>20260330</v>
      </c>
      <c r="AK818" s="1" t="str">
        <f>_xlfn.TEXTBEFORE(_xlfn.TEXTAFTER(batch_summary[[#This Row],[video]],"_",2),".",1)</f>
        <v>130000</v>
      </c>
    </row>
    <row r="819" spans="1:37" x14ac:dyDescent="0.2">
      <c r="A819" s="1" t="s">
        <v>1534</v>
      </c>
      <c r="B819" s="1" t="s">
        <v>1535</v>
      </c>
      <c r="C819">
        <v>119.95833333333333</v>
      </c>
      <c r="D819">
        <v>2879</v>
      </c>
      <c r="E819">
        <v>0.29234837274998426</v>
      </c>
      <c r="F819">
        <v>44.086985906586051</v>
      </c>
      <c r="G819">
        <v>1.0154511036817793E-4</v>
      </c>
      <c r="H819">
        <v>1.5313298335042046E-2</v>
      </c>
      <c r="I819">
        <v>5</v>
      </c>
      <c r="J819" t="b">
        <v>1</v>
      </c>
      <c r="K819">
        <v>0.65</v>
      </c>
      <c r="L819">
        <v>1.3</v>
      </c>
      <c r="M819" t="b">
        <v>1</v>
      </c>
      <c r="N819">
        <v>200</v>
      </c>
      <c r="O819" t="b">
        <v>0</v>
      </c>
      <c r="P819" t="b">
        <v>0</v>
      </c>
      <c r="Q819">
        <v>0.7</v>
      </c>
      <c r="R819">
        <v>12985183.723411381</v>
      </c>
      <c r="S819">
        <v>12701748.302633345</v>
      </c>
      <c r="T819">
        <v>12080565.242069125</v>
      </c>
      <c r="U819">
        <v>11673543.92871356</v>
      </c>
      <c r="V819">
        <v>25686932.026044726</v>
      </c>
      <c r="W819">
        <v>23754109.170782685</v>
      </c>
      <c r="X819">
        <v>214132.1183136761</v>
      </c>
      <c r="Y819">
        <v>198019.66658519779</v>
      </c>
      <c r="Z819">
        <v>10556.497943115235</v>
      </c>
      <c r="AA819">
        <v>5938.5272926956704</v>
      </c>
      <c r="AB819">
        <v>120805.65242069126</v>
      </c>
      <c r="AC819">
        <v>116735.4392871356</v>
      </c>
      <c r="AD819">
        <v>237541.09170782685</v>
      </c>
      <c r="AE819">
        <v>1.081367936863715</v>
      </c>
      <c r="AF819" s="1" t="s">
        <v>1536</v>
      </c>
      <c r="AG819" s="1" t="s">
        <v>1537</v>
      </c>
      <c r="AH819" s="1" t="s">
        <v>1538</v>
      </c>
      <c r="AI819" s="1" t="str">
        <f>_xlfn.TEXTAFTER(_xlfn.TEXTBEFORE(batch_summary[[#This Row],[video]],"_",1),"-",3)</f>
        <v>20</v>
      </c>
      <c r="AJ819" s="1" t="str">
        <f>_xlfn.TEXTBEFORE(_xlfn.TEXTAFTER(batch_summary[[#This Row],[video]],"_",1),"_",1)</f>
        <v>20260330</v>
      </c>
      <c r="AK819" s="1" t="str">
        <f>_xlfn.TEXTBEFORE(_xlfn.TEXTAFTER(batch_summary[[#This Row],[video]],"_",2),".",1)</f>
        <v>140000</v>
      </c>
    </row>
    <row r="820" spans="1:37" x14ac:dyDescent="0.2">
      <c r="A820" s="1" t="s">
        <v>1539</v>
      </c>
      <c r="B820" s="1" t="s">
        <v>1540</v>
      </c>
      <c r="C820">
        <v>119.95833333333333</v>
      </c>
      <c r="D820">
        <v>2879</v>
      </c>
      <c r="E820">
        <v>0.29403489083051682</v>
      </c>
      <c r="F820">
        <v>44.046905102208257</v>
      </c>
      <c r="G820">
        <v>1.0213091032668177E-4</v>
      </c>
      <c r="H820">
        <v>1.5299376555126174E-2</v>
      </c>
      <c r="I820">
        <v>5</v>
      </c>
      <c r="J820" t="b">
        <v>1</v>
      </c>
      <c r="K820">
        <v>0.65</v>
      </c>
      <c r="L820">
        <v>1.3</v>
      </c>
      <c r="M820" t="b">
        <v>1</v>
      </c>
      <c r="N820">
        <v>200</v>
      </c>
      <c r="O820" t="b">
        <v>0</v>
      </c>
      <c r="P820" t="b">
        <v>0</v>
      </c>
      <c r="Q820">
        <v>0.7</v>
      </c>
      <c r="R820">
        <v>11939896.678094566</v>
      </c>
      <c r="S820">
        <v>11304695.215119898</v>
      </c>
      <c r="T820">
        <v>11024714.573287547</v>
      </c>
      <c r="U820">
        <v>10401679.538258433</v>
      </c>
      <c r="V820">
        <v>23244591.893214464</v>
      </c>
      <c r="W820">
        <v>21426394.11154598</v>
      </c>
      <c r="X820">
        <v>193772.21446236441</v>
      </c>
      <c r="Y820">
        <v>178615.30346547536</v>
      </c>
      <c r="Z820">
        <v>9209.6639846801754</v>
      </c>
      <c r="AA820">
        <v>5356.5985278864955</v>
      </c>
      <c r="AB820">
        <v>110247.14573287546</v>
      </c>
      <c r="AC820">
        <v>104016.79538258433</v>
      </c>
      <c r="AD820">
        <v>214263.94111545978</v>
      </c>
      <c r="AE820">
        <v>1.0848578520586774</v>
      </c>
      <c r="AF820" s="1" t="s">
        <v>1541</v>
      </c>
      <c r="AG820" s="1" t="s">
        <v>1542</v>
      </c>
      <c r="AH820" s="1" t="s">
        <v>1543</v>
      </c>
      <c r="AI820" s="1" t="str">
        <f>_xlfn.TEXTAFTER(_xlfn.TEXTBEFORE(batch_summary[[#This Row],[video]],"_",1),"-",3)</f>
        <v>20</v>
      </c>
      <c r="AJ820" s="1" t="str">
        <f>_xlfn.TEXTBEFORE(_xlfn.TEXTAFTER(batch_summary[[#This Row],[video]],"_",1),"_",1)</f>
        <v>20260330</v>
      </c>
      <c r="AK820" s="1" t="str">
        <f>_xlfn.TEXTBEFORE(_xlfn.TEXTAFTER(batch_summary[[#This Row],[video]],"_",2),".",1)</f>
        <v>150000</v>
      </c>
    </row>
    <row r="821" spans="1:37" x14ac:dyDescent="0.2">
      <c r="A821" s="1" t="s">
        <v>1544</v>
      </c>
      <c r="B821" s="1" t="s">
        <v>1545</v>
      </c>
      <c r="C821">
        <v>119.95833333333333</v>
      </c>
      <c r="D821">
        <v>2879</v>
      </c>
      <c r="E821">
        <v>0.29008915368467569</v>
      </c>
      <c r="F821">
        <v>44.246206880547106</v>
      </c>
      <c r="G821">
        <v>1.0076038683038405E-4</v>
      </c>
      <c r="H821">
        <v>1.5368602598314383E-2</v>
      </c>
      <c r="I821">
        <v>5</v>
      </c>
      <c r="J821" t="b">
        <v>1</v>
      </c>
      <c r="K821">
        <v>0.65</v>
      </c>
      <c r="L821">
        <v>1.3</v>
      </c>
      <c r="M821" t="b">
        <v>1</v>
      </c>
      <c r="N821">
        <v>200</v>
      </c>
      <c r="O821" t="b">
        <v>0</v>
      </c>
      <c r="P821" t="b">
        <v>0</v>
      </c>
      <c r="Q821">
        <v>0.7</v>
      </c>
      <c r="R821">
        <v>11809395.335644662</v>
      </c>
      <c r="S821">
        <v>13179370.367266178</v>
      </c>
      <c r="T821">
        <v>10907769.957627952</v>
      </c>
      <c r="U821">
        <v>12192143.309283137</v>
      </c>
      <c r="V821">
        <v>24988765.702910841</v>
      </c>
      <c r="W821">
        <v>23099913.266911089</v>
      </c>
      <c r="X821">
        <v>208312.0447620216</v>
      </c>
      <c r="Y821">
        <v>192566.14046747697</v>
      </c>
      <c r="Z821">
        <v>9792.8595458984382</v>
      </c>
      <c r="AA821">
        <v>5774.9783167277728</v>
      </c>
      <c r="AB821">
        <v>109077.69957627953</v>
      </c>
      <c r="AC821">
        <v>121921.43309283137</v>
      </c>
      <c r="AD821">
        <v>230999.1326691109</v>
      </c>
      <c r="AE821">
        <v>1.0817688107385837</v>
      </c>
      <c r="AF821" s="1" t="s">
        <v>1546</v>
      </c>
      <c r="AG821" s="1" t="s">
        <v>1547</v>
      </c>
      <c r="AH821" s="1" t="s">
        <v>1548</v>
      </c>
      <c r="AI821" s="1" t="str">
        <f>_xlfn.TEXTAFTER(_xlfn.TEXTBEFORE(batch_summary[[#This Row],[video]],"_",1),"-",3)</f>
        <v>20</v>
      </c>
      <c r="AJ821" s="1" t="str">
        <f>_xlfn.TEXTBEFORE(_xlfn.TEXTAFTER(batch_summary[[#This Row],[video]],"_",1),"_",1)</f>
        <v>20260330</v>
      </c>
      <c r="AK821" s="1" t="str">
        <f>_xlfn.TEXTBEFORE(_xlfn.TEXTAFTER(batch_summary[[#This Row],[video]],"_",2),".",1)</f>
        <v>160000</v>
      </c>
    </row>
    <row r="822" spans="1:37" x14ac:dyDescent="0.2">
      <c r="A822" s="1" t="s">
        <v>1549</v>
      </c>
      <c r="B822" s="1" t="s">
        <v>1550</v>
      </c>
      <c r="C822">
        <v>119.95833333333333</v>
      </c>
      <c r="D822">
        <v>2879</v>
      </c>
      <c r="E822">
        <v>0.31573397573083639</v>
      </c>
      <c r="F822">
        <v>44.817878836765885</v>
      </c>
      <c r="G822">
        <v>1.0966793182731379E-4</v>
      </c>
      <c r="H822">
        <v>1.5567168751915904E-2</v>
      </c>
      <c r="I822">
        <v>5</v>
      </c>
      <c r="J822" t="b">
        <v>1</v>
      </c>
      <c r="K822">
        <v>0.65</v>
      </c>
      <c r="L822">
        <v>1.3</v>
      </c>
      <c r="M822" t="b">
        <v>1</v>
      </c>
      <c r="N822">
        <v>200</v>
      </c>
      <c r="O822" t="b">
        <v>0</v>
      </c>
      <c r="P822" t="b">
        <v>0</v>
      </c>
      <c r="Q822">
        <v>0.7</v>
      </c>
      <c r="R822">
        <v>9043930.4189232588</v>
      </c>
      <c r="S822">
        <v>5656971.6691325307</v>
      </c>
      <c r="T822">
        <v>8318777.2944942713</v>
      </c>
      <c r="U822">
        <v>5035783.0323859453</v>
      </c>
      <c r="V822">
        <v>14700902.088055789</v>
      </c>
      <c r="W822">
        <v>13354560.326880217</v>
      </c>
      <c r="X822">
        <v>122550.06950793295</v>
      </c>
      <c r="Y822">
        <v>111326.65781352039</v>
      </c>
      <c r="Z822">
        <v>6316.0169384002684</v>
      </c>
      <c r="AA822">
        <v>3338.6400817200542</v>
      </c>
      <c r="AB822">
        <v>83187.772944942713</v>
      </c>
      <c r="AC822">
        <v>50357.830323859453</v>
      </c>
      <c r="AD822">
        <v>133545.60326880217</v>
      </c>
      <c r="AE822">
        <v>1.1008151319265556</v>
      </c>
      <c r="AF822" s="1" t="s">
        <v>1551</v>
      </c>
      <c r="AG822" s="1" t="s">
        <v>1552</v>
      </c>
      <c r="AH822" s="1" t="s">
        <v>1553</v>
      </c>
      <c r="AI822" s="1" t="str">
        <f>_xlfn.TEXTAFTER(_xlfn.TEXTBEFORE(batch_summary[[#This Row],[video]],"_",1),"-",3)</f>
        <v>20</v>
      </c>
      <c r="AJ822" s="1" t="str">
        <f>_xlfn.TEXTBEFORE(_xlfn.TEXTAFTER(batch_summary[[#This Row],[video]],"_",1),"_",1)</f>
        <v>20260330</v>
      </c>
      <c r="AK822" s="1" t="str">
        <f>_xlfn.TEXTBEFORE(_xlfn.TEXTAFTER(batch_summary[[#This Row],[video]],"_",2),".",1)</f>
        <v>170000</v>
      </c>
    </row>
    <row r="823" spans="1:37" x14ac:dyDescent="0.2">
      <c r="A823" s="1" t="s">
        <v>1554</v>
      </c>
      <c r="B823" s="1" t="s">
        <v>1555</v>
      </c>
      <c r="C823">
        <v>119.95833333333333</v>
      </c>
      <c r="D823">
        <v>2879</v>
      </c>
      <c r="E823">
        <v>0.35737421829253435</v>
      </c>
      <c r="F823">
        <v>45.216190272010863</v>
      </c>
      <c r="G823">
        <v>1.2413137141109216E-4</v>
      </c>
      <c r="H823">
        <v>1.5705519372007943E-2</v>
      </c>
      <c r="I823">
        <v>5</v>
      </c>
      <c r="J823" t="b">
        <v>1</v>
      </c>
      <c r="K823">
        <v>0.65</v>
      </c>
      <c r="L823">
        <v>1.3</v>
      </c>
      <c r="M823" t="b">
        <v>1</v>
      </c>
      <c r="N823">
        <v>200</v>
      </c>
      <c r="O823" t="b">
        <v>0</v>
      </c>
      <c r="P823" t="b">
        <v>0</v>
      </c>
      <c r="Q823">
        <v>0.7</v>
      </c>
      <c r="R823">
        <v>1953346.03786695</v>
      </c>
      <c r="S823">
        <v>1762539.8982436061</v>
      </c>
      <c r="T823">
        <v>1651417.0416622162</v>
      </c>
      <c r="U823">
        <v>1462296.5382575393</v>
      </c>
      <c r="V823">
        <v>3715885.9361105561</v>
      </c>
      <c r="W823">
        <v>3113713.5799197555</v>
      </c>
      <c r="X823">
        <v>30976.471853648265</v>
      </c>
      <c r="Y823">
        <v>25956.62588331856</v>
      </c>
      <c r="Z823">
        <v>2594.090555496216</v>
      </c>
      <c r="AA823">
        <v>778.42839497993884</v>
      </c>
      <c r="AB823">
        <v>16514.170416622161</v>
      </c>
      <c r="AC823">
        <v>14622.965382575392</v>
      </c>
      <c r="AD823">
        <v>31137.135799197553</v>
      </c>
      <c r="AE823">
        <v>1.1933936249224051</v>
      </c>
      <c r="AF823" s="1" t="s">
        <v>1556</v>
      </c>
      <c r="AG823" s="1" t="s">
        <v>1557</v>
      </c>
      <c r="AH823" s="1" t="s">
        <v>1558</v>
      </c>
      <c r="AI823" s="1" t="str">
        <f>_xlfn.TEXTAFTER(_xlfn.TEXTBEFORE(batch_summary[[#This Row],[video]],"_",1),"-",3)</f>
        <v>20</v>
      </c>
      <c r="AJ823" s="1" t="str">
        <f>_xlfn.TEXTBEFORE(_xlfn.TEXTAFTER(batch_summary[[#This Row],[video]],"_",1),"_",1)</f>
        <v>20260330</v>
      </c>
      <c r="AK823" s="1" t="str">
        <f>_xlfn.TEXTBEFORE(_xlfn.TEXTAFTER(batch_summary[[#This Row],[video]],"_",2),".",1)</f>
        <v>180000</v>
      </c>
    </row>
    <row r="824" spans="1:37" x14ac:dyDescent="0.2">
      <c r="A824" s="1" t="s">
        <v>1559</v>
      </c>
      <c r="B824" s="1" t="s">
        <v>1560</v>
      </c>
      <c r="C824">
        <v>119.95833333333333</v>
      </c>
      <c r="D824">
        <v>2879</v>
      </c>
      <c r="E824">
        <v>0.34502634312957525</v>
      </c>
      <c r="F824">
        <v>44.220688063651323</v>
      </c>
      <c r="G824">
        <v>1.1984242553997057E-4</v>
      </c>
      <c r="H824">
        <v>1.5359738820302648E-2</v>
      </c>
      <c r="I824">
        <v>5</v>
      </c>
      <c r="J824" t="b">
        <v>1</v>
      </c>
      <c r="K824">
        <v>0.65</v>
      </c>
      <c r="L824">
        <v>1.3</v>
      </c>
      <c r="M824" t="b">
        <v>1</v>
      </c>
      <c r="N824">
        <v>200</v>
      </c>
      <c r="O824" t="b">
        <v>0</v>
      </c>
      <c r="P824" t="b">
        <v>0</v>
      </c>
      <c r="Q824">
        <v>0.7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s="1" t="s">
        <v>1561</v>
      </c>
      <c r="AG824" s="1" t="s">
        <v>1562</v>
      </c>
      <c r="AH824" s="1" t="s">
        <v>1563</v>
      </c>
      <c r="AI824" s="1" t="str">
        <f>_xlfn.TEXTAFTER(_xlfn.TEXTBEFORE(batch_summary[[#This Row],[video]],"_",1),"-",3)</f>
        <v>20</v>
      </c>
      <c r="AJ824" s="1" t="str">
        <f>_xlfn.TEXTBEFORE(_xlfn.TEXTAFTER(batch_summary[[#This Row],[video]],"_",1),"_",1)</f>
        <v>20260330</v>
      </c>
      <c r="AK824" s="1" t="str">
        <f>_xlfn.TEXTBEFORE(_xlfn.TEXTAFTER(batch_summary[[#This Row],[video]],"_",2),".",1)</f>
        <v>190000</v>
      </c>
    </row>
    <row r="825" spans="1:37" x14ac:dyDescent="0.2">
      <c r="A825" s="1" t="s">
        <v>1564</v>
      </c>
      <c r="B825" s="1" t="s">
        <v>1565</v>
      </c>
      <c r="C825">
        <v>119.95833333333333</v>
      </c>
      <c r="D825">
        <v>2879</v>
      </c>
      <c r="E825">
        <v>0.34135421831160784</v>
      </c>
      <c r="F825">
        <v>44.109735413454473</v>
      </c>
      <c r="G825">
        <v>1.1856693932323996E-4</v>
      </c>
      <c r="H825">
        <v>1.5321200213079011E-2</v>
      </c>
      <c r="I825">
        <v>5</v>
      </c>
      <c r="J825" t="b">
        <v>1</v>
      </c>
      <c r="K825">
        <v>0.65</v>
      </c>
      <c r="L825">
        <v>1.3</v>
      </c>
      <c r="M825" t="b">
        <v>1</v>
      </c>
      <c r="N825">
        <v>200</v>
      </c>
      <c r="O825" t="b">
        <v>0</v>
      </c>
      <c r="P825" t="b">
        <v>0</v>
      </c>
      <c r="Q825">
        <v>0.7</v>
      </c>
      <c r="R825">
        <v>192.43513011932373</v>
      </c>
      <c r="S825">
        <v>348.63903474807739</v>
      </c>
      <c r="T825">
        <v>0</v>
      </c>
      <c r="U825">
        <v>0</v>
      </c>
      <c r="V825">
        <v>541.07416486740112</v>
      </c>
      <c r="W825">
        <v>0</v>
      </c>
      <c r="X825">
        <v>4.5105175258136949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541074164.86740112</v>
      </c>
      <c r="AF825" s="1" t="s">
        <v>1566</v>
      </c>
      <c r="AG825" s="1" t="s">
        <v>1567</v>
      </c>
      <c r="AH825" s="1" t="s">
        <v>1568</v>
      </c>
      <c r="AI825" s="1" t="str">
        <f>_xlfn.TEXTAFTER(_xlfn.TEXTBEFORE(batch_summary[[#This Row],[video]],"_",1),"-",3)</f>
        <v>20</v>
      </c>
      <c r="AJ825" s="1" t="str">
        <f>_xlfn.TEXTBEFORE(_xlfn.TEXTAFTER(batch_summary[[#This Row],[video]],"_",1),"_",1)</f>
        <v>20260331</v>
      </c>
      <c r="AK825" s="1" t="str">
        <f>_xlfn.TEXTBEFORE(_xlfn.TEXTAFTER(batch_summary[[#This Row],[video]],"_",2),".",1)</f>
        <v>060000</v>
      </c>
    </row>
    <row r="826" spans="1:37" x14ac:dyDescent="0.2">
      <c r="A826" s="1" t="s">
        <v>1569</v>
      </c>
      <c r="B826" s="1" t="s">
        <v>1570</v>
      </c>
      <c r="C826">
        <v>119.95833333333333</v>
      </c>
      <c r="D826">
        <v>2879</v>
      </c>
      <c r="E826">
        <v>0.34472238644957542</v>
      </c>
      <c r="F826">
        <v>44.071037894114852</v>
      </c>
      <c r="G826">
        <v>1.1973684836734124E-4</v>
      </c>
      <c r="H826">
        <v>1.5307758907299358E-2</v>
      </c>
      <c r="I826">
        <v>5</v>
      </c>
      <c r="J826" t="b">
        <v>1</v>
      </c>
      <c r="K826">
        <v>0.65</v>
      </c>
      <c r="L826">
        <v>1.3</v>
      </c>
      <c r="M826" t="b">
        <v>1</v>
      </c>
      <c r="N826">
        <v>200</v>
      </c>
      <c r="O826" t="b">
        <v>0</v>
      </c>
      <c r="P826" t="b">
        <v>0</v>
      </c>
      <c r="Q826">
        <v>0.7</v>
      </c>
      <c r="R826">
        <v>189659.55399209261</v>
      </c>
      <c r="S826">
        <v>206720.82234764099</v>
      </c>
      <c r="T826">
        <v>160368.53725075722</v>
      </c>
      <c r="U826">
        <v>174717.58172512054</v>
      </c>
      <c r="V826">
        <v>396380.3763397336</v>
      </c>
      <c r="W826">
        <v>335086.11897587776</v>
      </c>
      <c r="X826">
        <v>3304.3171351697142</v>
      </c>
      <c r="Y826">
        <v>2793.3542394654623</v>
      </c>
      <c r="Z826">
        <v>1160.7681787014008</v>
      </c>
      <c r="AA826">
        <v>83.771529743969452</v>
      </c>
      <c r="AB826">
        <v>1603.6853725075721</v>
      </c>
      <c r="AC826">
        <v>1747.1758172512054</v>
      </c>
      <c r="AD826">
        <v>3350.8611897587775</v>
      </c>
      <c r="AE826">
        <v>1.1829209086642838</v>
      </c>
      <c r="AF826" s="1" t="s">
        <v>1571</v>
      </c>
      <c r="AG826" s="1" t="s">
        <v>1572</v>
      </c>
      <c r="AH826" s="1" t="s">
        <v>1573</v>
      </c>
      <c r="AI826" s="1" t="str">
        <f>_xlfn.TEXTAFTER(_xlfn.TEXTBEFORE(batch_summary[[#This Row],[video]],"_",1),"-",3)</f>
        <v>20</v>
      </c>
      <c r="AJ826" s="1" t="str">
        <f>_xlfn.TEXTBEFORE(_xlfn.TEXTAFTER(batch_summary[[#This Row],[video]],"_",1),"_",1)</f>
        <v>20260331</v>
      </c>
      <c r="AK826" s="1" t="str">
        <f>_xlfn.TEXTBEFORE(_xlfn.TEXTAFTER(batch_summary[[#This Row],[video]],"_",2),".",1)</f>
        <v>070000</v>
      </c>
    </row>
    <row r="827" spans="1:37" x14ac:dyDescent="0.2">
      <c r="A827" s="1" t="s">
        <v>1574</v>
      </c>
      <c r="B827" s="1" t="s">
        <v>1575</v>
      </c>
      <c r="C827">
        <v>119.95833333333333</v>
      </c>
      <c r="D827">
        <v>2879</v>
      </c>
      <c r="E827">
        <v>0.35353606659919024</v>
      </c>
      <c r="F827">
        <v>44.96286197565496</v>
      </c>
      <c r="G827">
        <v>1.2279821695004872E-4</v>
      </c>
      <c r="H827">
        <v>1.5617527605298701E-2</v>
      </c>
      <c r="I827">
        <v>5</v>
      </c>
      <c r="J827" t="b">
        <v>1</v>
      </c>
      <c r="K827">
        <v>0.65</v>
      </c>
      <c r="L827">
        <v>1.3</v>
      </c>
      <c r="M827" t="b">
        <v>1</v>
      </c>
      <c r="N827">
        <v>200</v>
      </c>
      <c r="O827" t="b">
        <v>0</v>
      </c>
      <c r="P827" t="b">
        <v>0</v>
      </c>
      <c r="Q827">
        <v>0.7</v>
      </c>
      <c r="R827">
        <v>2208746.5358182192</v>
      </c>
      <c r="S827">
        <v>2148681.2485796213</v>
      </c>
      <c r="T827">
        <v>1854519.4327261448</v>
      </c>
      <c r="U827">
        <v>1741909.6004986167</v>
      </c>
      <c r="V827">
        <v>4357427.7843978405</v>
      </c>
      <c r="W827">
        <v>3596429.0332247615</v>
      </c>
      <c r="X827">
        <v>36324.510880704474</v>
      </c>
      <c r="Y827">
        <v>29980.651892113332</v>
      </c>
      <c r="Z827">
        <v>2900.053095779419</v>
      </c>
      <c r="AA827">
        <v>899.10725830619026</v>
      </c>
      <c r="AB827">
        <v>18545.194327261448</v>
      </c>
      <c r="AC827">
        <v>17419.096004986168</v>
      </c>
      <c r="AD827">
        <v>35964.29033224762</v>
      </c>
      <c r="AE827">
        <v>1.2115984339306494</v>
      </c>
      <c r="AF827" s="1" t="s">
        <v>1576</v>
      </c>
      <c r="AG827" s="1" t="s">
        <v>1577</v>
      </c>
      <c r="AH827" s="1" t="s">
        <v>1578</v>
      </c>
      <c r="AI827" s="1" t="str">
        <f>_xlfn.TEXTAFTER(_xlfn.TEXTBEFORE(batch_summary[[#This Row],[video]],"_",1),"-",3)</f>
        <v>20</v>
      </c>
      <c r="AJ827" s="1" t="str">
        <f>_xlfn.TEXTBEFORE(_xlfn.TEXTAFTER(batch_summary[[#This Row],[video]],"_",1),"_",1)</f>
        <v>20260331</v>
      </c>
      <c r="AK827" s="1" t="str">
        <f>_xlfn.TEXTBEFORE(_xlfn.TEXTAFTER(batch_summary[[#This Row],[video]],"_",2),".",1)</f>
        <v>080000</v>
      </c>
    </row>
    <row r="828" spans="1:37" x14ac:dyDescent="0.2">
      <c r="A828" s="1" t="s">
        <v>1579</v>
      </c>
      <c r="B828" s="1" t="s">
        <v>1580</v>
      </c>
      <c r="C828">
        <v>119.95833333333333</v>
      </c>
      <c r="D828">
        <v>2879</v>
      </c>
      <c r="E828">
        <v>0.34583462402224541</v>
      </c>
      <c r="F828">
        <v>45.153490345925093</v>
      </c>
      <c r="G828">
        <v>1.2012317611054026E-4</v>
      </c>
      <c r="H828">
        <v>1.5683741002405382E-2</v>
      </c>
      <c r="I828">
        <v>5</v>
      </c>
      <c r="J828" t="b">
        <v>1</v>
      </c>
      <c r="K828">
        <v>0.65</v>
      </c>
      <c r="L828">
        <v>1.3</v>
      </c>
      <c r="M828" t="b">
        <v>1</v>
      </c>
      <c r="N828">
        <v>200</v>
      </c>
      <c r="O828" t="b">
        <v>0</v>
      </c>
      <c r="P828" t="b">
        <v>0</v>
      </c>
      <c r="Q828">
        <v>0.7</v>
      </c>
      <c r="R828">
        <v>3325592.1741944551</v>
      </c>
      <c r="S828">
        <v>3003174.0530653</v>
      </c>
      <c r="T828">
        <v>2922156.8561197519</v>
      </c>
      <c r="U828">
        <v>2560403.1281009912</v>
      </c>
      <c r="V828">
        <v>6328766.2272597551</v>
      </c>
      <c r="W828">
        <v>5482559.9842207432</v>
      </c>
      <c r="X828">
        <v>52758.037323457494</v>
      </c>
      <c r="Y828">
        <v>45703.869267557428</v>
      </c>
      <c r="Z828">
        <v>3376.3292999267578</v>
      </c>
      <c r="AA828">
        <v>1370.6399960551857</v>
      </c>
      <c r="AB828">
        <v>29221.56856119752</v>
      </c>
      <c r="AC828">
        <v>25604.031281009913</v>
      </c>
      <c r="AD828">
        <v>54825.599842207434</v>
      </c>
      <c r="AE828">
        <v>1.1543450952610574</v>
      </c>
      <c r="AF828" s="1" t="s">
        <v>1581</v>
      </c>
      <c r="AG828" s="1" t="s">
        <v>1582</v>
      </c>
      <c r="AH828" s="1" t="s">
        <v>1583</v>
      </c>
      <c r="AI828" s="1" t="str">
        <f>_xlfn.TEXTAFTER(_xlfn.TEXTBEFORE(batch_summary[[#This Row],[video]],"_",1),"-",3)</f>
        <v>20</v>
      </c>
      <c r="AJ828" s="1" t="str">
        <f>_xlfn.TEXTBEFORE(_xlfn.TEXTAFTER(batch_summary[[#This Row],[video]],"_",1),"_",1)</f>
        <v>20260331</v>
      </c>
      <c r="AK828" s="1" t="str">
        <f>_xlfn.TEXTBEFORE(_xlfn.TEXTAFTER(batch_summary[[#This Row],[video]],"_",2),".",1)</f>
        <v>090000</v>
      </c>
    </row>
    <row r="829" spans="1:37" x14ac:dyDescent="0.2">
      <c r="A829" s="1" t="s">
        <v>1584</v>
      </c>
      <c r="B829" s="1" t="s">
        <v>1585</v>
      </c>
      <c r="C829">
        <v>119.95833333333333</v>
      </c>
      <c r="D829">
        <v>2879</v>
      </c>
      <c r="E829">
        <v>0.31740135978907347</v>
      </c>
      <c r="F829">
        <v>44.714004818350077</v>
      </c>
      <c r="G829">
        <v>1.1024708572041455E-4</v>
      </c>
      <c r="H829">
        <v>1.5531088856669008E-2</v>
      </c>
      <c r="I829">
        <v>5</v>
      </c>
      <c r="J829" t="b">
        <v>1</v>
      </c>
      <c r="K829">
        <v>0.65</v>
      </c>
      <c r="L829">
        <v>1.3</v>
      </c>
      <c r="M829" t="b">
        <v>1</v>
      </c>
      <c r="N829">
        <v>200</v>
      </c>
      <c r="O829" t="b">
        <v>0</v>
      </c>
      <c r="P829" t="b">
        <v>0</v>
      </c>
      <c r="Q829">
        <v>0.7</v>
      </c>
      <c r="R829">
        <v>7658217.5648180246</v>
      </c>
      <c r="S829">
        <v>9987279.951295495</v>
      </c>
      <c r="T829">
        <v>6898048.127415657</v>
      </c>
      <c r="U829">
        <v>9057332.8254220486</v>
      </c>
      <c r="V829">
        <v>17645497.51611352</v>
      </c>
      <c r="W829">
        <v>15955380.952837706</v>
      </c>
      <c r="X829">
        <v>147096.88794259273</v>
      </c>
      <c r="Y829">
        <v>133007.69116641366</v>
      </c>
      <c r="Z829">
        <v>8442.2593313598627</v>
      </c>
      <c r="AA829">
        <v>3988.8452382094265</v>
      </c>
      <c r="AB829">
        <v>68980.481274156569</v>
      </c>
      <c r="AC829">
        <v>90573.328254220483</v>
      </c>
      <c r="AD829">
        <v>159553.80952837705</v>
      </c>
      <c r="AE829">
        <v>1.1059276847272783</v>
      </c>
      <c r="AF829" s="1" t="s">
        <v>1586</v>
      </c>
      <c r="AG829" s="1" t="s">
        <v>1587</v>
      </c>
      <c r="AH829" s="1" t="s">
        <v>1588</v>
      </c>
      <c r="AI829" s="1" t="str">
        <f>_xlfn.TEXTAFTER(_xlfn.TEXTBEFORE(batch_summary[[#This Row],[video]],"_",1),"-",3)</f>
        <v>20</v>
      </c>
      <c r="AJ829" s="1" t="str">
        <f>_xlfn.TEXTBEFORE(_xlfn.TEXTAFTER(batch_summary[[#This Row],[video]],"_",1),"_",1)</f>
        <v>20260331</v>
      </c>
      <c r="AK829" s="1" t="str">
        <f>_xlfn.TEXTBEFORE(_xlfn.TEXTAFTER(batch_summary[[#This Row],[video]],"_",2),".",1)</f>
        <v>100000</v>
      </c>
    </row>
    <row r="830" spans="1:37" x14ac:dyDescent="0.2">
      <c r="A830" s="1" t="s">
        <v>1589</v>
      </c>
      <c r="B830" s="1" t="s">
        <v>1590</v>
      </c>
      <c r="C830">
        <v>119.95833333333333</v>
      </c>
      <c r="D830">
        <v>2879</v>
      </c>
      <c r="E830">
        <v>0.3018243694677949</v>
      </c>
      <c r="F830">
        <v>44.220575910061598</v>
      </c>
      <c r="G830">
        <v>1.0483652986029694E-4</v>
      </c>
      <c r="H830">
        <v>1.5359699864557692E-2</v>
      </c>
      <c r="I830">
        <v>5</v>
      </c>
      <c r="J830" t="b">
        <v>1</v>
      </c>
      <c r="K830">
        <v>0.65</v>
      </c>
      <c r="L830">
        <v>1.3</v>
      </c>
      <c r="M830" t="b">
        <v>1</v>
      </c>
      <c r="N830">
        <v>200</v>
      </c>
      <c r="O830" t="b">
        <v>0</v>
      </c>
      <c r="P830" t="b">
        <v>0</v>
      </c>
      <c r="Q830">
        <v>0.7</v>
      </c>
      <c r="R830">
        <v>7107659.6048585176</v>
      </c>
      <c r="S830">
        <v>9658021.0230646729</v>
      </c>
      <c r="T830">
        <v>6294918.9471315145</v>
      </c>
      <c r="U830">
        <v>8691979.5878636837</v>
      </c>
      <c r="V830">
        <v>16765680.627923191</v>
      </c>
      <c r="W830">
        <v>14986898.534995198</v>
      </c>
      <c r="X830">
        <v>139762.53389029406</v>
      </c>
      <c r="Y830">
        <v>124934.20105588218</v>
      </c>
      <c r="Z830">
        <v>7093.9357245779038</v>
      </c>
      <c r="AA830">
        <v>3746.7246337487995</v>
      </c>
      <c r="AB830">
        <v>62949.189471315149</v>
      </c>
      <c r="AC830">
        <v>86919.79587863684</v>
      </c>
      <c r="AD830">
        <v>149868.98534995198</v>
      </c>
      <c r="AE830">
        <v>1.1186891396358254</v>
      </c>
      <c r="AF830" s="1" t="s">
        <v>1591</v>
      </c>
      <c r="AG830" s="1" t="s">
        <v>1592</v>
      </c>
      <c r="AH830" s="1" t="s">
        <v>1593</v>
      </c>
      <c r="AI830" s="1" t="str">
        <f>_xlfn.TEXTAFTER(_xlfn.TEXTBEFORE(batch_summary[[#This Row],[video]],"_",1),"-",3)</f>
        <v>20</v>
      </c>
      <c r="AJ830" s="1" t="str">
        <f>_xlfn.TEXTBEFORE(_xlfn.TEXTAFTER(batch_summary[[#This Row],[video]],"_",1),"_",1)</f>
        <v>20260331</v>
      </c>
      <c r="AK830" s="1" t="str">
        <f>_xlfn.TEXTBEFORE(_xlfn.TEXTAFTER(batch_summary[[#This Row],[video]],"_",2),".",1)</f>
        <v>110000</v>
      </c>
    </row>
    <row r="831" spans="1:37" x14ac:dyDescent="0.2">
      <c r="A831" s="1" t="s">
        <v>1594</v>
      </c>
      <c r="B831" s="1" t="s">
        <v>1595</v>
      </c>
      <c r="C831">
        <v>119.95833333333333</v>
      </c>
      <c r="D831">
        <v>2879</v>
      </c>
      <c r="E831">
        <v>0.32360816653817892</v>
      </c>
      <c r="F831">
        <v>44.871882498264313</v>
      </c>
      <c r="G831">
        <v>1.1240297552559185E-4</v>
      </c>
      <c r="H831">
        <v>1.5585926536389133E-2</v>
      </c>
      <c r="I831">
        <v>5</v>
      </c>
      <c r="J831" t="b">
        <v>1</v>
      </c>
      <c r="K831">
        <v>0.65</v>
      </c>
      <c r="L831">
        <v>1.3</v>
      </c>
      <c r="M831" t="b">
        <v>1</v>
      </c>
      <c r="N831">
        <v>200</v>
      </c>
      <c r="O831" t="b">
        <v>0</v>
      </c>
      <c r="P831" t="b">
        <v>0</v>
      </c>
      <c r="Q831">
        <v>0.7</v>
      </c>
      <c r="R831">
        <v>6010822.5834106803</v>
      </c>
      <c r="S831">
        <v>7340098.9891757965</v>
      </c>
      <c r="T831">
        <v>5360434.5974324942</v>
      </c>
      <c r="U831">
        <v>6517560.8081713915</v>
      </c>
      <c r="V831">
        <v>13350921.572586477</v>
      </c>
      <c r="W831">
        <v>11877995.405603886</v>
      </c>
      <c r="X831">
        <v>111296.32432861252</v>
      </c>
      <c r="Y831">
        <v>99017.676184263037</v>
      </c>
      <c r="Z831">
        <v>4946.9446194171906</v>
      </c>
      <c r="AA831">
        <v>2969.4988514009715</v>
      </c>
      <c r="AB831">
        <v>53604.34597432494</v>
      </c>
      <c r="AC831">
        <v>65175.608081713915</v>
      </c>
      <c r="AD831">
        <v>118779.95405603886</v>
      </c>
      <c r="AE831">
        <v>1.1240046082428761</v>
      </c>
      <c r="AF831" s="1" t="s">
        <v>1596</v>
      </c>
      <c r="AG831" s="1" t="s">
        <v>1597</v>
      </c>
      <c r="AH831" s="1" t="s">
        <v>1598</v>
      </c>
      <c r="AI831" s="1" t="str">
        <f>_xlfn.TEXTAFTER(_xlfn.TEXTBEFORE(batch_summary[[#This Row],[video]],"_",1),"-",3)</f>
        <v>20</v>
      </c>
      <c r="AJ831" s="1" t="str">
        <f>_xlfn.TEXTBEFORE(_xlfn.TEXTAFTER(batch_summary[[#This Row],[video]],"_",1),"_",1)</f>
        <v>20260331</v>
      </c>
      <c r="AK831" s="1" t="str">
        <f>_xlfn.TEXTBEFORE(_xlfn.TEXTAFTER(batch_summary[[#This Row],[video]],"_",2),".",1)</f>
        <v>120000</v>
      </c>
    </row>
    <row r="832" spans="1:37" x14ac:dyDescent="0.2">
      <c r="A832" s="1" t="s">
        <v>1599</v>
      </c>
      <c r="B832" s="1" t="s">
        <v>1600</v>
      </c>
      <c r="C832">
        <v>119.95833333333333</v>
      </c>
      <c r="D832">
        <v>2879</v>
      </c>
      <c r="E832">
        <v>0.31384038645774126</v>
      </c>
      <c r="F832">
        <v>44.568617868237197</v>
      </c>
      <c r="G832">
        <v>1.0901020717531826E-4</v>
      </c>
      <c r="H832">
        <v>1.5480589742354011E-2</v>
      </c>
      <c r="I832">
        <v>5</v>
      </c>
      <c r="J832" t="b">
        <v>1</v>
      </c>
      <c r="K832">
        <v>0.65</v>
      </c>
      <c r="L832">
        <v>1.3</v>
      </c>
      <c r="M832" t="b">
        <v>1</v>
      </c>
      <c r="N832">
        <v>200</v>
      </c>
      <c r="O832" t="b">
        <v>0</v>
      </c>
      <c r="P832" t="b">
        <v>0</v>
      </c>
      <c r="Q832">
        <v>0.7</v>
      </c>
      <c r="R832">
        <v>8641331.0980383158</v>
      </c>
      <c r="S832">
        <v>9687892.6548996568</v>
      </c>
      <c r="T832">
        <v>7926252.5842069983</v>
      </c>
      <c r="U832">
        <v>8902224.8344194293</v>
      </c>
      <c r="V832">
        <v>18329223.752937973</v>
      </c>
      <c r="W832">
        <v>16828477.418626428</v>
      </c>
      <c r="X832">
        <v>152796.58564449855</v>
      </c>
      <c r="Y832">
        <v>140286.02224627798</v>
      </c>
      <c r="Z832">
        <v>7947.8561288452147</v>
      </c>
      <c r="AA832">
        <v>4207.1193546566064</v>
      </c>
      <c r="AB832">
        <v>79262.525842069983</v>
      </c>
      <c r="AC832">
        <v>89022.24834419429</v>
      </c>
      <c r="AD832">
        <v>168284.77418626426</v>
      </c>
      <c r="AE832">
        <v>1.0891789730573285</v>
      </c>
      <c r="AF832" s="1" t="s">
        <v>1601</v>
      </c>
      <c r="AG832" s="1" t="s">
        <v>1602</v>
      </c>
      <c r="AH832" s="1" t="s">
        <v>1603</v>
      </c>
      <c r="AI832" s="1" t="str">
        <f>_xlfn.TEXTAFTER(_xlfn.TEXTBEFORE(batch_summary[[#This Row],[video]],"_",1),"-",3)</f>
        <v>20</v>
      </c>
      <c r="AJ832" s="1" t="str">
        <f>_xlfn.TEXTBEFORE(_xlfn.TEXTAFTER(batch_summary[[#This Row],[video]],"_",1),"_",1)</f>
        <v>20260331</v>
      </c>
      <c r="AK832" s="1" t="str">
        <f>_xlfn.TEXTBEFORE(_xlfn.TEXTAFTER(batch_summary[[#This Row],[video]],"_",2),".",1)</f>
        <v>130000</v>
      </c>
    </row>
    <row r="833" spans="1:37" x14ac:dyDescent="0.2">
      <c r="A833" s="1" t="s">
        <v>1604</v>
      </c>
      <c r="B833" s="1" t="s">
        <v>1605</v>
      </c>
      <c r="C833">
        <v>119.95833333333333</v>
      </c>
      <c r="D833">
        <v>2879</v>
      </c>
      <c r="E833">
        <v>0.33845893293619156</v>
      </c>
      <c r="F833">
        <v>44.982124712318182</v>
      </c>
      <c r="G833">
        <v>1.1756128271489808E-4</v>
      </c>
      <c r="H833">
        <v>1.5624218378714199E-2</v>
      </c>
      <c r="I833">
        <v>5</v>
      </c>
      <c r="J833" t="b">
        <v>1</v>
      </c>
      <c r="K833">
        <v>0.65</v>
      </c>
      <c r="L833">
        <v>1.3</v>
      </c>
      <c r="M833" t="b">
        <v>1</v>
      </c>
      <c r="N833">
        <v>200</v>
      </c>
      <c r="O833" t="b">
        <v>0</v>
      </c>
      <c r="P833" t="b">
        <v>0</v>
      </c>
      <c r="Q833">
        <v>0.7</v>
      </c>
      <c r="R833">
        <v>4705541.2559056878</v>
      </c>
      <c r="S833">
        <v>4983972.5562829375</v>
      </c>
      <c r="T833">
        <v>4164031.2608863115</v>
      </c>
      <c r="U833">
        <v>4455823.1396176815</v>
      </c>
      <c r="V833">
        <v>9689513.8121886253</v>
      </c>
      <c r="W833">
        <v>8619854.400503993</v>
      </c>
      <c r="X833">
        <v>80773.994960933313</v>
      </c>
      <c r="Y833">
        <v>71857.070375858224</v>
      </c>
      <c r="Z833">
        <v>6221.4301152300832</v>
      </c>
      <c r="AA833">
        <v>2154.9636001259983</v>
      </c>
      <c r="AB833">
        <v>41640.312608863118</v>
      </c>
      <c r="AC833">
        <v>44558.231396176816</v>
      </c>
      <c r="AD833">
        <v>86198.544005039934</v>
      </c>
      <c r="AE833">
        <v>1.124092515022306</v>
      </c>
      <c r="AF833" s="1" t="s">
        <v>1606</v>
      </c>
      <c r="AG833" s="1" t="s">
        <v>1607</v>
      </c>
      <c r="AH833" s="1" t="s">
        <v>1608</v>
      </c>
      <c r="AI833" s="1" t="str">
        <f>_xlfn.TEXTAFTER(_xlfn.TEXTBEFORE(batch_summary[[#This Row],[video]],"_",1),"-",3)</f>
        <v>20</v>
      </c>
      <c r="AJ833" s="1" t="str">
        <f>_xlfn.TEXTBEFORE(_xlfn.TEXTAFTER(batch_summary[[#This Row],[video]],"_",1),"_",1)</f>
        <v>20260331</v>
      </c>
      <c r="AK833" s="1" t="str">
        <f>_xlfn.TEXTBEFORE(_xlfn.TEXTAFTER(batch_summary[[#This Row],[video]],"_",2),".",1)</f>
        <v>140000</v>
      </c>
    </row>
    <row r="834" spans="1:37" x14ac:dyDescent="0.2">
      <c r="A834" s="1" t="s">
        <v>1609</v>
      </c>
      <c r="B834" s="1" t="s">
        <v>1610</v>
      </c>
      <c r="C834">
        <v>119.95833333333333</v>
      </c>
      <c r="D834">
        <v>2879</v>
      </c>
      <c r="E834">
        <v>0.31724174320697784</v>
      </c>
      <c r="F834">
        <v>44.844126460142434</v>
      </c>
      <c r="G834">
        <v>1.1019164404549421E-4</v>
      </c>
      <c r="H834">
        <v>1.5576285675631272E-2</v>
      </c>
      <c r="I834">
        <v>5</v>
      </c>
      <c r="J834" t="b">
        <v>1</v>
      </c>
      <c r="K834">
        <v>0.65</v>
      </c>
      <c r="L834">
        <v>1.3</v>
      </c>
      <c r="M834" t="b">
        <v>1</v>
      </c>
      <c r="N834">
        <v>200</v>
      </c>
      <c r="O834" t="b">
        <v>0</v>
      </c>
      <c r="P834" t="b">
        <v>0</v>
      </c>
      <c r="Q834">
        <v>0.7</v>
      </c>
      <c r="R834">
        <v>6845398.3965714574</v>
      </c>
      <c r="S834">
        <v>6388284.3861157298</v>
      </c>
      <c r="T834">
        <v>6179789.6399040222</v>
      </c>
      <c r="U834">
        <v>5696556.0722503662</v>
      </c>
      <c r="V834">
        <v>13233682.782687187</v>
      </c>
      <c r="W834">
        <v>11876345.712154388</v>
      </c>
      <c r="X834">
        <v>110318.99506234544</v>
      </c>
      <c r="Y834">
        <v>99003.923963773996</v>
      </c>
      <c r="Z834">
        <v>4891.0559994506839</v>
      </c>
      <c r="AA834">
        <v>2969.0864280385968</v>
      </c>
      <c r="AB834">
        <v>61797.896399040219</v>
      </c>
      <c r="AC834">
        <v>56965.560722503666</v>
      </c>
      <c r="AD834">
        <v>118763.45712154388</v>
      </c>
      <c r="AE834">
        <v>1.1142891174971175</v>
      </c>
      <c r="AF834" s="1" t="s">
        <v>1611</v>
      </c>
      <c r="AG834" s="1" t="s">
        <v>1612</v>
      </c>
      <c r="AH834" s="1" t="s">
        <v>1613</v>
      </c>
      <c r="AI834" s="1" t="str">
        <f>_xlfn.TEXTAFTER(_xlfn.TEXTBEFORE(batch_summary[[#This Row],[video]],"_",1),"-",3)</f>
        <v>20</v>
      </c>
      <c r="AJ834" s="1" t="str">
        <f>_xlfn.TEXTBEFORE(_xlfn.TEXTAFTER(batch_summary[[#This Row],[video]],"_",1),"_",1)</f>
        <v>20260331</v>
      </c>
      <c r="AK834" s="1" t="str">
        <f>_xlfn.TEXTBEFORE(_xlfn.TEXTAFTER(batch_summary[[#This Row],[video]],"_",2),".",1)</f>
        <v>150000</v>
      </c>
    </row>
    <row r="835" spans="1:37" x14ac:dyDescent="0.2">
      <c r="A835" s="1" t="s">
        <v>1614</v>
      </c>
      <c r="B835" s="1" t="s">
        <v>1615</v>
      </c>
      <c r="C835">
        <v>119.95833333333333</v>
      </c>
      <c r="D835">
        <v>2879</v>
      </c>
      <c r="E835">
        <v>0.32127344235777855</v>
      </c>
      <c r="F835">
        <v>44.571516362018883</v>
      </c>
      <c r="G835">
        <v>1.1159202582764104E-4</v>
      </c>
      <c r="H835">
        <v>1.5481596513379258E-2</v>
      </c>
      <c r="I835">
        <v>5</v>
      </c>
      <c r="J835" t="b">
        <v>1</v>
      </c>
      <c r="K835">
        <v>0.65</v>
      </c>
      <c r="L835">
        <v>1.3</v>
      </c>
      <c r="M835" t="b">
        <v>1</v>
      </c>
      <c r="N835">
        <v>200</v>
      </c>
      <c r="O835" t="b">
        <v>0</v>
      </c>
      <c r="P835" t="b">
        <v>0</v>
      </c>
      <c r="Q835">
        <v>0.7</v>
      </c>
      <c r="R835">
        <v>7112875.8338196278</v>
      </c>
      <c r="S835">
        <v>7858189.601796627</v>
      </c>
      <c r="T835">
        <v>6450707.2517669201</v>
      </c>
      <c r="U835">
        <v>7104871.6822500825</v>
      </c>
      <c r="V835">
        <v>14971065.435616255</v>
      </c>
      <c r="W835">
        <v>13555578.934017003</v>
      </c>
      <c r="X835">
        <v>124802.21273177845</v>
      </c>
      <c r="Y835">
        <v>113002.39472608826</v>
      </c>
      <c r="Z835">
        <v>7536.8414703369135</v>
      </c>
      <c r="AA835">
        <v>3388.8947335042503</v>
      </c>
      <c r="AB835">
        <v>64507.072517669199</v>
      </c>
      <c r="AC835">
        <v>71048.716822500821</v>
      </c>
      <c r="AD835">
        <v>135555.78934017001</v>
      </c>
      <c r="AE835">
        <v>1.1044209552752604</v>
      </c>
      <c r="AF835" s="1" t="s">
        <v>1616</v>
      </c>
      <c r="AG835" s="1" t="s">
        <v>1617</v>
      </c>
      <c r="AH835" s="1" t="s">
        <v>1618</v>
      </c>
      <c r="AI835" s="1" t="str">
        <f>_xlfn.TEXTAFTER(_xlfn.TEXTBEFORE(batch_summary[[#This Row],[video]],"_",1),"-",3)</f>
        <v>20</v>
      </c>
      <c r="AJ835" s="1" t="str">
        <f>_xlfn.TEXTBEFORE(_xlfn.TEXTAFTER(batch_summary[[#This Row],[video]],"_",1),"_",1)</f>
        <v>20260331</v>
      </c>
      <c r="AK835" s="1" t="str">
        <f>_xlfn.TEXTBEFORE(_xlfn.TEXTAFTER(batch_summary[[#This Row],[video]],"_",2),".",1)</f>
        <v>160000</v>
      </c>
    </row>
    <row r="836" spans="1:37" x14ac:dyDescent="0.2">
      <c r="A836" s="1" t="s">
        <v>1619</v>
      </c>
      <c r="B836" s="1" t="s">
        <v>1620</v>
      </c>
      <c r="C836">
        <v>119.95833333333333</v>
      </c>
      <c r="D836">
        <v>2879</v>
      </c>
      <c r="E836">
        <v>0.34881629794836044</v>
      </c>
      <c r="F836">
        <v>44.943250698037446</v>
      </c>
      <c r="G836">
        <v>1.211588391623343E-4</v>
      </c>
      <c r="H836">
        <v>1.5610715768682684E-2</v>
      </c>
      <c r="I836">
        <v>5</v>
      </c>
      <c r="J836" t="b">
        <v>1</v>
      </c>
      <c r="K836">
        <v>0.65</v>
      </c>
      <c r="L836">
        <v>1.3</v>
      </c>
      <c r="M836" t="b">
        <v>1</v>
      </c>
      <c r="N836">
        <v>200</v>
      </c>
      <c r="O836" t="b">
        <v>0</v>
      </c>
      <c r="P836" t="b">
        <v>0</v>
      </c>
      <c r="Q836">
        <v>0.7</v>
      </c>
      <c r="R836">
        <v>3472062.6588859558</v>
      </c>
      <c r="S836">
        <v>2926766.0752057433</v>
      </c>
      <c r="T836">
        <v>3078478.7543922663</v>
      </c>
      <c r="U836">
        <v>2531265.0119787455</v>
      </c>
      <c r="V836">
        <v>6398828.7340916991</v>
      </c>
      <c r="W836">
        <v>5609743.7663710117</v>
      </c>
      <c r="X836">
        <v>53342.094344633828</v>
      </c>
      <c r="Y836">
        <v>46764.10225526373</v>
      </c>
      <c r="Z836">
        <v>4185.6284574031833</v>
      </c>
      <c r="AA836">
        <v>1402.4359415927529</v>
      </c>
      <c r="AB836">
        <v>30784.787543922663</v>
      </c>
      <c r="AC836">
        <v>25312.650119787453</v>
      </c>
      <c r="AD836">
        <v>56097.437663710116</v>
      </c>
      <c r="AE836">
        <v>1.1406632817083466</v>
      </c>
      <c r="AF836" s="1" t="s">
        <v>1621</v>
      </c>
      <c r="AG836" s="1" t="s">
        <v>1622</v>
      </c>
      <c r="AH836" s="1" t="s">
        <v>1623</v>
      </c>
      <c r="AI836" s="1" t="str">
        <f>_xlfn.TEXTAFTER(_xlfn.TEXTBEFORE(batch_summary[[#This Row],[video]],"_",1),"-",3)</f>
        <v>20</v>
      </c>
      <c r="AJ836" s="1" t="str">
        <f>_xlfn.TEXTBEFORE(_xlfn.TEXTAFTER(batch_summary[[#This Row],[video]],"_",1),"_",1)</f>
        <v>20260331</v>
      </c>
      <c r="AK836" s="1" t="str">
        <f>_xlfn.TEXTBEFORE(_xlfn.TEXTAFTER(batch_summary[[#This Row],[video]],"_",2),".",1)</f>
        <v>170000</v>
      </c>
    </row>
    <row r="837" spans="1:37" x14ac:dyDescent="0.2">
      <c r="A837" s="1" t="s">
        <v>1624</v>
      </c>
      <c r="B837" s="1" t="s">
        <v>1625</v>
      </c>
      <c r="C837">
        <v>119.95833333333333</v>
      </c>
      <c r="D837">
        <v>2879</v>
      </c>
      <c r="E837">
        <v>0.34850961249321699</v>
      </c>
      <c r="F837">
        <v>44.757487579248846</v>
      </c>
      <c r="G837">
        <v>1.2105231416923133E-4</v>
      </c>
      <c r="H837">
        <v>1.5546192281781468E-2</v>
      </c>
      <c r="I837">
        <v>5</v>
      </c>
      <c r="J837" t="b">
        <v>1</v>
      </c>
      <c r="K837">
        <v>0.65</v>
      </c>
      <c r="L837">
        <v>1.3</v>
      </c>
      <c r="M837" t="b">
        <v>1</v>
      </c>
      <c r="N837">
        <v>200</v>
      </c>
      <c r="O837" t="b">
        <v>0</v>
      </c>
      <c r="P837" t="b">
        <v>0</v>
      </c>
      <c r="Q837">
        <v>0.7</v>
      </c>
      <c r="R837">
        <v>1871852.8036421537</v>
      </c>
      <c r="S837">
        <v>1783418.2802351117</v>
      </c>
      <c r="T837">
        <v>1644510.2041884065</v>
      </c>
      <c r="U837">
        <v>1522794.8133390546</v>
      </c>
      <c r="V837">
        <v>3655271.0838772655</v>
      </c>
      <c r="W837">
        <v>3167305.0175274611</v>
      </c>
      <c r="X837">
        <v>30471.172633919545</v>
      </c>
      <c r="Y837">
        <v>26403.376318394952</v>
      </c>
      <c r="Z837">
        <v>3291.4012836933134</v>
      </c>
      <c r="AA837">
        <v>791.82625438186528</v>
      </c>
      <c r="AB837">
        <v>16445.102041884064</v>
      </c>
      <c r="AC837">
        <v>15227.948133390546</v>
      </c>
      <c r="AD837">
        <v>31673.05017527461</v>
      </c>
      <c r="AE837">
        <v>1.1540634904593849</v>
      </c>
      <c r="AF837" s="1" t="s">
        <v>1626</v>
      </c>
      <c r="AG837" s="1" t="s">
        <v>1627</v>
      </c>
      <c r="AH837" s="1" t="s">
        <v>1628</v>
      </c>
      <c r="AI837" s="1" t="str">
        <f>_xlfn.TEXTAFTER(_xlfn.TEXTBEFORE(batch_summary[[#This Row],[video]],"_",1),"-",3)</f>
        <v>20</v>
      </c>
      <c r="AJ837" s="1" t="str">
        <f>_xlfn.TEXTBEFORE(_xlfn.TEXTAFTER(batch_summary[[#This Row],[video]],"_",1),"_",1)</f>
        <v>20260331</v>
      </c>
      <c r="AK837" s="1" t="str">
        <f>_xlfn.TEXTBEFORE(_xlfn.TEXTAFTER(batch_summary[[#This Row],[video]],"_",2),".",1)</f>
        <v>180000</v>
      </c>
    </row>
    <row r="838" spans="1:37" x14ac:dyDescent="0.2">
      <c r="A838" s="1" t="s">
        <v>1629</v>
      </c>
      <c r="B838" s="1" t="s">
        <v>1630</v>
      </c>
      <c r="C838">
        <v>119.95833333333333</v>
      </c>
      <c r="D838">
        <v>2879</v>
      </c>
      <c r="E838">
        <v>0.35070525389164686</v>
      </c>
      <c r="F838">
        <v>44.208273024298251</v>
      </c>
      <c r="G838">
        <v>1.2181495446045393E-4</v>
      </c>
      <c r="H838">
        <v>1.5355426545431834E-2</v>
      </c>
      <c r="I838">
        <v>5</v>
      </c>
      <c r="J838" t="b">
        <v>1</v>
      </c>
      <c r="K838">
        <v>0.65</v>
      </c>
      <c r="L838">
        <v>1.3</v>
      </c>
      <c r="M838" t="b">
        <v>1</v>
      </c>
      <c r="N838">
        <v>200</v>
      </c>
      <c r="O838" t="b">
        <v>0</v>
      </c>
      <c r="P838" t="b">
        <v>0</v>
      </c>
      <c r="Q838">
        <v>0.7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s="1" t="s">
        <v>1631</v>
      </c>
      <c r="AG838" s="1" t="s">
        <v>1632</v>
      </c>
      <c r="AH838" s="1" t="s">
        <v>1633</v>
      </c>
      <c r="AI838" s="1" t="str">
        <f>_xlfn.TEXTAFTER(_xlfn.TEXTBEFORE(batch_summary[[#This Row],[video]],"_",1),"-",3)</f>
        <v>20</v>
      </c>
      <c r="AJ838" s="1" t="str">
        <f>_xlfn.TEXTBEFORE(_xlfn.TEXTAFTER(batch_summary[[#This Row],[video]],"_",1),"_",1)</f>
        <v>20260331</v>
      </c>
      <c r="AK838" s="1" t="str">
        <f>_xlfn.TEXTBEFORE(_xlfn.TEXTAFTER(batch_summary[[#This Row],[video]],"_",2),".",1)</f>
        <v>190000</v>
      </c>
    </row>
    <row r="839" spans="1:37" x14ac:dyDescent="0.2">
      <c r="A839" s="1" t="s">
        <v>1634</v>
      </c>
      <c r="B839" s="1" t="s">
        <v>1635</v>
      </c>
      <c r="C839">
        <v>119.95833333333333</v>
      </c>
      <c r="D839">
        <v>2879</v>
      </c>
      <c r="E839">
        <v>0.36042759753763676</v>
      </c>
      <c r="F839">
        <v>44.654135780408978</v>
      </c>
      <c r="G839">
        <v>1.2519194079112079E-4</v>
      </c>
      <c r="H839">
        <v>1.5510293775758589E-2</v>
      </c>
      <c r="I839">
        <v>5</v>
      </c>
      <c r="J839" t="b">
        <v>1</v>
      </c>
      <c r="K839">
        <v>0.65</v>
      </c>
      <c r="L839">
        <v>1.3</v>
      </c>
      <c r="M839" t="b">
        <v>1</v>
      </c>
      <c r="N839">
        <v>200</v>
      </c>
      <c r="O839" t="b">
        <v>0</v>
      </c>
      <c r="P839" t="b">
        <v>0</v>
      </c>
      <c r="Q839">
        <v>0.7</v>
      </c>
      <c r="R839">
        <v>328600.47615092993</v>
      </c>
      <c r="S839">
        <v>325729.23530083895</v>
      </c>
      <c r="T839">
        <v>74216.60774230957</v>
      </c>
      <c r="U839">
        <v>63761.460823059082</v>
      </c>
      <c r="V839">
        <v>654329.71145176888</v>
      </c>
      <c r="W839">
        <v>137978.06856536865</v>
      </c>
      <c r="X839">
        <v>5454.6415681981425</v>
      </c>
      <c r="Y839">
        <v>1150.2166188151607</v>
      </c>
      <c r="Z839">
        <v>131.11884613037108</v>
      </c>
      <c r="AA839">
        <v>34.494517141342165</v>
      </c>
      <c r="AB839">
        <v>742.16607742309566</v>
      </c>
      <c r="AC839">
        <v>637.61460823059087</v>
      </c>
      <c r="AD839">
        <v>1379.7806856536865</v>
      </c>
      <c r="AE839">
        <v>4.7422733065854796</v>
      </c>
      <c r="AF839" s="1" t="s">
        <v>1636</v>
      </c>
      <c r="AG839" s="1" t="s">
        <v>1637</v>
      </c>
      <c r="AH839" s="1" t="s">
        <v>1638</v>
      </c>
      <c r="AI839" s="1" t="str">
        <f>_xlfn.TEXTAFTER(_xlfn.TEXTBEFORE(batch_summary[[#This Row],[video]],"_",1),"-",3)</f>
        <v>20</v>
      </c>
      <c r="AJ839" s="1" t="str">
        <f>_xlfn.TEXTBEFORE(_xlfn.TEXTAFTER(batch_summary[[#This Row],[video]],"_",1),"_",1)</f>
        <v>20260401</v>
      </c>
      <c r="AK839" s="1" t="str">
        <f>_xlfn.TEXTBEFORE(_xlfn.TEXTAFTER(batch_summary[[#This Row],[video]],"_",2),".",1)</f>
        <v>060000</v>
      </c>
    </row>
    <row r="840" spans="1:37" x14ac:dyDescent="0.2">
      <c r="A840" s="1" t="s">
        <v>1639</v>
      </c>
      <c r="B840" s="1" t="s">
        <v>1640</v>
      </c>
      <c r="C840">
        <v>119.95833333333333</v>
      </c>
      <c r="D840">
        <v>2879</v>
      </c>
      <c r="E840">
        <v>0.33921264205127954</v>
      </c>
      <c r="F840">
        <v>43.914705573581159</v>
      </c>
      <c r="G840">
        <v>1.1782307816994774E-4</v>
      </c>
      <c r="H840">
        <v>1.5253457997075776E-2</v>
      </c>
      <c r="I840">
        <v>5</v>
      </c>
      <c r="J840" t="b">
        <v>1</v>
      </c>
      <c r="K840">
        <v>0.65</v>
      </c>
      <c r="L840">
        <v>1.3</v>
      </c>
      <c r="M840" t="b">
        <v>1</v>
      </c>
      <c r="N840">
        <v>200</v>
      </c>
      <c r="O840" t="b">
        <v>0</v>
      </c>
      <c r="P840" t="b">
        <v>0</v>
      </c>
      <c r="Q840">
        <v>0.7</v>
      </c>
      <c r="R840">
        <v>246222.52396023273</v>
      </c>
      <c r="S840">
        <v>192766.5821262002</v>
      </c>
      <c r="T840">
        <v>182832.45904922485</v>
      </c>
      <c r="U840">
        <v>133885.58299255371</v>
      </c>
      <c r="V840">
        <v>438989.10608643293</v>
      </c>
      <c r="W840">
        <v>316718.04204177856</v>
      </c>
      <c r="X840">
        <v>3659.5132150310492</v>
      </c>
      <c r="Y840">
        <v>2640.2337648498387</v>
      </c>
      <c r="Z840">
        <v>725.86573547363287</v>
      </c>
      <c r="AA840">
        <v>79.179510510444644</v>
      </c>
      <c r="AB840">
        <v>1828.3245904922485</v>
      </c>
      <c r="AC840">
        <v>1338.8558299255371</v>
      </c>
      <c r="AD840">
        <v>3167.1804204177856</v>
      </c>
      <c r="AE840">
        <v>1.3860565165672674</v>
      </c>
      <c r="AF840" s="1" t="s">
        <v>1641</v>
      </c>
      <c r="AG840" s="1" t="s">
        <v>1642</v>
      </c>
      <c r="AH840" s="1" t="s">
        <v>1643</v>
      </c>
      <c r="AI840" s="1" t="str">
        <f>_xlfn.TEXTAFTER(_xlfn.TEXTBEFORE(batch_summary[[#This Row],[video]],"_",1),"-",3)</f>
        <v>20</v>
      </c>
      <c r="AJ840" s="1" t="str">
        <f>_xlfn.TEXTBEFORE(_xlfn.TEXTAFTER(batch_summary[[#This Row],[video]],"_",1),"_",1)</f>
        <v>20260401</v>
      </c>
      <c r="AK840" s="1" t="str">
        <f>_xlfn.TEXTBEFORE(_xlfn.TEXTAFTER(batch_summary[[#This Row],[video]],"_",2),".",1)</f>
        <v>070000</v>
      </c>
    </row>
    <row r="841" spans="1:37" x14ac:dyDescent="0.2">
      <c r="A841" s="1" t="s">
        <v>1644</v>
      </c>
      <c r="B841" s="1" t="s">
        <v>1645</v>
      </c>
      <c r="C841">
        <v>119.95833333333333</v>
      </c>
      <c r="D841">
        <v>2879</v>
      </c>
      <c r="E841">
        <v>0.343089260160923</v>
      </c>
      <c r="F841">
        <v>44.139447114430368</v>
      </c>
      <c r="G841">
        <v>1.1916959366478742E-4</v>
      </c>
      <c r="H841">
        <v>1.5331520359301968E-2</v>
      </c>
      <c r="I841">
        <v>5</v>
      </c>
      <c r="J841" t="b">
        <v>1</v>
      </c>
      <c r="K841">
        <v>0.65</v>
      </c>
      <c r="L841">
        <v>1.3</v>
      </c>
      <c r="M841" t="b">
        <v>1</v>
      </c>
      <c r="N841">
        <v>200</v>
      </c>
      <c r="O841" t="b">
        <v>0</v>
      </c>
      <c r="P841" t="b">
        <v>0</v>
      </c>
      <c r="Q841">
        <v>0.7</v>
      </c>
      <c r="R841">
        <v>750761.76797097921</v>
      </c>
      <c r="S841">
        <v>784193.79018896818</v>
      </c>
      <c r="T841">
        <v>651978.85512685776</v>
      </c>
      <c r="U841">
        <v>689904.16893821955</v>
      </c>
      <c r="V841">
        <v>1534955.5581599474</v>
      </c>
      <c r="W841">
        <v>1341883.0240650773</v>
      </c>
      <c r="X841">
        <v>12795.739283028392</v>
      </c>
      <c r="Y841">
        <v>11186.242645905473</v>
      </c>
      <c r="Z841">
        <v>1283.7816038221122</v>
      </c>
      <c r="AA841">
        <v>335.47075601626932</v>
      </c>
      <c r="AB841">
        <v>6519.788551268578</v>
      </c>
      <c r="AC841">
        <v>6899.0416893821957</v>
      </c>
      <c r="AD841">
        <v>13418.830240650774</v>
      </c>
      <c r="AE841">
        <v>1.143881791953802</v>
      </c>
      <c r="AF841" s="1" t="s">
        <v>1646</v>
      </c>
      <c r="AG841" s="1" t="s">
        <v>1647</v>
      </c>
      <c r="AH841" s="1" t="s">
        <v>1648</v>
      </c>
      <c r="AI841" s="1" t="str">
        <f>_xlfn.TEXTAFTER(_xlfn.TEXTBEFORE(batch_summary[[#This Row],[video]],"_",1),"-",3)</f>
        <v>20</v>
      </c>
      <c r="AJ841" s="1" t="str">
        <f>_xlfn.TEXTBEFORE(_xlfn.TEXTAFTER(batch_summary[[#This Row],[video]],"_",1),"_",1)</f>
        <v>20260401</v>
      </c>
      <c r="AK841" s="1" t="str">
        <f>_xlfn.TEXTBEFORE(_xlfn.TEXTAFTER(batch_summary[[#This Row],[video]],"_",2),".",1)</f>
        <v>080000</v>
      </c>
    </row>
    <row r="842" spans="1:37" x14ac:dyDescent="0.2">
      <c r="A842" s="1" t="s">
        <v>1649</v>
      </c>
      <c r="B842" s="1" t="s">
        <v>1650</v>
      </c>
      <c r="C842">
        <v>119.95833333333333</v>
      </c>
      <c r="D842">
        <v>2879</v>
      </c>
      <c r="E842">
        <v>0.34779134579002857</v>
      </c>
      <c r="F842">
        <v>44.683846489526331</v>
      </c>
      <c r="G842">
        <v>1.2080282938173969E-4</v>
      </c>
      <c r="H842">
        <v>1.5520613577466596E-2</v>
      </c>
      <c r="I842">
        <v>5</v>
      </c>
      <c r="J842" t="b">
        <v>1</v>
      </c>
      <c r="K842">
        <v>0.65</v>
      </c>
      <c r="L842">
        <v>1.3</v>
      </c>
      <c r="M842" t="b">
        <v>1</v>
      </c>
      <c r="N842">
        <v>200</v>
      </c>
      <c r="O842" t="b">
        <v>0</v>
      </c>
      <c r="P842" t="b">
        <v>0</v>
      </c>
      <c r="Q842">
        <v>0.7</v>
      </c>
      <c r="R842">
        <v>4221688.3508328795</v>
      </c>
      <c r="S842">
        <v>3574059.4652176499</v>
      </c>
      <c r="T842">
        <v>3754222.2584433556</v>
      </c>
      <c r="U842">
        <v>3135223.2529141307</v>
      </c>
      <c r="V842">
        <v>7795747.8160505295</v>
      </c>
      <c r="W842">
        <v>6889445.5113574862</v>
      </c>
      <c r="X842">
        <v>64987.130109486876</v>
      </c>
      <c r="Y842">
        <v>57431.987590336808</v>
      </c>
      <c r="Z842">
        <v>4026.4117893147468</v>
      </c>
      <c r="AA842">
        <v>1722.3613778393715</v>
      </c>
      <c r="AB842">
        <v>37542.222584433555</v>
      </c>
      <c r="AC842">
        <v>31352.232529141307</v>
      </c>
      <c r="AD842">
        <v>68894.455113574862</v>
      </c>
      <c r="AE842">
        <v>1.1315493827767378</v>
      </c>
      <c r="AF842" s="1" t="s">
        <v>1651</v>
      </c>
      <c r="AG842" s="1" t="s">
        <v>1652</v>
      </c>
      <c r="AH842" s="1" t="s">
        <v>1653</v>
      </c>
      <c r="AI842" s="1" t="str">
        <f>_xlfn.TEXTAFTER(_xlfn.TEXTBEFORE(batch_summary[[#This Row],[video]],"_",1),"-",3)</f>
        <v>20</v>
      </c>
      <c r="AJ842" s="1" t="str">
        <f>_xlfn.TEXTBEFORE(_xlfn.TEXTAFTER(batch_summary[[#This Row],[video]],"_",1),"_",1)</f>
        <v>20260401</v>
      </c>
      <c r="AK842" s="1" t="str">
        <f>_xlfn.TEXTBEFORE(_xlfn.TEXTAFTER(batch_summary[[#This Row],[video]],"_",2),".",1)</f>
        <v>090000</v>
      </c>
    </row>
    <row r="843" spans="1:37" x14ac:dyDescent="0.2">
      <c r="A843" s="1" t="s">
        <v>1654</v>
      </c>
      <c r="B843" s="1" t="s">
        <v>1655</v>
      </c>
      <c r="C843">
        <v>119.95833333333333</v>
      </c>
      <c r="D843">
        <v>2879</v>
      </c>
      <c r="E843">
        <v>0.31057113129645586</v>
      </c>
      <c r="F843">
        <v>43.96098505705595</v>
      </c>
      <c r="G843">
        <v>1.0787465484420141E-4</v>
      </c>
      <c r="H843">
        <v>1.5269532843715161E-2</v>
      </c>
      <c r="I843">
        <v>5</v>
      </c>
      <c r="J843" t="b">
        <v>1</v>
      </c>
      <c r="K843">
        <v>0.65</v>
      </c>
      <c r="L843">
        <v>1.3</v>
      </c>
      <c r="M843" t="b">
        <v>1</v>
      </c>
      <c r="N843">
        <v>200</v>
      </c>
      <c r="O843" t="b">
        <v>0</v>
      </c>
      <c r="P843" t="b">
        <v>0</v>
      </c>
      <c r="Q843">
        <v>0.7</v>
      </c>
      <c r="R843">
        <v>18241203.005095601</v>
      </c>
      <c r="S843">
        <v>18971527.138139367</v>
      </c>
      <c r="T843">
        <v>17236999.700147152</v>
      </c>
      <c r="U843">
        <v>17788464.707298577</v>
      </c>
      <c r="V843">
        <v>37212730.143234968</v>
      </c>
      <c r="W843">
        <v>35025464.407445729</v>
      </c>
      <c r="X843">
        <v>310213.79765114252</v>
      </c>
      <c r="Y843">
        <v>291980.25209402485</v>
      </c>
      <c r="Z843">
        <v>15029.888681640627</v>
      </c>
      <c r="AA843">
        <v>8756.366101861433</v>
      </c>
      <c r="AB843">
        <v>172369.99700147152</v>
      </c>
      <c r="AC843">
        <v>177884.64707298577</v>
      </c>
      <c r="AD843">
        <v>350254.64407445729</v>
      </c>
      <c r="AE843">
        <v>1.0624478725062749</v>
      </c>
      <c r="AF843" s="1" t="s">
        <v>1656</v>
      </c>
      <c r="AG843" s="1" t="s">
        <v>1657</v>
      </c>
      <c r="AH843" s="1" t="s">
        <v>1658</v>
      </c>
      <c r="AI843" s="1" t="str">
        <f>_xlfn.TEXTAFTER(_xlfn.TEXTBEFORE(batch_summary[[#This Row],[video]],"_",1),"-",3)</f>
        <v>20</v>
      </c>
      <c r="AJ843" s="1" t="str">
        <f>_xlfn.TEXTBEFORE(_xlfn.TEXTAFTER(batch_summary[[#This Row],[video]],"_",1),"_",1)</f>
        <v>20260401</v>
      </c>
      <c r="AK843" s="1" t="str">
        <f>_xlfn.TEXTBEFORE(_xlfn.TEXTAFTER(batch_summary[[#This Row],[video]],"_",2),".",1)</f>
        <v>100000</v>
      </c>
    </row>
    <row r="844" spans="1:37" x14ac:dyDescent="0.2">
      <c r="A844" s="1" t="s">
        <v>1659</v>
      </c>
      <c r="B844" s="1" t="s">
        <v>1660</v>
      </c>
      <c r="C844">
        <v>119.95833333333333</v>
      </c>
      <c r="D844">
        <v>2879</v>
      </c>
      <c r="E844">
        <v>0.28153731394559145</v>
      </c>
      <c r="F844">
        <v>43.424553635530174</v>
      </c>
      <c r="G844">
        <v>9.7789966636190154E-5</v>
      </c>
      <c r="H844">
        <v>1.5083207237071961E-2</v>
      </c>
      <c r="I844">
        <v>5</v>
      </c>
      <c r="J844" t="b">
        <v>1</v>
      </c>
      <c r="K844">
        <v>0.65</v>
      </c>
      <c r="L844">
        <v>1.3</v>
      </c>
      <c r="M844" t="b">
        <v>1</v>
      </c>
      <c r="N844">
        <v>200</v>
      </c>
      <c r="O844" t="b">
        <v>0</v>
      </c>
      <c r="P844" t="b">
        <v>0</v>
      </c>
      <c r="Q844">
        <v>0.7</v>
      </c>
      <c r="R844">
        <v>20183477.646376133</v>
      </c>
      <c r="S844">
        <v>21855053.99951601</v>
      </c>
      <c r="T844">
        <v>19174850.250375748</v>
      </c>
      <c r="U844">
        <v>20661234.21614933</v>
      </c>
      <c r="V844">
        <v>42038531.645892143</v>
      </c>
      <c r="W844">
        <v>39836084.466525078</v>
      </c>
      <c r="X844">
        <v>350442.7785694378</v>
      </c>
      <c r="Y844">
        <v>332082.67703945882</v>
      </c>
      <c r="Z844">
        <v>14429.93991760254</v>
      </c>
      <c r="AA844">
        <v>9959.0211166312693</v>
      </c>
      <c r="AB844">
        <v>191748.50250375748</v>
      </c>
      <c r="AC844">
        <v>206612.34216149329</v>
      </c>
      <c r="AD844">
        <v>398360.84466525074</v>
      </c>
      <c r="AE844">
        <v>1.0552877424792544</v>
      </c>
      <c r="AF844" s="1" t="s">
        <v>1661</v>
      </c>
      <c r="AG844" s="1" t="s">
        <v>1662</v>
      </c>
      <c r="AH844" s="1" t="s">
        <v>1663</v>
      </c>
      <c r="AI844" s="1" t="str">
        <f>_xlfn.TEXTAFTER(_xlfn.TEXTBEFORE(batch_summary[[#This Row],[video]],"_",1),"-",3)</f>
        <v>20</v>
      </c>
      <c r="AJ844" s="1" t="str">
        <f>_xlfn.TEXTBEFORE(_xlfn.TEXTAFTER(batch_summary[[#This Row],[video]],"_",1),"_",1)</f>
        <v>20260401</v>
      </c>
      <c r="AK844" s="1" t="str">
        <f>_xlfn.TEXTBEFORE(_xlfn.TEXTAFTER(batch_summary[[#This Row],[video]],"_",2),".",1)</f>
        <v>110000</v>
      </c>
    </row>
    <row r="845" spans="1:37" x14ac:dyDescent="0.2">
      <c r="A845" s="1" t="s">
        <v>1664</v>
      </c>
      <c r="B845" s="1" t="s">
        <v>1665</v>
      </c>
      <c r="C845">
        <v>119.95833333333333</v>
      </c>
      <c r="D845">
        <v>2879</v>
      </c>
      <c r="E845">
        <v>0.29135119821876287</v>
      </c>
      <c r="F845">
        <v>43.435205329209566</v>
      </c>
      <c r="G845">
        <v>1.0119874894712153E-4</v>
      </c>
      <c r="H845">
        <v>1.5086907026470846E-2</v>
      </c>
      <c r="I845">
        <v>5</v>
      </c>
      <c r="J845" t="b">
        <v>1</v>
      </c>
      <c r="K845">
        <v>0.65</v>
      </c>
      <c r="L845">
        <v>1.3</v>
      </c>
      <c r="M845" t="b">
        <v>1</v>
      </c>
      <c r="N845">
        <v>200</v>
      </c>
      <c r="O845" t="b">
        <v>0</v>
      </c>
      <c r="P845" t="b">
        <v>0</v>
      </c>
      <c r="Q845">
        <v>0.7</v>
      </c>
      <c r="R845">
        <v>27736385.258888245</v>
      </c>
      <c r="S845">
        <v>32859955.119255066</v>
      </c>
      <c r="T845">
        <v>26815755.538533688</v>
      </c>
      <c r="U845">
        <v>31812164.386451721</v>
      </c>
      <c r="V845">
        <v>60596340.378143311</v>
      </c>
      <c r="W845">
        <v>58627919.924985409</v>
      </c>
      <c r="X845">
        <v>505144.90068615472</v>
      </c>
      <c r="Y845">
        <v>488735.69927045843</v>
      </c>
      <c r="Z845">
        <v>18953.115195922852</v>
      </c>
      <c r="AA845">
        <v>14656.979981246352</v>
      </c>
      <c r="AB845">
        <v>268157.55538533686</v>
      </c>
      <c r="AC845">
        <v>318121.64386451722</v>
      </c>
      <c r="AD845">
        <v>586279.19924985408</v>
      </c>
      <c r="AE845">
        <v>1.0335747960302275</v>
      </c>
      <c r="AF845" s="1" t="s">
        <v>1666</v>
      </c>
      <c r="AG845" s="1" t="s">
        <v>1667</v>
      </c>
      <c r="AH845" s="1" t="s">
        <v>1668</v>
      </c>
      <c r="AI845" s="1" t="str">
        <f>_xlfn.TEXTAFTER(_xlfn.TEXTBEFORE(batch_summary[[#This Row],[video]],"_",1),"-",3)</f>
        <v>20</v>
      </c>
      <c r="AJ845" s="1" t="str">
        <f>_xlfn.TEXTBEFORE(_xlfn.TEXTAFTER(batch_summary[[#This Row],[video]],"_",1),"_",1)</f>
        <v>20260401</v>
      </c>
      <c r="AK845" s="1" t="str">
        <f>_xlfn.TEXTBEFORE(_xlfn.TEXTAFTER(batch_summary[[#This Row],[video]],"_",2),".",1)</f>
        <v>120000</v>
      </c>
    </row>
    <row r="846" spans="1:37" x14ac:dyDescent="0.2">
      <c r="A846" s="1" t="s">
        <v>1669</v>
      </c>
      <c r="B846" s="1" t="s">
        <v>1670</v>
      </c>
      <c r="C846">
        <v>119.95833333333333</v>
      </c>
      <c r="D846">
        <v>2879</v>
      </c>
      <c r="E846">
        <v>0.29679951071739197</v>
      </c>
      <c r="F846">
        <v>44.089542142115533</v>
      </c>
      <c r="G846">
        <v>1.0309118121479402E-4</v>
      </c>
      <c r="H846">
        <v>1.5314186225118282E-2</v>
      </c>
      <c r="I846">
        <v>5</v>
      </c>
      <c r="J846" t="b">
        <v>1</v>
      </c>
      <c r="K846">
        <v>0.65</v>
      </c>
      <c r="L846">
        <v>1.3</v>
      </c>
      <c r="M846" t="b">
        <v>1</v>
      </c>
      <c r="N846">
        <v>200</v>
      </c>
      <c r="O846" t="b">
        <v>0</v>
      </c>
      <c r="P846" t="b">
        <v>0</v>
      </c>
      <c r="Q846">
        <v>0.7</v>
      </c>
      <c r="R846">
        <v>13188500.091652453</v>
      </c>
      <c r="S846">
        <v>13529622.57250452</v>
      </c>
      <c r="T846">
        <v>12323612.733648837</v>
      </c>
      <c r="U846">
        <v>12612513.150435686</v>
      </c>
      <c r="V846">
        <v>26718122.664156973</v>
      </c>
      <c r="W846">
        <v>24936125.884084523</v>
      </c>
      <c r="X846">
        <v>222728.35843687647</v>
      </c>
      <c r="Y846">
        <v>207873.22723793975</v>
      </c>
      <c r="Z846">
        <v>9802.4201324462883</v>
      </c>
      <c r="AA846">
        <v>6234.0314710211314</v>
      </c>
      <c r="AB846">
        <v>123236.12733648837</v>
      </c>
      <c r="AC846">
        <v>126125.13150435686</v>
      </c>
      <c r="AD846">
        <v>249361.25884084523</v>
      </c>
      <c r="AE846">
        <v>1.0714624552489049</v>
      </c>
      <c r="AF846" s="1" t="s">
        <v>1671</v>
      </c>
      <c r="AG846" s="1" t="s">
        <v>1672</v>
      </c>
      <c r="AH846" s="1" t="s">
        <v>1673</v>
      </c>
      <c r="AI846" s="1" t="str">
        <f>_xlfn.TEXTAFTER(_xlfn.TEXTBEFORE(batch_summary[[#This Row],[video]],"_",1),"-",3)</f>
        <v>20</v>
      </c>
      <c r="AJ846" s="1" t="str">
        <f>_xlfn.TEXTBEFORE(_xlfn.TEXTAFTER(batch_summary[[#This Row],[video]],"_",1),"_",1)</f>
        <v>20260401</v>
      </c>
      <c r="AK846" s="1" t="str">
        <f>_xlfn.TEXTBEFORE(_xlfn.TEXTAFTER(batch_summary[[#This Row],[video]],"_",2),".",1)</f>
        <v>130000</v>
      </c>
    </row>
    <row r="847" spans="1:37" x14ac:dyDescent="0.2">
      <c r="A847" s="1" t="s">
        <v>1674</v>
      </c>
      <c r="B847" s="1" t="s">
        <v>1675</v>
      </c>
      <c r="C847">
        <v>119.95833333333333</v>
      </c>
      <c r="D847">
        <v>2879</v>
      </c>
      <c r="E847">
        <v>0.29246312007308006</v>
      </c>
      <c r="F847">
        <v>43.582319843582809</v>
      </c>
      <c r="G847">
        <v>1.0158496702781524E-4</v>
      </c>
      <c r="H847">
        <v>1.5138006197840503E-2</v>
      </c>
      <c r="I847">
        <v>5</v>
      </c>
      <c r="J847" t="b">
        <v>1</v>
      </c>
      <c r="K847">
        <v>0.65</v>
      </c>
      <c r="L847">
        <v>1.3</v>
      </c>
      <c r="M847" t="b">
        <v>1</v>
      </c>
      <c r="N847">
        <v>200</v>
      </c>
      <c r="O847" t="b">
        <v>0</v>
      </c>
      <c r="P847" t="b">
        <v>0</v>
      </c>
      <c r="Q847">
        <v>0.7</v>
      </c>
      <c r="R847">
        <v>18756257.456521511</v>
      </c>
      <c r="S847">
        <v>16468552.032125473</v>
      </c>
      <c r="T847">
        <v>17625604.189531446</v>
      </c>
      <c r="U847">
        <v>15410258.869923592</v>
      </c>
      <c r="V847">
        <v>35224809.488646984</v>
      </c>
      <c r="W847">
        <v>33035863.059455037</v>
      </c>
      <c r="X847">
        <v>293642.03811306972</v>
      </c>
      <c r="Y847">
        <v>275394.48191278946</v>
      </c>
      <c r="Z847">
        <v>12847.874178466796</v>
      </c>
      <c r="AA847">
        <v>8258.9657648637603</v>
      </c>
      <c r="AB847">
        <v>176256.04189531447</v>
      </c>
      <c r="AC847">
        <v>154102.58869923593</v>
      </c>
      <c r="AD847">
        <v>330358.6305945504</v>
      </c>
      <c r="AE847">
        <v>1.066259701623429</v>
      </c>
      <c r="AF847" s="1" t="s">
        <v>1676</v>
      </c>
      <c r="AG847" s="1" t="s">
        <v>1677</v>
      </c>
      <c r="AH847" s="1" t="s">
        <v>1678</v>
      </c>
      <c r="AI847" s="1" t="str">
        <f>_xlfn.TEXTAFTER(_xlfn.TEXTBEFORE(batch_summary[[#This Row],[video]],"_",1),"-",3)</f>
        <v>20</v>
      </c>
      <c r="AJ847" s="1" t="str">
        <f>_xlfn.TEXTBEFORE(_xlfn.TEXTAFTER(batch_summary[[#This Row],[video]],"_",1),"_",1)</f>
        <v>20260401</v>
      </c>
      <c r="AK847" s="1" t="str">
        <f>_xlfn.TEXTBEFORE(_xlfn.TEXTAFTER(batch_summary[[#This Row],[video]],"_",2),".",1)</f>
        <v>140000</v>
      </c>
    </row>
    <row r="848" spans="1:37" x14ac:dyDescent="0.2">
      <c r="A848" s="1" t="s">
        <v>1679</v>
      </c>
      <c r="B848" s="1" t="s">
        <v>1680</v>
      </c>
      <c r="C848">
        <v>119.95833333333333</v>
      </c>
      <c r="D848">
        <v>2879</v>
      </c>
      <c r="E848">
        <v>0.31097442097961903</v>
      </c>
      <c r="F848">
        <v>44.356123845092952</v>
      </c>
      <c r="G848">
        <v>1.0801473462300071E-4</v>
      </c>
      <c r="H848">
        <v>1.5406781467555732E-2</v>
      </c>
      <c r="I848">
        <v>5</v>
      </c>
      <c r="J848" t="b">
        <v>1</v>
      </c>
      <c r="K848">
        <v>0.65</v>
      </c>
      <c r="L848">
        <v>1.3</v>
      </c>
      <c r="M848" t="b">
        <v>1</v>
      </c>
      <c r="N848">
        <v>200</v>
      </c>
      <c r="O848" t="b">
        <v>0</v>
      </c>
      <c r="P848" t="b">
        <v>0</v>
      </c>
      <c r="Q848">
        <v>0.7</v>
      </c>
      <c r="R848">
        <v>9698834.1815348268</v>
      </c>
      <c r="S848">
        <v>8263626.351339519</v>
      </c>
      <c r="T848">
        <v>8866538.0969521403</v>
      </c>
      <c r="U848">
        <v>7465613.7282438874</v>
      </c>
      <c r="V848">
        <v>17962460.532874346</v>
      </c>
      <c r="W848">
        <v>16332151.825196028</v>
      </c>
      <c r="X848">
        <v>149739.16387251974</v>
      </c>
      <c r="Y848">
        <v>136148.53900823364</v>
      </c>
      <c r="Z848">
        <v>7293.6716059583432</v>
      </c>
      <c r="AA848">
        <v>4083.037956299007</v>
      </c>
      <c r="AB848">
        <v>88665.3809695214</v>
      </c>
      <c r="AC848">
        <v>74656.137282438867</v>
      </c>
      <c r="AD848">
        <v>163321.51825196028</v>
      </c>
      <c r="AE848">
        <v>1.0998220396875811</v>
      </c>
      <c r="AF848" s="1" t="s">
        <v>1681</v>
      </c>
      <c r="AG848" s="1" t="s">
        <v>1682</v>
      </c>
      <c r="AH848" s="1" t="s">
        <v>1683</v>
      </c>
      <c r="AI848" s="1" t="str">
        <f>_xlfn.TEXTAFTER(_xlfn.TEXTBEFORE(batch_summary[[#This Row],[video]],"_",1),"-",3)</f>
        <v>20</v>
      </c>
      <c r="AJ848" s="1" t="str">
        <f>_xlfn.TEXTBEFORE(_xlfn.TEXTAFTER(batch_summary[[#This Row],[video]],"_",1),"_",1)</f>
        <v>20260401</v>
      </c>
      <c r="AK848" s="1" t="str">
        <f>_xlfn.TEXTBEFORE(_xlfn.TEXTAFTER(batch_summary[[#This Row],[video]],"_",2),".",1)</f>
        <v>150000</v>
      </c>
    </row>
    <row r="849" spans="1:37" x14ac:dyDescent="0.2">
      <c r="A849" s="1" t="s">
        <v>1684</v>
      </c>
      <c r="B849" s="1" t="s">
        <v>1685</v>
      </c>
      <c r="C849">
        <v>119.95833333333333</v>
      </c>
      <c r="D849">
        <v>2879</v>
      </c>
      <c r="E849">
        <v>0.32503367029130459</v>
      </c>
      <c r="F849">
        <v>44.590510481037199</v>
      </c>
      <c r="G849">
        <v>1.1289811402962994E-4</v>
      </c>
      <c r="H849">
        <v>1.5488193984382493E-2</v>
      </c>
      <c r="I849">
        <v>5</v>
      </c>
      <c r="J849" t="b">
        <v>1</v>
      </c>
      <c r="K849">
        <v>0.65</v>
      </c>
      <c r="L849">
        <v>1.3</v>
      </c>
      <c r="M849" t="b">
        <v>1</v>
      </c>
      <c r="N849">
        <v>200</v>
      </c>
      <c r="O849" t="b">
        <v>0</v>
      </c>
      <c r="P849" t="b">
        <v>0</v>
      </c>
      <c r="Q849">
        <v>0.7</v>
      </c>
      <c r="R849">
        <v>7771324.9853377938</v>
      </c>
      <c r="S849">
        <v>7607067.8009785414</v>
      </c>
      <c r="T849">
        <v>7116319.7845731378</v>
      </c>
      <c r="U849">
        <v>6922613.3108588457</v>
      </c>
      <c r="V849">
        <v>15378392.786316335</v>
      </c>
      <c r="W849">
        <v>14038933.095431983</v>
      </c>
      <c r="X849">
        <v>128197.78633955959</v>
      </c>
      <c r="Y849">
        <v>117031.74515122182</v>
      </c>
      <c r="Z849">
        <v>5728.1869619750978</v>
      </c>
      <c r="AA849">
        <v>3509.7332738579962</v>
      </c>
      <c r="AB849">
        <v>71163.197845731382</v>
      </c>
      <c r="AC849">
        <v>69226.133108588459</v>
      </c>
      <c r="AD849">
        <v>140389.33095431986</v>
      </c>
      <c r="AE849">
        <v>1.0954103621535305</v>
      </c>
      <c r="AF849" s="1" t="s">
        <v>1686</v>
      </c>
      <c r="AG849" s="1" t="s">
        <v>1687</v>
      </c>
      <c r="AH849" s="1" t="s">
        <v>1688</v>
      </c>
      <c r="AI849" s="1" t="str">
        <f>_xlfn.TEXTAFTER(_xlfn.TEXTBEFORE(batch_summary[[#This Row],[video]],"_",1),"-",3)</f>
        <v>20</v>
      </c>
      <c r="AJ849" s="1" t="str">
        <f>_xlfn.TEXTBEFORE(_xlfn.TEXTAFTER(batch_summary[[#This Row],[video]],"_",1),"_",1)</f>
        <v>20260401</v>
      </c>
      <c r="AK849" s="1" t="str">
        <f>_xlfn.TEXTBEFORE(_xlfn.TEXTAFTER(batch_summary[[#This Row],[video]],"_",2),".",1)</f>
        <v>160000</v>
      </c>
    </row>
    <row r="850" spans="1:37" x14ac:dyDescent="0.2">
      <c r="A850" s="1" t="s">
        <v>1689</v>
      </c>
      <c r="B850" s="1" t="s">
        <v>1690</v>
      </c>
      <c r="C850">
        <v>119.95833333333333</v>
      </c>
      <c r="D850">
        <v>2879</v>
      </c>
      <c r="E850">
        <v>0.34020694904029369</v>
      </c>
      <c r="F850">
        <v>45.028835317119956</v>
      </c>
      <c r="G850">
        <v>1.1816844357078627E-4</v>
      </c>
      <c r="H850">
        <v>1.564044297225424E-2</v>
      </c>
      <c r="I850">
        <v>5</v>
      </c>
      <c r="J850" t="b">
        <v>1</v>
      </c>
      <c r="K850">
        <v>0.65</v>
      </c>
      <c r="L850">
        <v>1.3</v>
      </c>
      <c r="M850" t="b">
        <v>1</v>
      </c>
      <c r="N850">
        <v>200</v>
      </c>
      <c r="O850" t="b">
        <v>0</v>
      </c>
      <c r="P850" t="b">
        <v>0</v>
      </c>
      <c r="Q850">
        <v>0.7</v>
      </c>
      <c r="R850">
        <v>6195054.3002784848</v>
      </c>
      <c r="S850">
        <v>4812406.2799592018</v>
      </c>
      <c r="T850">
        <v>5572806.7697454691</v>
      </c>
      <c r="U850">
        <v>4263286.6782155633</v>
      </c>
      <c r="V850">
        <v>11007460.580237687</v>
      </c>
      <c r="W850">
        <v>9836093.4479610324</v>
      </c>
      <c r="X850">
        <v>91760.699522648312</v>
      </c>
      <c r="Y850">
        <v>81995.91620391274</v>
      </c>
      <c r="Z850">
        <v>4972.0898624157908</v>
      </c>
      <c r="AA850">
        <v>2459.0233619902583</v>
      </c>
      <c r="AB850">
        <v>55728.067697454688</v>
      </c>
      <c r="AC850">
        <v>42632.86678215563</v>
      </c>
      <c r="AD850">
        <v>98360.934479610325</v>
      </c>
      <c r="AE850">
        <v>1.119088654298976</v>
      </c>
      <c r="AF850" s="1" t="s">
        <v>1691</v>
      </c>
      <c r="AG850" s="1" t="s">
        <v>1692</v>
      </c>
      <c r="AH850" s="1" t="s">
        <v>1693</v>
      </c>
      <c r="AI850" s="1" t="str">
        <f>_xlfn.TEXTAFTER(_xlfn.TEXTBEFORE(batch_summary[[#This Row],[video]],"_",1),"-",3)</f>
        <v>20</v>
      </c>
      <c r="AJ850" s="1" t="str">
        <f>_xlfn.TEXTBEFORE(_xlfn.TEXTAFTER(batch_summary[[#This Row],[video]],"_",1),"_",1)</f>
        <v>20260401</v>
      </c>
      <c r="AK850" s="1" t="str">
        <f>_xlfn.TEXTBEFORE(_xlfn.TEXTAFTER(batch_summary[[#This Row],[video]],"_",2),".",1)</f>
        <v>170000</v>
      </c>
    </row>
    <row r="851" spans="1:37" x14ac:dyDescent="0.2">
      <c r="A851" s="1" t="s">
        <v>1694</v>
      </c>
      <c r="B851" s="1" t="s">
        <v>1695</v>
      </c>
      <c r="C851">
        <v>119.95833333333333</v>
      </c>
      <c r="D851">
        <v>2879</v>
      </c>
      <c r="E851">
        <v>0.33859957102686167</v>
      </c>
      <c r="F851">
        <v>45.03657675627619</v>
      </c>
      <c r="G851">
        <v>1.1761013234694744E-4</v>
      </c>
      <c r="H851">
        <v>1.5643131905618685E-2</v>
      </c>
      <c r="I851">
        <v>5</v>
      </c>
      <c r="J851" t="b">
        <v>1</v>
      </c>
      <c r="K851">
        <v>0.65</v>
      </c>
      <c r="L851">
        <v>1.3</v>
      </c>
      <c r="M851" t="b">
        <v>1</v>
      </c>
      <c r="N851">
        <v>200</v>
      </c>
      <c r="O851" t="b">
        <v>0</v>
      </c>
      <c r="P851" t="b">
        <v>0</v>
      </c>
      <c r="Q851">
        <v>0.7</v>
      </c>
      <c r="R851">
        <v>4944372.5358657241</v>
      </c>
      <c r="S851">
        <v>4851560.4323650002</v>
      </c>
      <c r="T851">
        <v>4460135.2118703723</v>
      </c>
      <c r="U851">
        <v>4280413.3052930832</v>
      </c>
      <c r="V851">
        <v>9795932.9682307243</v>
      </c>
      <c r="W851">
        <v>8740548.5171634555</v>
      </c>
      <c r="X851">
        <v>81661.129294038692</v>
      </c>
      <c r="Y851">
        <v>72863.20403331815</v>
      </c>
      <c r="Z851">
        <v>4815.0415102005009</v>
      </c>
      <c r="AA851">
        <v>2185.1371292908639</v>
      </c>
      <c r="AB851">
        <v>44601.352118703726</v>
      </c>
      <c r="AC851">
        <v>42804.133052930832</v>
      </c>
      <c r="AD851">
        <v>87405.485171634558</v>
      </c>
      <c r="AE851">
        <v>1.1207457917537846</v>
      </c>
      <c r="AF851" s="1" t="s">
        <v>1696</v>
      </c>
      <c r="AG851" s="1" t="s">
        <v>1697</v>
      </c>
      <c r="AH851" s="1" t="s">
        <v>1698</v>
      </c>
      <c r="AI851" s="1" t="str">
        <f>_xlfn.TEXTAFTER(_xlfn.TEXTBEFORE(batch_summary[[#This Row],[video]],"_",1),"-",3)</f>
        <v>20</v>
      </c>
      <c r="AJ851" s="1" t="str">
        <f>_xlfn.TEXTBEFORE(_xlfn.TEXTAFTER(batch_summary[[#This Row],[video]],"_",1),"_",1)</f>
        <v>20260401</v>
      </c>
      <c r="AK851" s="1" t="str">
        <f>_xlfn.TEXTBEFORE(_xlfn.TEXTAFTER(batch_summary[[#This Row],[video]],"_",2),".",1)</f>
        <v>180000</v>
      </c>
    </row>
    <row r="852" spans="1:37" x14ac:dyDescent="0.2">
      <c r="A852" s="1" t="s">
        <v>1699</v>
      </c>
      <c r="B852" s="1" t="s">
        <v>1700</v>
      </c>
      <c r="C852">
        <v>119.95833333333333</v>
      </c>
      <c r="D852">
        <v>2879</v>
      </c>
      <c r="E852">
        <v>0.33488395996391773</v>
      </c>
      <c r="F852">
        <v>43.811743140220642</v>
      </c>
      <c r="G852">
        <v>1.1631954149493496E-4</v>
      </c>
      <c r="H852">
        <v>1.5217694734359376E-2</v>
      </c>
      <c r="I852">
        <v>5</v>
      </c>
      <c r="J852" t="b">
        <v>1</v>
      </c>
      <c r="K852">
        <v>0.65</v>
      </c>
      <c r="L852">
        <v>1.3</v>
      </c>
      <c r="M852" t="b">
        <v>1</v>
      </c>
      <c r="N852">
        <v>200</v>
      </c>
      <c r="O852" t="b">
        <v>0</v>
      </c>
      <c r="P852" t="b">
        <v>0</v>
      </c>
      <c r="Q852">
        <v>0.7</v>
      </c>
      <c r="R852">
        <v>7152.7643300294876</v>
      </c>
      <c r="S852">
        <v>9288.2507942318916</v>
      </c>
      <c r="T852">
        <v>0</v>
      </c>
      <c r="U852">
        <v>0</v>
      </c>
      <c r="V852">
        <v>16441.015124261379</v>
      </c>
      <c r="W852">
        <v>0</v>
      </c>
      <c r="X852">
        <v>137.05604827449571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16441015124.261379</v>
      </c>
      <c r="AF852" s="1" t="s">
        <v>1701</v>
      </c>
      <c r="AG852" s="1" t="s">
        <v>1702</v>
      </c>
      <c r="AH852" s="1" t="s">
        <v>1703</v>
      </c>
      <c r="AI852" s="1" t="str">
        <f>_xlfn.TEXTAFTER(_xlfn.TEXTBEFORE(batch_summary[[#This Row],[video]],"_",1),"-",3)</f>
        <v>20</v>
      </c>
      <c r="AJ852" s="1" t="str">
        <f>_xlfn.TEXTBEFORE(_xlfn.TEXTAFTER(batch_summary[[#This Row],[video]],"_",1),"_",1)</f>
        <v>20260401</v>
      </c>
      <c r="AK852" s="1" t="str">
        <f>_xlfn.TEXTBEFORE(_xlfn.TEXTAFTER(batch_summary[[#This Row],[video]],"_",2),".",1)</f>
        <v>190000</v>
      </c>
    </row>
    <row r="853" spans="1:37" x14ac:dyDescent="0.2">
      <c r="A853" s="1" t="s">
        <v>1704</v>
      </c>
      <c r="B853" s="1" t="s">
        <v>1705</v>
      </c>
      <c r="C853">
        <v>119.95833333333333</v>
      </c>
      <c r="D853">
        <v>2879</v>
      </c>
      <c r="E853">
        <v>0.35768110118806362</v>
      </c>
      <c r="F853">
        <v>45.155181643553078</v>
      </c>
      <c r="G853">
        <v>1.2423796498369698E-4</v>
      </c>
      <c r="H853">
        <v>1.568432846250541E-2</v>
      </c>
      <c r="I853">
        <v>5</v>
      </c>
      <c r="J853" t="b">
        <v>1</v>
      </c>
      <c r="K853">
        <v>0.65</v>
      </c>
      <c r="L853">
        <v>1.3</v>
      </c>
      <c r="M853" t="b">
        <v>1</v>
      </c>
      <c r="N853">
        <v>200</v>
      </c>
      <c r="O853" t="b">
        <v>0</v>
      </c>
      <c r="P853" t="b">
        <v>0</v>
      </c>
      <c r="Q853">
        <v>0.7</v>
      </c>
      <c r="R853">
        <v>914250.75772029161</v>
      </c>
      <c r="S853">
        <v>934577.05376946926</v>
      </c>
      <c r="T853">
        <v>572713.55363631248</v>
      </c>
      <c r="U853">
        <v>586317.50557649136</v>
      </c>
      <c r="V853">
        <v>1848827.8114897609</v>
      </c>
      <c r="W853">
        <v>1159031.0592128038</v>
      </c>
      <c r="X853">
        <v>15412.24990474271</v>
      </c>
      <c r="Y853">
        <v>9661.9470028160104</v>
      </c>
      <c r="Z853">
        <v>804.5741522789001</v>
      </c>
      <c r="AA853">
        <v>289.75776480320098</v>
      </c>
      <c r="AB853">
        <v>5727.1355363631246</v>
      </c>
      <c r="AC853">
        <v>5863.1750557649138</v>
      </c>
      <c r="AD853">
        <v>11590.310592128038</v>
      </c>
      <c r="AE853">
        <v>1.5951494973270659</v>
      </c>
      <c r="AF853" s="1" t="s">
        <v>1706</v>
      </c>
      <c r="AG853" s="1" t="s">
        <v>1707</v>
      </c>
      <c r="AH853" s="1" t="s">
        <v>1708</v>
      </c>
      <c r="AI853" s="1" t="str">
        <f>_xlfn.TEXTAFTER(_xlfn.TEXTBEFORE(batch_summary[[#This Row],[video]],"_",1),"-",3)</f>
        <v>20</v>
      </c>
      <c r="AJ853" s="1" t="str">
        <f>_xlfn.TEXTBEFORE(_xlfn.TEXTAFTER(batch_summary[[#This Row],[video]],"_",1),"_",1)</f>
        <v>20260402</v>
      </c>
      <c r="AK853" s="1" t="str">
        <f>_xlfn.TEXTBEFORE(_xlfn.TEXTAFTER(batch_summary[[#This Row],[video]],"_",2),".",1)</f>
        <v>060000</v>
      </c>
    </row>
    <row r="854" spans="1:37" x14ac:dyDescent="0.2">
      <c r="A854" s="1" t="s">
        <v>1709</v>
      </c>
      <c r="B854" s="1" t="s">
        <v>1710</v>
      </c>
      <c r="C854">
        <v>119.95833333333333</v>
      </c>
      <c r="D854">
        <v>2879</v>
      </c>
      <c r="E854">
        <v>0.32289788126945496</v>
      </c>
      <c r="F854">
        <v>44.013319141231477</v>
      </c>
      <c r="G854">
        <v>1.1215626303211356E-4</v>
      </c>
      <c r="H854">
        <v>1.5287710712480541E-2</v>
      </c>
      <c r="I854">
        <v>5</v>
      </c>
      <c r="J854" t="b">
        <v>1</v>
      </c>
      <c r="K854">
        <v>0.65</v>
      </c>
      <c r="L854">
        <v>1.3</v>
      </c>
      <c r="M854" t="b">
        <v>1</v>
      </c>
      <c r="N854">
        <v>200</v>
      </c>
      <c r="O854" t="b">
        <v>0</v>
      </c>
      <c r="P854" t="b">
        <v>0</v>
      </c>
      <c r="Q854">
        <v>0.7</v>
      </c>
      <c r="R854">
        <v>42964.131321072578</v>
      </c>
      <c r="S854">
        <v>68215.471395730972</v>
      </c>
      <c r="T854">
        <v>23899.575103759766</v>
      </c>
      <c r="U854">
        <v>38228.215362548828</v>
      </c>
      <c r="V854">
        <v>111179.60271680355</v>
      </c>
      <c r="W854">
        <v>62127.790466308594</v>
      </c>
      <c r="X854">
        <v>926.81850128630958</v>
      </c>
      <c r="Y854">
        <v>517.91141757256207</v>
      </c>
      <c r="Z854">
        <v>302.33993392944336</v>
      </c>
      <c r="AA854">
        <v>15.531947616577151</v>
      </c>
      <c r="AB854">
        <v>238.99575103759764</v>
      </c>
      <c r="AC854">
        <v>382.28215362548826</v>
      </c>
      <c r="AD854">
        <v>621.27790466308591</v>
      </c>
      <c r="AE854">
        <v>1.7895309310427732</v>
      </c>
      <c r="AF854" s="1" t="s">
        <v>1711</v>
      </c>
      <c r="AG854" s="1" t="s">
        <v>1712</v>
      </c>
      <c r="AH854" s="1" t="s">
        <v>1713</v>
      </c>
      <c r="AI854" s="1" t="str">
        <f>_xlfn.TEXTAFTER(_xlfn.TEXTBEFORE(batch_summary[[#This Row],[video]],"_",1),"-",3)</f>
        <v>20</v>
      </c>
      <c r="AJ854" s="1" t="str">
        <f>_xlfn.TEXTBEFORE(_xlfn.TEXTAFTER(batch_summary[[#This Row],[video]],"_",1),"_",1)</f>
        <v>20260402</v>
      </c>
      <c r="AK854" s="1" t="str">
        <f>_xlfn.TEXTBEFORE(_xlfn.TEXTAFTER(batch_summary[[#This Row],[video]],"_",2),".",1)</f>
        <v>070000</v>
      </c>
    </row>
    <row r="855" spans="1:37" x14ac:dyDescent="0.2">
      <c r="A855" s="1" t="s">
        <v>1714</v>
      </c>
      <c r="B855" s="1" t="s">
        <v>1715</v>
      </c>
      <c r="C855">
        <v>119.95833333333333</v>
      </c>
      <c r="D855">
        <v>2879</v>
      </c>
      <c r="E855">
        <v>0.31762468349188566</v>
      </c>
      <c r="F855">
        <v>44.953975458629429</v>
      </c>
      <c r="G855">
        <v>1.1032465560676821E-4</v>
      </c>
      <c r="H855">
        <v>1.5614440937349577E-2</v>
      </c>
      <c r="I855">
        <v>5</v>
      </c>
      <c r="J855" t="b">
        <v>1</v>
      </c>
      <c r="K855">
        <v>0.65</v>
      </c>
      <c r="L855">
        <v>1.3</v>
      </c>
      <c r="M855" t="b">
        <v>1</v>
      </c>
      <c r="N855">
        <v>200</v>
      </c>
      <c r="O855" t="b">
        <v>0</v>
      </c>
      <c r="P855" t="b">
        <v>0</v>
      </c>
      <c r="Q855">
        <v>0.7</v>
      </c>
      <c r="R855">
        <v>588871.95596939325</v>
      </c>
      <c r="S855">
        <v>754900.20379984379</v>
      </c>
      <c r="T855">
        <v>514388.05907583237</v>
      </c>
      <c r="U855">
        <v>657488.4876177907</v>
      </c>
      <c r="V855">
        <v>1343772.159769237</v>
      </c>
      <c r="W855">
        <v>1171876.5466936231</v>
      </c>
      <c r="X855">
        <v>11201.990911587944</v>
      </c>
      <c r="Y855">
        <v>9769.0299133890076</v>
      </c>
      <c r="Z855">
        <v>3560.5726701551675</v>
      </c>
      <c r="AA855">
        <v>292.96913667340579</v>
      </c>
      <c r="AB855">
        <v>5143.8805907583237</v>
      </c>
      <c r="AC855">
        <v>6574.8848761779072</v>
      </c>
      <c r="AD855">
        <v>11718.765466936231</v>
      </c>
      <c r="AE855">
        <v>1.1466840628909305</v>
      </c>
      <c r="AF855" s="1" t="s">
        <v>1716</v>
      </c>
      <c r="AG855" s="1" t="s">
        <v>1717</v>
      </c>
      <c r="AH855" s="1" t="s">
        <v>1718</v>
      </c>
      <c r="AI855" s="1" t="str">
        <f>_xlfn.TEXTAFTER(_xlfn.TEXTBEFORE(batch_summary[[#This Row],[video]],"_",1),"-",3)</f>
        <v>20</v>
      </c>
      <c r="AJ855" s="1" t="str">
        <f>_xlfn.TEXTBEFORE(_xlfn.TEXTAFTER(batch_summary[[#This Row],[video]],"_",1),"_",1)</f>
        <v>20260402</v>
      </c>
      <c r="AK855" s="1" t="str">
        <f>_xlfn.TEXTBEFORE(_xlfn.TEXTAFTER(batch_summary[[#This Row],[video]],"_",2),".",1)</f>
        <v>080000</v>
      </c>
    </row>
    <row r="856" spans="1:37" x14ac:dyDescent="0.2">
      <c r="A856" s="1" t="s">
        <v>1719</v>
      </c>
      <c r="B856" s="1" t="s">
        <v>1720</v>
      </c>
      <c r="C856">
        <v>119.95833333333333</v>
      </c>
      <c r="D856">
        <v>2879</v>
      </c>
      <c r="E856">
        <v>0.30250050872564316</v>
      </c>
      <c r="F856">
        <v>44.123848072253168</v>
      </c>
      <c r="G856">
        <v>1.0507138198181423E-4</v>
      </c>
      <c r="H856">
        <v>1.5326102143887866E-2</v>
      </c>
      <c r="I856">
        <v>5</v>
      </c>
      <c r="J856" t="b">
        <v>1</v>
      </c>
      <c r="K856">
        <v>0.65</v>
      </c>
      <c r="L856">
        <v>1.3</v>
      </c>
      <c r="M856" t="b">
        <v>1</v>
      </c>
      <c r="N856">
        <v>200</v>
      </c>
      <c r="O856" t="b">
        <v>0</v>
      </c>
      <c r="P856" t="b">
        <v>0</v>
      </c>
      <c r="Q856">
        <v>0.7</v>
      </c>
      <c r="R856">
        <v>12390046.571106553</v>
      </c>
      <c r="S856">
        <v>15174579.061101258</v>
      </c>
      <c r="T856">
        <v>11359524.846478879</v>
      </c>
      <c r="U856">
        <v>13993547.364212453</v>
      </c>
      <c r="V856">
        <v>27564625.632207811</v>
      </c>
      <c r="W856">
        <v>25353072.210691333</v>
      </c>
      <c r="X856">
        <v>229785.00006008596</v>
      </c>
      <c r="Y856">
        <v>211348.98682062939</v>
      </c>
      <c r="Z856">
        <v>11373.916625976562</v>
      </c>
      <c r="AA856">
        <v>6338.2680526728336</v>
      </c>
      <c r="AB856">
        <v>113595.24846478879</v>
      </c>
      <c r="AC856">
        <v>139935.47364212453</v>
      </c>
      <c r="AD856">
        <v>253530.72210691334</v>
      </c>
      <c r="AE856">
        <v>1.0872301945554304</v>
      </c>
      <c r="AF856" s="1" t="s">
        <v>1721</v>
      </c>
      <c r="AG856" s="1" t="s">
        <v>1722</v>
      </c>
      <c r="AH856" s="1" t="s">
        <v>1723</v>
      </c>
      <c r="AI856" s="1" t="str">
        <f>_xlfn.TEXTAFTER(_xlfn.TEXTBEFORE(batch_summary[[#This Row],[video]],"_",1),"-",3)</f>
        <v>20</v>
      </c>
      <c r="AJ856" s="1" t="str">
        <f>_xlfn.TEXTBEFORE(_xlfn.TEXTAFTER(batch_summary[[#This Row],[video]],"_",1),"_",1)</f>
        <v>20260402</v>
      </c>
      <c r="AK856" s="1" t="str">
        <f>_xlfn.TEXTBEFORE(_xlfn.TEXTAFTER(batch_summary[[#This Row],[video]],"_",2),".",1)</f>
        <v>090000</v>
      </c>
    </row>
    <row r="857" spans="1:37" x14ac:dyDescent="0.2">
      <c r="A857" s="1" t="s">
        <v>1724</v>
      </c>
      <c r="B857" s="1" t="s">
        <v>1725</v>
      </c>
      <c r="C857">
        <v>119.95833333333333</v>
      </c>
      <c r="D857">
        <v>2879</v>
      </c>
      <c r="E857">
        <v>0.29050320014357567</v>
      </c>
      <c r="F857">
        <v>43.650359170511365</v>
      </c>
      <c r="G857">
        <v>1.0090420289808116E-4</v>
      </c>
      <c r="H857">
        <v>1.5161639170028262E-2</v>
      </c>
      <c r="I857">
        <v>5</v>
      </c>
      <c r="J857" t="b">
        <v>1</v>
      </c>
      <c r="K857">
        <v>0.65</v>
      </c>
      <c r="L857">
        <v>1.3</v>
      </c>
      <c r="M857" t="b">
        <v>1</v>
      </c>
      <c r="N857">
        <v>200</v>
      </c>
      <c r="O857" t="b">
        <v>0</v>
      </c>
      <c r="P857" t="b">
        <v>0</v>
      </c>
      <c r="Q857">
        <v>0.7</v>
      </c>
      <c r="R857">
        <v>17056441.07950592</v>
      </c>
      <c r="S857">
        <v>19058692.072643638</v>
      </c>
      <c r="T857">
        <v>15939404.564706922</v>
      </c>
      <c r="U857">
        <v>17834593.861345589</v>
      </c>
      <c r="V857">
        <v>36115133.152149558</v>
      </c>
      <c r="W857">
        <v>33773998.426052511</v>
      </c>
      <c r="X857">
        <v>301063.97903841245</v>
      </c>
      <c r="Y857">
        <v>281547.74651797855</v>
      </c>
      <c r="Z857">
        <v>11983.013453369142</v>
      </c>
      <c r="AA857">
        <v>8443.4996065131272</v>
      </c>
      <c r="AB857">
        <v>159394.04564706923</v>
      </c>
      <c r="AC857">
        <v>178345.93861345589</v>
      </c>
      <c r="AD857">
        <v>337739.98426052509</v>
      </c>
      <c r="AE857">
        <v>1.0693176655178367</v>
      </c>
      <c r="AF857" s="1" t="s">
        <v>1726</v>
      </c>
      <c r="AG857" s="1" t="s">
        <v>1727</v>
      </c>
      <c r="AH857" s="1" t="s">
        <v>1728</v>
      </c>
      <c r="AI857" s="1" t="str">
        <f>_xlfn.TEXTAFTER(_xlfn.TEXTBEFORE(batch_summary[[#This Row],[video]],"_",1),"-",3)</f>
        <v>20</v>
      </c>
      <c r="AJ857" s="1" t="str">
        <f>_xlfn.TEXTBEFORE(_xlfn.TEXTAFTER(batch_summary[[#This Row],[video]],"_",1),"_",1)</f>
        <v>20260402</v>
      </c>
      <c r="AK857" s="1" t="str">
        <f>_xlfn.TEXTBEFORE(_xlfn.TEXTAFTER(batch_summary[[#This Row],[video]],"_",2),".",1)</f>
        <v>100000</v>
      </c>
    </row>
    <row r="858" spans="1:37" x14ac:dyDescent="0.2">
      <c r="A858" s="1" t="s">
        <v>1729</v>
      </c>
      <c r="B858" s="1" t="s">
        <v>1730</v>
      </c>
      <c r="C858">
        <v>119.95833333333333</v>
      </c>
      <c r="D858">
        <v>2879</v>
      </c>
      <c r="E858">
        <v>0.29767999332398176</v>
      </c>
      <c r="F858">
        <v>44.125545444898307</v>
      </c>
      <c r="G858">
        <v>1.0339701053281756E-4</v>
      </c>
      <c r="H858">
        <v>1.5326691714101531E-2</v>
      </c>
      <c r="I858">
        <v>5</v>
      </c>
      <c r="J858" t="b">
        <v>1</v>
      </c>
      <c r="K858">
        <v>0.65</v>
      </c>
      <c r="L858">
        <v>1.3</v>
      </c>
      <c r="M858" t="b">
        <v>1</v>
      </c>
      <c r="N858">
        <v>200</v>
      </c>
      <c r="O858" t="b">
        <v>0</v>
      </c>
      <c r="P858" t="b">
        <v>0</v>
      </c>
      <c r="Q858">
        <v>0.7</v>
      </c>
      <c r="R858">
        <v>15348139.306568027</v>
      </c>
      <c r="S858">
        <v>18231516.031447411</v>
      </c>
      <c r="T858">
        <v>14250176.537310839</v>
      </c>
      <c r="U858">
        <v>17038434.63094306</v>
      </c>
      <c r="V858">
        <v>33579655.338015437</v>
      </c>
      <c r="W858">
        <v>31288611.168253899</v>
      </c>
      <c r="X858">
        <v>279927.65825368895</v>
      </c>
      <c r="Y858">
        <v>260828.99202434652</v>
      </c>
      <c r="Z858">
        <v>11988.715298461913</v>
      </c>
      <c r="AA858">
        <v>7822.1527920634744</v>
      </c>
      <c r="AB858">
        <v>142501.76537310838</v>
      </c>
      <c r="AC858">
        <v>170384.34630943061</v>
      </c>
      <c r="AD858">
        <v>312886.11168253899</v>
      </c>
      <c r="AE858">
        <v>1.0732229422853412</v>
      </c>
      <c r="AF858" s="1" t="s">
        <v>1731</v>
      </c>
      <c r="AG858" s="1" t="s">
        <v>1732</v>
      </c>
      <c r="AH858" s="1" t="s">
        <v>1733</v>
      </c>
      <c r="AI858" s="1" t="str">
        <f>_xlfn.TEXTAFTER(_xlfn.TEXTBEFORE(batch_summary[[#This Row],[video]],"_",1),"-",3)</f>
        <v>20</v>
      </c>
      <c r="AJ858" s="1" t="str">
        <f>_xlfn.TEXTBEFORE(_xlfn.TEXTAFTER(batch_summary[[#This Row],[video]],"_",1),"_",1)</f>
        <v>20260402</v>
      </c>
      <c r="AK858" s="1" t="str">
        <f>_xlfn.TEXTBEFORE(_xlfn.TEXTAFTER(batch_summary[[#This Row],[video]],"_",2),".",1)</f>
        <v>110000</v>
      </c>
    </row>
    <row r="859" spans="1:37" x14ac:dyDescent="0.2">
      <c r="A859" s="1" t="s">
        <v>1734</v>
      </c>
      <c r="B859" s="1" t="s">
        <v>1735</v>
      </c>
      <c r="C859">
        <v>119.95833333333333</v>
      </c>
      <c r="D859">
        <v>2879</v>
      </c>
      <c r="E859">
        <v>0.29706502519547939</v>
      </c>
      <c r="F859">
        <v>43.678931748494506</v>
      </c>
      <c r="G859">
        <v>1.0318340576432073E-4</v>
      </c>
      <c r="H859">
        <v>1.5171563650050193E-2</v>
      </c>
      <c r="I859">
        <v>5</v>
      </c>
      <c r="J859" t="b">
        <v>1</v>
      </c>
      <c r="K859">
        <v>0.65</v>
      </c>
      <c r="L859">
        <v>1.3</v>
      </c>
      <c r="M859" t="b">
        <v>1</v>
      </c>
      <c r="N859">
        <v>200</v>
      </c>
      <c r="O859" t="b">
        <v>0</v>
      </c>
      <c r="P859" t="b">
        <v>0</v>
      </c>
      <c r="Q859">
        <v>0.7</v>
      </c>
      <c r="R859">
        <v>15598493.929244518</v>
      </c>
      <c r="S859">
        <v>15981922.767298937</v>
      </c>
      <c r="T859">
        <v>14271457.628963649</v>
      </c>
      <c r="U859">
        <v>14690851.508224368</v>
      </c>
      <c r="V859">
        <v>31580416.696543455</v>
      </c>
      <c r="W859">
        <v>28962309.137188017</v>
      </c>
      <c r="X859">
        <v>263261.54939806979</v>
      </c>
      <c r="Y859">
        <v>241436.40822942427</v>
      </c>
      <c r="Z859">
        <v>10430.07357243538</v>
      </c>
      <c r="AA859">
        <v>7240.5772842970036</v>
      </c>
      <c r="AB859">
        <v>142714.57628963649</v>
      </c>
      <c r="AC859">
        <v>146908.51508224368</v>
      </c>
      <c r="AD859">
        <v>289623.09137188015</v>
      </c>
      <c r="AE859">
        <v>1.0903970587066814</v>
      </c>
      <c r="AF859" s="1" t="s">
        <v>1736</v>
      </c>
      <c r="AG859" s="1" t="s">
        <v>1737</v>
      </c>
      <c r="AH859" s="1" t="s">
        <v>1738</v>
      </c>
      <c r="AI859" s="1" t="str">
        <f>_xlfn.TEXTAFTER(_xlfn.TEXTBEFORE(batch_summary[[#This Row],[video]],"_",1),"-",3)</f>
        <v>20</v>
      </c>
      <c r="AJ859" s="1" t="str">
        <f>_xlfn.TEXTBEFORE(_xlfn.TEXTAFTER(batch_summary[[#This Row],[video]],"_",1),"_",1)</f>
        <v>20260402</v>
      </c>
      <c r="AK859" s="1" t="str">
        <f>_xlfn.TEXTBEFORE(_xlfn.TEXTAFTER(batch_summary[[#This Row],[video]],"_",2),".",1)</f>
        <v>120000</v>
      </c>
    </row>
    <row r="860" spans="1:37" x14ac:dyDescent="0.2">
      <c r="A860" s="1" t="s">
        <v>1739</v>
      </c>
      <c r="B860" s="1" t="s">
        <v>1740</v>
      </c>
      <c r="C860">
        <v>119.95833333333333</v>
      </c>
      <c r="D860">
        <v>2879</v>
      </c>
      <c r="E860">
        <v>0.3059978187084198</v>
      </c>
      <c r="F860">
        <v>44.23401786852628</v>
      </c>
      <c r="G860">
        <v>1.0628614751942335E-4</v>
      </c>
      <c r="H860">
        <v>1.5364368832416214E-2</v>
      </c>
      <c r="I860">
        <v>5</v>
      </c>
      <c r="J860" t="b">
        <v>1</v>
      </c>
      <c r="K860">
        <v>0.65</v>
      </c>
      <c r="L860">
        <v>1.3</v>
      </c>
      <c r="M860" t="b">
        <v>1</v>
      </c>
      <c r="N860">
        <v>200</v>
      </c>
      <c r="O860" t="b">
        <v>0</v>
      </c>
      <c r="P860" t="b">
        <v>0</v>
      </c>
      <c r="Q860">
        <v>0.7</v>
      </c>
      <c r="R860">
        <v>13784504.781390786</v>
      </c>
      <c r="S860">
        <v>12384865.866315126</v>
      </c>
      <c r="T860">
        <v>12788672.650800288</v>
      </c>
      <c r="U860">
        <v>11361135.608783603</v>
      </c>
      <c r="V860">
        <v>26169370.647705913</v>
      </c>
      <c r="W860">
        <v>24149808.25958389</v>
      </c>
      <c r="X860">
        <v>218153.83659080998</v>
      </c>
      <c r="Y860">
        <v>201318.30435221028</v>
      </c>
      <c r="Z860">
        <v>9836.5277337646476</v>
      </c>
      <c r="AA860">
        <v>6037.4520648959733</v>
      </c>
      <c r="AB860">
        <v>127886.72650800287</v>
      </c>
      <c r="AC860">
        <v>113611.35608783603</v>
      </c>
      <c r="AD860">
        <v>241498.0825958389</v>
      </c>
      <c r="AE860">
        <v>1.0836264357221368</v>
      </c>
      <c r="AF860" s="1" t="s">
        <v>1741</v>
      </c>
      <c r="AG860" s="1" t="s">
        <v>1742</v>
      </c>
      <c r="AH860" s="1" t="s">
        <v>1743</v>
      </c>
      <c r="AI860" s="1" t="str">
        <f>_xlfn.TEXTAFTER(_xlfn.TEXTBEFORE(batch_summary[[#This Row],[video]],"_",1),"-",3)</f>
        <v>20</v>
      </c>
      <c r="AJ860" s="1" t="str">
        <f>_xlfn.TEXTBEFORE(_xlfn.TEXTAFTER(batch_summary[[#This Row],[video]],"_",1),"_",1)</f>
        <v>20260402</v>
      </c>
      <c r="AK860" s="1" t="str">
        <f>_xlfn.TEXTBEFORE(_xlfn.TEXTAFTER(batch_summary[[#This Row],[video]],"_",2),".",1)</f>
        <v>130000</v>
      </c>
    </row>
    <row r="861" spans="1:37" x14ac:dyDescent="0.2">
      <c r="A861" s="1" t="s">
        <v>1744</v>
      </c>
      <c r="B861" s="1" t="s">
        <v>1745</v>
      </c>
      <c r="C861">
        <v>119.95833333333333</v>
      </c>
      <c r="D861">
        <v>2879</v>
      </c>
      <c r="E861">
        <v>0.29216729663312435</v>
      </c>
      <c r="F861">
        <v>43.645813710056245</v>
      </c>
      <c r="G861">
        <v>1.0148221487777852E-4</v>
      </c>
      <c r="H861">
        <v>1.516006033694208E-2</v>
      </c>
      <c r="I861">
        <v>5</v>
      </c>
      <c r="J861" t="b">
        <v>1</v>
      </c>
      <c r="K861">
        <v>0.65</v>
      </c>
      <c r="L861">
        <v>1.3</v>
      </c>
      <c r="M861" t="b">
        <v>1</v>
      </c>
      <c r="N861">
        <v>200</v>
      </c>
      <c r="O861" t="b">
        <v>0</v>
      </c>
      <c r="P861" t="b">
        <v>0</v>
      </c>
      <c r="Q861">
        <v>0.7</v>
      </c>
      <c r="R861">
        <v>13574725.906421304</v>
      </c>
      <c r="S861">
        <v>15243248.819412231</v>
      </c>
      <c r="T861">
        <v>12295399.270361781</v>
      </c>
      <c r="U861">
        <v>13858127.457359076</v>
      </c>
      <c r="V861">
        <v>28817974.725833535</v>
      </c>
      <c r="W861">
        <v>26153526.727720857</v>
      </c>
      <c r="X861">
        <v>240233.20368878252</v>
      </c>
      <c r="Y861">
        <v>218021.75806366815</v>
      </c>
      <c r="Z861">
        <v>9185.1658116054532</v>
      </c>
      <c r="AA861">
        <v>6538.3816819302137</v>
      </c>
      <c r="AB861">
        <v>122953.99270361781</v>
      </c>
      <c r="AC861">
        <v>138581.27457359075</v>
      </c>
      <c r="AD861">
        <v>261535.26727720856</v>
      </c>
      <c r="AE861">
        <v>1.1018771971310681</v>
      </c>
      <c r="AF861" s="1" t="s">
        <v>1746</v>
      </c>
      <c r="AG861" s="1" t="s">
        <v>1747</v>
      </c>
      <c r="AH861" s="1" t="s">
        <v>1748</v>
      </c>
      <c r="AI861" s="1" t="str">
        <f>_xlfn.TEXTAFTER(_xlfn.TEXTBEFORE(batch_summary[[#This Row],[video]],"_",1),"-",3)</f>
        <v>20</v>
      </c>
      <c r="AJ861" s="1" t="str">
        <f>_xlfn.TEXTBEFORE(_xlfn.TEXTAFTER(batch_summary[[#This Row],[video]],"_",1),"_",1)</f>
        <v>20260402</v>
      </c>
      <c r="AK861" s="1" t="str">
        <f>_xlfn.TEXTBEFORE(_xlfn.TEXTAFTER(batch_summary[[#This Row],[video]],"_",2),".",1)</f>
        <v>140000</v>
      </c>
    </row>
    <row r="862" spans="1:37" x14ac:dyDescent="0.2">
      <c r="A862" s="1" t="s">
        <v>1749</v>
      </c>
      <c r="B862" s="1" t="s">
        <v>1750</v>
      </c>
      <c r="C862">
        <v>119.95833333333333</v>
      </c>
      <c r="D862">
        <v>2879</v>
      </c>
      <c r="E862">
        <v>0.31325630005449057</v>
      </c>
      <c r="F862">
        <v>44.386408626101911</v>
      </c>
      <c r="G862">
        <v>1.0880732895258443E-4</v>
      </c>
      <c r="H862">
        <v>1.5417300669017683E-2</v>
      </c>
      <c r="I862">
        <v>5</v>
      </c>
      <c r="J862" t="b">
        <v>1</v>
      </c>
      <c r="K862">
        <v>0.65</v>
      </c>
      <c r="L862">
        <v>1.3</v>
      </c>
      <c r="M862" t="b">
        <v>1</v>
      </c>
      <c r="N862">
        <v>200</v>
      </c>
      <c r="O862" t="b">
        <v>0</v>
      </c>
      <c r="P862" t="b">
        <v>0</v>
      </c>
      <c r="Q862">
        <v>0.7</v>
      </c>
      <c r="R862">
        <v>5648492.3145621419</v>
      </c>
      <c r="S862">
        <v>6533642.9227287173</v>
      </c>
      <c r="T862">
        <v>4352165.2901750207</v>
      </c>
      <c r="U862">
        <v>5121591.3155447245</v>
      </c>
      <c r="V862">
        <v>12182135.237290859</v>
      </c>
      <c r="W862">
        <v>9473756.6057197452</v>
      </c>
      <c r="X862">
        <v>101553.05512156326</v>
      </c>
      <c r="Y862">
        <v>78975.393726041642</v>
      </c>
      <c r="Z862">
        <v>3307.4390487670898</v>
      </c>
      <c r="AA862">
        <v>2368.4391514299359</v>
      </c>
      <c r="AB862">
        <v>43521.652901750203</v>
      </c>
      <c r="AC862">
        <v>51215.913155447248</v>
      </c>
      <c r="AD862">
        <v>94737.566057197459</v>
      </c>
      <c r="AE862">
        <v>1.2858822264798253</v>
      </c>
      <c r="AF862" s="1" t="s">
        <v>1751</v>
      </c>
      <c r="AG862" s="1" t="s">
        <v>1752</v>
      </c>
      <c r="AH862" s="1" t="s">
        <v>1753</v>
      </c>
      <c r="AI862" s="1" t="str">
        <f>_xlfn.TEXTAFTER(_xlfn.TEXTBEFORE(batch_summary[[#This Row],[video]],"_",1),"-",3)</f>
        <v>20</v>
      </c>
      <c r="AJ862" s="1" t="str">
        <f>_xlfn.TEXTBEFORE(_xlfn.TEXTAFTER(batch_summary[[#This Row],[video]],"_",1),"_",1)</f>
        <v>20260402</v>
      </c>
      <c r="AK862" s="1" t="str">
        <f>_xlfn.TEXTBEFORE(_xlfn.TEXTAFTER(batch_summary[[#This Row],[video]],"_",2),".",1)</f>
        <v>150000</v>
      </c>
    </row>
    <row r="863" spans="1:37" x14ac:dyDescent="0.2">
      <c r="A863" s="1" t="s">
        <v>1754</v>
      </c>
      <c r="B863" s="1" t="s">
        <v>1755</v>
      </c>
      <c r="C863">
        <v>119.95833333333333</v>
      </c>
      <c r="D863">
        <v>2879</v>
      </c>
      <c r="E863">
        <v>0.27749178558588028</v>
      </c>
      <c r="F863">
        <v>43.466714050620794</v>
      </c>
      <c r="G863">
        <v>9.6384781377520064E-5</v>
      </c>
      <c r="H863">
        <v>1.5097851354852655E-2</v>
      </c>
      <c r="I863">
        <v>5</v>
      </c>
      <c r="J863" t="b">
        <v>1</v>
      </c>
      <c r="K863">
        <v>0.65</v>
      </c>
      <c r="L863">
        <v>1.3</v>
      </c>
      <c r="M863" t="b">
        <v>1</v>
      </c>
      <c r="N863">
        <v>200</v>
      </c>
      <c r="O863" t="b">
        <v>0</v>
      </c>
      <c r="P863" t="b">
        <v>0</v>
      </c>
      <c r="Q863">
        <v>0.7</v>
      </c>
      <c r="R863">
        <v>15281191.354498863</v>
      </c>
      <c r="S863">
        <v>14430851.414135933</v>
      </c>
      <c r="T863">
        <v>14175357.698930383</v>
      </c>
      <c r="U863">
        <v>13293857.980324149</v>
      </c>
      <c r="V863">
        <v>29712042.768634796</v>
      </c>
      <c r="W863">
        <v>27469215.679254532</v>
      </c>
      <c r="X863">
        <v>247686.35861314175</v>
      </c>
      <c r="Y863">
        <v>228989.64095245182</v>
      </c>
      <c r="Z863">
        <v>10370.728094482422</v>
      </c>
      <c r="AA863">
        <v>6867.3039198136339</v>
      </c>
      <c r="AB863">
        <v>141753.57698930384</v>
      </c>
      <c r="AC863">
        <v>132938.5798032415</v>
      </c>
      <c r="AD863">
        <v>274692.15679254534</v>
      </c>
      <c r="AE863">
        <v>1.0816487487509192</v>
      </c>
      <c r="AF863" s="1" t="s">
        <v>1756</v>
      </c>
      <c r="AG863" s="1" t="s">
        <v>1757</v>
      </c>
      <c r="AH863" s="1" t="s">
        <v>1758</v>
      </c>
      <c r="AI863" s="1" t="str">
        <f>_xlfn.TEXTAFTER(_xlfn.TEXTBEFORE(batch_summary[[#This Row],[video]],"_",1),"-",3)</f>
        <v>20</v>
      </c>
      <c r="AJ863" s="1" t="str">
        <f>_xlfn.TEXTBEFORE(_xlfn.TEXTAFTER(batch_summary[[#This Row],[video]],"_",1),"_",1)</f>
        <v>20260402</v>
      </c>
      <c r="AK863" s="1" t="str">
        <f>_xlfn.TEXTBEFORE(_xlfn.TEXTAFTER(batch_summary[[#This Row],[video]],"_",2),".",1)</f>
        <v>160000</v>
      </c>
    </row>
    <row r="864" spans="1:37" x14ac:dyDescent="0.2">
      <c r="A864" s="1" t="s">
        <v>1759</v>
      </c>
      <c r="B864" s="1" t="s">
        <v>1760</v>
      </c>
      <c r="C864">
        <v>119.95833333333333</v>
      </c>
      <c r="D864">
        <v>2879</v>
      </c>
      <c r="E864">
        <v>0.30071656126528978</v>
      </c>
      <c r="F864">
        <v>44.087124618701637</v>
      </c>
      <c r="G864">
        <v>1.0445174062705446E-4</v>
      </c>
      <c r="H864">
        <v>1.5313346515700463E-2</v>
      </c>
      <c r="I864">
        <v>5</v>
      </c>
      <c r="J864" t="b">
        <v>1</v>
      </c>
      <c r="K864">
        <v>0.65</v>
      </c>
      <c r="L864">
        <v>1.3</v>
      </c>
      <c r="M864" t="b">
        <v>1</v>
      </c>
      <c r="N864">
        <v>200</v>
      </c>
      <c r="O864" t="b">
        <v>0</v>
      </c>
      <c r="P864" t="b">
        <v>0</v>
      </c>
      <c r="Q864">
        <v>0.7</v>
      </c>
      <c r="R864">
        <v>11404166.411570191</v>
      </c>
      <c r="S864">
        <v>10325112.204853177</v>
      </c>
      <c r="T864">
        <v>10610460.618447483</v>
      </c>
      <c r="U864">
        <v>9529992.6344945431</v>
      </c>
      <c r="V864">
        <v>21729278.616423368</v>
      </c>
      <c r="W864">
        <v>20140453.252942026</v>
      </c>
      <c r="X864">
        <v>181140.21771245601</v>
      </c>
      <c r="Y864">
        <v>167895.4074576619</v>
      </c>
      <c r="Z864">
        <v>8220.2424752807619</v>
      </c>
      <c r="AA864">
        <v>5035.1133132355071</v>
      </c>
      <c r="AB864">
        <v>106104.60618447483</v>
      </c>
      <c r="AC864">
        <v>95299.92634494543</v>
      </c>
      <c r="AD864">
        <v>201404.53252942028</v>
      </c>
      <c r="AE864">
        <v>1.078887269493265</v>
      </c>
      <c r="AF864" s="1" t="s">
        <v>1761</v>
      </c>
      <c r="AG864" s="1" t="s">
        <v>1762</v>
      </c>
      <c r="AH864" s="1" t="s">
        <v>1763</v>
      </c>
      <c r="AI864" s="1" t="str">
        <f>_xlfn.TEXTAFTER(_xlfn.TEXTBEFORE(batch_summary[[#This Row],[video]],"_",1),"-",3)</f>
        <v>20</v>
      </c>
      <c r="AJ864" s="1" t="str">
        <f>_xlfn.TEXTBEFORE(_xlfn.TEXTAFTER(batch_summary[[#This Row],[video]],"_",1),"_",1)</f>
        <v>20260402</v>
      </c>
      <c r="AK864" s="1" t="str">
        <f>_xlfn.TEXTBEFORE(_xlfn.TEXTAFTER(batch_summary[[#This Row],[video]],"_",2),".",1)</f>
        <v>170000</v>
      </c>
    </row>
    <row r="865" spans="1:37" x14ac:dyDescent="0.2">
      <c r="A865" s="1" t="s">
        <v>1764</v>
      </c>
      <c r="B865" s="1" t="s">
        <v>1765</v>
      </c>
      <c r="C865">
        <v>119.95833333333333</v>
      </c>
      <c r="D865">
        <v>2879</v>
      </c>
      <c r="E865">
        <v>0.31924115680158138</v>
      </c>
      <c r="F865">
        <v>44.471517395228148</v>
      </c>
      <c r="G865">
        <v>1.1088612601652706E-4</v>
      </c>
      <c r="H865">
        <v>1.5446862589520024E-2</v>
      </c>
      <c r="I865">
        <v>5</v>
      </c>
      <c r="J865" t="b">
        <v>1</v>
      </c>
      <c r="K865">
        <v>0.65</v>
      </c>
      <c r="L865">
        <v>1.3</v>
      </c>
      <c r="M865" t="b">
        <v>1</v>
      </c>
      <c r="N865">
        <v>200</v>
      </c>
      <c r="O865" t="b">
        <v>0</v>
      </c>
      <c r="P865" t="b">
        <v>0</v>
      </c>
      <c r="Q865">
        <v>0.7</v>
      </c>
      <c r="R865">
        <v>8488761.3473192453</v>
      </c>
      <c r="S865">
        <v>7176524.4605349898</v>
      </c>
      <c r="T865">
        <v>7781930.3103860617</v>
      </c>
      <c r="U865">
        <v>6523395.7334118485</v>
      </c>
      <c r="V865">
        <v>15665285.807854235</v>
      </c>
      <c r="W865">
        <v>14305326.04379791</v>
      </c>
      <c r="X865">
        <v>130589.39193765254</v>
      </c>
      <c r="Y865">
        <v>119252.45746827018</v>
      </c>
      <c r="Z865">
        <v>5969.7611178588868</v>
      </c>
      <c r="AA865">
        <v>3576.331510949477</v>
      </c>
      <c r="AB865">
        <v>77819.303103860613</v>
      </c>
      <c r="AC865">
        <v>65233.957334118488</v>
      </c>
      <c r="AD865">
        <v>143053.2604379791</v>
      </c>
      <c r="AE865">
        <v>1.0950666737614092</v>
      </c>
      <c r="AF865" s="1" t="s">
        <v>1766</v>
      </c>
      <c r="AG865" s="1" t="s">
        <v>1767</v>
      </c>
      <c r="AH865" s="1" t="s">
        <v>1768</v>
      </c>
      <c r="AI865" s="1" t="str">
        <f>_xlfn.TEXTAFTER(_xlfn.TEXTBEFORE(batch_summary[[#This Row],[video]],"_",1),"-",3)</f>
        <v>20</v>
      </c>
      <c r="AJ865" s="1" t="str">
        <f>_xlfn.TEXTBEFORE(_xlfn.TEXTAFTER(batch_summary[[#This Row],[video]],"_",1),"_",1)</f>
        <v>20260402</v>
      </c>
      <c r="AK865" s="1" t="str">
        <f>_xlfn.TEXTBEFORE(_xlfn.TEXTAFTER(batch_summary[[#This Row],[video]],"_",2),".",1)</f>
        <v>180000</v>
      </c>
    </row>
    <row r="866" spans="1:37" x14ac:dyDescent="0.2">
      <c r="A866" s="1" t="s">
        <v>1769</v>
      </c>
      <c r="B866" s="1" t="s">
        <v>1770</v>
      </c>
      <c r="C866">
        <v>119.95833333333333</v>
      </c>
      <c r="D866">
        <v>2879</v>
      </c>
      <c r="E866">
        <v>0.36174501199275255</v>
      </c>
      <c r="F866">
        <v>44.732214822433889</v>
      </c>
      <c r="G866">
        <v>1.2564953525277963E-4</v>
      </c>
      <c r="H866">
        <v>1.5537413970973911E-2</v>
      </c>
      <c r="I866">
        <v>5</v>
      </c>
      <c r="J866" t="b">
        <v>1</v>
      </c>
      <c r="K866">
        <v>0.65</v>
      </c>
      <c r="L866">
        <v>1.3</v>
      </c>
      <c r="M866" t="b">
        <v>1</v>
      </c>
      <c r="N866">
        <v>200</v>
      </c>
      <c r="O866" t="b">
        <v>0</v>
      </c>
      <c r="P866" t="b">
        <v>0</v>
      </c>
      <c r="Q866">
        <v>0.7</v>
      </c>
      <c r="R866">
        <v>287850.90572470427</v>
      </c>
      <c r="S866">
        <v>285486.23942989111</v>
      </c>
      <c r="T866">
        <v>49926.08097499609</v>
      </c>
      <c r="U866">
        <v>47647.812999725342</v>
      </c>
      <c r="V866">
        <v>573337.14515459538</v>
      </c>
      <c r="W866">
        <v>97573.893974721432</v>
      </c>
      <c r="X866">
        <v>4779.4690808302503</v>
      </c>
      <c r="Y866">
        <v>813.39821305776809</v>
      </c>
      <c r="Z866">
        <v>120.83033432006836</v>
      </c>
      <c r="AA866">
        <v>24.393473493680357</v>
      </c>
      <c r="AB866">
        <v>499.26080974996091</v>
      </c>
      <c r="AC866">
        <v>476.4781299972534</v>
      </c>
      <c r="AD866">
        <v>975.73893974721432</v>
      </c>
      <c r="AE866">
        <v>5.8759276872062767</v>
      </c>
      <c r="AF866" s="1" t="s">
        <v>1771</v>
      </c>
      <c r="AG866" s="1" t="s">
        <v>1772</v>
      </c>
      <c r="AH866" s="1" t="s">
        <v>1773</v>
      </c>
      <c r="AI866" s="1" t="str">
        <f>_xlfn.TEXTAFTER(_xlfn.TEXTBEFORE(batch_summary[[#This Row],[video]],"_",1),"-",3)</f>
        <v>20</v>
      </c>
      <c r="AJ866" s="1" t="str">
        <f>_xlfn.TEXTBEFORE(_xlfn.TEXTAFTER(batch_summary[[#This Row],[video]],"_",1),"_",1)</f>
        <v>20260402</v>
      </c>
      <c r="AK866" s="1" t="str">
        <f>_xlfn.TEXTBEFORE(_xlfn.TEXTAFTER(batch_summary[[#This Row],[video]],"_",2),".",1)</f>
        <v>190000</v>
      </c>
    </row>
    <row r="867" spans="1:37" x14ac:dyDescent="0.2">
      <c r="A867" s="1" t="s">
        <v>1774</v>
      </c>
      <c r="B867" s="1" t="s">
        <v>1775</v>
      </c>
      <c r="C867">
        <v>119.95833333333333</v>
      </c>
      <c r="D867">
        <v>2879</v>
      </c>
      <c r="E867">
        <v>0.34666273556649685</v>
      </c>
      <c r="F867">
        <v>44.499953280203044</v>
      </c>
      <c r="G867">
        <v>1.204108147156988E-4</v>
      </c>
      <c r="H867">
        <v>1.5456739590205991E-2</v>
      </c>
      <c r="I867">
        <v>5</v>
      </c>
      <c r="J867" t="b">
        <v>1</v>
      </c>
      <c r="K867">
        <v>0.65</v>
      </c>
      <c r="L867">
        <v>1.3</v>
      </c>
      <c r="M867" t="b">
        <v>1</v>
      </c>
      <c r="N867">
        <v>200</v>
      </c>
      <c r="O867" t="b">
        <v>0</v>
      </c>
      <c r="P867" t="b">
        <v>0</v>
      </c>
      <c r="Q867">
        <v>0.7</v>
      </c>
      <c r="R867">
        <v>361062.84230166674</v>
      </c>
      <c r="S867">
        <v>288696.23228418827</v>
      </c>
      <c r="T867">
        <v>197143.83812141418</v>
      </c>
      <c r="U867">
        <v>149142.62495040894</v>
      </c>
      <c r="V867">
        <v>649759.07458585501</v>
      </c>
      <c r="W867">
        <v>346286.46307182312</v>
      </c>
      <c r="X867">
        <v>5416.5396978327617</v>
      </c>
      <c r="Y867">
        <v>2886.7228599248888</v>
      </c>
      <c r="Z867">
        <v>697.55727275848392</v>
      </c>
      <c r="AA867">
        <v>86.571615767955777</v>
      </c>
      <c r="AB867">
        <v>1971.4383812141418</v>
      </c>
      <c r="AC867">
        <v>1491.4262495040894</v>
      </c>
      <c r="AD867">
        <v>3462.8646307182312</v>
      </c>
      <c r="AE867">
        <v>1.8763629072358188</v>
      </c>
      <c r="AF867" s="1" t="s">
        <v>1776</v>
      </c>
      <c r="AG867" s="1" t="s">
        <v>1777</v>
      </c>
      <c r="AH867" s="1" t="s">
        <v>1778</v>
      </c>
      <c r="AI867" s="1" t="str">
        <f>_xlfn.TEXTAFTER(_xlfn.TEXTBEFORE(batch_summary[[#This Row],[video]],"_",1),"-",3)</f>
        <v>20</v>
      </c>
      <c r="AJ867" s="1" t="str">
        <f>_xlfn.TEXTBEFORE(_xlfn.TEXTAFTER(batch_summary[[#This Row],[video]],"_",1),"_",1)</f>
        <v>20260403</v>
      </c>
      <c r="AK867" s="1" t="str">
        <f>_xlfn.TEXTBEFORE(_xlfn.TEXTAFTER(batch_summary[[#This Row],[video]],"_",2),".",1)</f>
        <v>060000</v>
      </c>
    </row>
    <row r="868" spans="1:37" x14ac:dyDescent="0.2">
      <c r="A868" s="1" t="s">
        <v>1779</v>
      </c>
      <c r="B868" s="1" t="s">
        <v>1780</v>
      </c>
      <c r="C868">
        <v>119.95833333333333</v>
      </c>
      <c r="D868">
        <v>2879</v>
      </c>
      <c r="E868">
        <v>0.33812497369945049</v>
      </c>
      <c r="F868">
        <v>43.483154309913516</v>
      </c>
      <c r="G868">
        <v>1.1744528436938189E-4</v>
      </c>
      <c r="H868">
        <v>1.5103561760998096E-2</v>
      </c>
      <c r="I868">
        <v>5</v>
      </c>
      <c r="J868" t="b">
        <v>1</v>
      </c>
      <c r="K868">
        <v>0.65</v>
      </c>
      <c r="L868">
        <v>1.3</v>
      </c>
      <c r="M868" t="b">
        <v>1</v>
      </c>
      <c r="N868">
        <v>200</v>
      </c>
      <c r="O868" t="b">
        <v>0</v>
      </c>
      <c r="P868" t="b">
        <v>0</v>
      </c>
      <c r="Q868">
        <v>0.7</v>
      </c>
      <c r="R868">
        <v>205727.8878056407</v>
      </c>
      <c r="S868">
        <v>136124.89340108633</v>
      </c>
      <c r="T868">
        <v>165209.25681018829</v>
      </c>
      <c r="U868">
        <v>89874.635750770569</v>
      </c>
      <c r="V868">
        <v>341852.78120672703</v>
      </c>
      <c r="W868">
        <v>255083.89256095886</v>
      </c>
      <c r="X868">
        <v>2849.7626776524658</v>
      </c>
      <c r="Y868">
        <v>2126.4374510118141</v>
      </c>
      <c r="Z868">
        <v>1647.0667109680176</v>
      </c>
      <c r="AA868">
        <v>63.770973140239711</v>
      </c>
      <c r="AB868">
        <v>1652.092568101883</v>
      </c>
      <c r="AC868">
        <v>898.74635750770574</v>
      </c>
      <c r="AD868">
        <v>2550.8389256095888</v>
      </c>
      <c r="AE868">
        <v>1.3401582427437377</v>
      </c>
      <c r="AF868" s="1" t="s">
        <v>1781</v>
      </c>
      <c r="AG868" s="1" t="s">
        <v>1782</v>
      </c>
      <c r="AH868" s="1" t="s">
        <v>1783</v>
      </c>
      <c r="AI868" s="1" t="str">
        <f>_xlfn.TEXTAFTER(_xlfn.TEXTBEFORE(batch_summary[[#This Row],[video]],"_",1),"-",3)</f>
        <v>20</v>
      </c>
      <c r="AJ868" s="1" t="str">
        <f>_xlfn.TEXTBEFORE(_xlfn.TEXTAFTER(batch_summary[[#This Row],[video]],"_",1),"_",1)</f>
        <v>20260403</v>
      </c>
      <c r="AK868" s="1" t="str">
        <f>_xlfn.TEXTBEFORE(_xlfn.TEXTAFTER(batch_summary[[#This Row],[video]],"_",2),".",1)</f>
        <v>070000</v>
      </c>
    </row>
    <row r="869" spans="1:37" x14ac:dyDescent="0.2">
      <c r="A869" s="1" t="s">
        <v>1784</v>
      </c>
      <c r="B869" s="1" t="s">
        <v>1785</v>
      </c>
      <c r="C869">
        <v>119.95833333333333</v>
      </c>
      <c r="D869">
        <v>2879</v>
      </c>
      <c r="E869">
        <v>0.34563441947102547</v>
      </c>
      <c r="F869">
        <v>44.672853541560471</v>
      </c>
      <c r="G869">
        <v>1.2005363649566706E-4</v>
      </c>
      <c r="H869">
        <v>1.5516795255838996E-2</v>
      </c>
      <c r="I869">
        <v>5</v>
      </c>
      <c r="J869" t="b">
        <v>1</v>
      </c>
      <c r="K869">
        <v>0.65</v>
      </c>
      <c r="L869">
        <v>1.3</v>
      </c>
      <c r="M869" t="b">
        <v>1</v>
      </c>
      <c r="N869">
        <v>200</v>
      </c>
      <c r="O869" t="b">
        <v>0</v>
      </c>
      <c r="P869" t="b">
        <v>0</v>
      </c>
      <c r="Q869">
        <v>0.7</v>
      </c>
      <c r="R869">
        <v>2870493.6923817396</v>
      </c>
      <c r="S869">
        <v>2540113.6434507966</v>
      </c>
      <c r="T869">
        <v>2489306.5750447512</v>
      </c>
      <c r="U869">
        <v>2198462.0033109784</v>
      </c>
      <c r="V869">
        <v>5410607.3358325362</v>
      </c>
      <c r="W869">
        <v>4687768.5783557296</v>
      </c>
      <c r="X869">
        <v>45104.055595686303</v>
      </c>
      <c r="Y869">
        <v>39078.30700956496</v>
      </c>
      <c r="Z869">
        <v>4609.7721212768556</v>
      </c>
      <c r="AA869">
        <v>1171.9421445889325</v>
      </c>
      <c r="AB869">
        <v>24893.065750447513</v>
      </c>
      <c r="AC869">
        <v>21984.620033109783</v>
      </c>
      <c r="AD869">
        <v>46877.685783557296</v>
      </c>
      <c r="AE869">
        <v>1.1541967666267237</v>
      </c>
      <c r="AF869" s="1" t="s">
        <v>1786</v>
      </c>
      <c r="AG869" s="1" t="s">
        <v>1787</v>
      </c>
      <c r="AH869" s="1" t="s">
        <v>1788</v>
      </c>
      <c r="AI869" s="1" t="str">
        <f>_xlfn.TEXTAFTER(_xlfn.TEXTBEFORE(batch_summary[[#This Row],[video]],"_",1),"-",3)</f>
        <v>20</v>
      </c>
      <c r="AJ869" s="1" t="str">
        <f>_xlfn.TEXTBEFORE(_xlfn.TEXTAFTER(batch_summary[[#This Row],[video]],"_",1),"_",1)</f>
        <v>20260403</v>
      </c>
      <c r="AK869" s="1" t="str">
        <f>_xlfn.TEXTBEFORE(_xlfn.TEXTAFTER(batch_summary[[#This Row],[video]],"_",2),".",1)</f>
        <v>080000</v>
      </c>
    </row>
    <row r="870" spans="1:37" x14ac:dyDescent="0.2">
      <c r="A870" s="1" t="s">
        <v>1789</v>
      </c>
      <c r="B870" s="1" t="s">
        <v>1790</v>
      </c>
      <c r="C870">
        <v>119.95833333333333</v>
      </c>
      <c r="D870">
        <v>2879</v>
      </c>
      <c r="E870">
        <v>0.29486468527466059</v>
      </c>
      <c r="F870">
        <v>43.648387563414872</v>
      </c>
      <c r="G870">
        <v>1.0241913347504709E-4</v>
      </c>
      <c r="H870">
        <v>1.5160954346444901E-2</v>
      </c>
      <c r="I870">
        <v>5</v>
      </c>
      <c r="J870" t="b">
        <v>1</v>
      </c>
      <c r="K870">
        <v>0.65</v>
      </c>
      <c r="L870">
        <v>1.3</v>
      </c>
      <c r="M870" t="b">
        <v>1</v>
      </c>
      <c r="N870">
        <v>200</v>
      </c>
      <c r="O870" t="b">
        <v>0</v>
      </c>
      <c r="P870" t="b">
        <v>0</v>
      </c>
      <c r="Q870">
        <v>0.7</v>
      </c>
      <c r="R870">
        <v>12556998.588315189</v>
      </c>
      <c r="S870">
        <v>18028642.371553898</v>
      </c>
      <c r="T870">
        <v>11602624.322979331</v>
      </c>
      <c r="U870">
        <v>16848151.017851233</v>
      </c>
      <c r="V870">
        <v>30585640.959869087</v>
      </c>
      <c r="W870">
        <v>28450775.340830564</v>
      </c>
      <c r="X870">
        <v>254968.87219064194</v>
      </c>
      <c r="Y870">
        <v>237172.14594648613</v>
      </c>
      <c r="Z870">
        <v>10333.594929771423</v>
      </c>
      <c r="AA870">
        <v>7112.6938352076413</v>
      </c>
      <c r="AB870">
        <v>116026.24322979331</v>
      </c>
      <c r="AC870">
        <v>168481.51017851234</v>
      </c>
      <c r="AD870">
        <v>284507.75340830564</v>
      </c>
      <c r="AE870">
        <v>1.0750371683535356</v>
      </c>
      <c r="AF870" s="1" t="s">
        <v>1791</v>
      </c>
      <c r="AG870" s="1" t="s">
        <v>1792</v>
      </c>
      <c r="AH870" s="1" t="s">
        <v>1793</v>
      </c>
      <c r="AI870" s="1" t="str">
        <f>_xlfn.TEXTAFTER(_xlfn.TEXTBEFORE(batch_summary[[#This Row],[video]],"_",1),"-",3)</f>
        <v>20</v>
      </c>
      <c r="AJ870" s="1" t="str">
        <f>_xlfn.TEXTBEFORE(_xlfn.TEXTAFTER(batch_summary[[#This Row],[video]],"_",1),"_",1)</f>
        <v>20260403</v>
      </c>
      <c r="AK870" s="1" t="str">
        <f>_xlfn.TEXTBEFORE(_xlfn.TEXTAFTER(batch_summary[[#This Row],[video]],"_",2),".",1)</f>
        <v>090000</v>
      </c>
    </row>
    <row r="871" spans="1:37" x14ac:dyDescent="0.2">
      <c r="A871" s="1" t="s">
        <v>1794</v>
      </c>
      <c r="B871" s="1" t="s">
        <v>1795</v>
      </c>
      <c r="C871">
        <v>119.95833333333333</v>
      </c>
      <c r="D871">
        <v>2879</v>
      </c>
      <c r="E871">
        <v>0.29642234463244677</v>
      </c>
      <c r="F871">
        <v>43.748199764639139</v>
      </c>
      <c r="G871">
        <v>1.0296017528046084E-4</v>
      </c>
      <c r="H871">
        <v>1.5195623398624224E-2</v>
      </c>
      <c r="I871">
        <v>5</v>
      </c>
      <c r="J871" t="b">
        <v>1</v>
      </c>
      <c r="K871">
        <v>0.65</v>
      </c>
      <c r="L871">
        <v>1.3</v>
      </c>
      <c r="M871" t="b">
        <v>1</v>
      </c>
      <c r="N871">
        <v>200</v>
      </c>
      <c r="O871" t="b">
        <v>0</v>
      </c>
      <c r="P871" t="b">
        <v>0</v>
      </c>
      <c r="Q871">
        <v>0.7</v>
      </c>
      <c r="R871">
        <v>17440909.796407223</v>
      </c>
      <c r="S871">
        <v>18621630.357599616</v>
      </c>
      <c r="T871">
        <v>16451916.70384258</v>
      </c>
      <c r="U871">
        <v>17498396.284456074</v>
      </c>
      <c r="V871">
        <v>36062540.154006839</v>
      </c>
      <c r="W871">
        <v>33950312.988298655</v>
      </c>
      <c r="X871">
        <v>300625.55182221747</v>
      </c>
      <c r="Y871">
        <v>283017.54488335107</v>
      </c>
      <c r="Z871">
        <v>13671.501090087891</v>
      </c>
      <c r="AA871">
        <v>8487.5782470746635</v>
      </c>
      <c r="AB871">
        <v>164519.1670384258</v>
      </c>
      <c r="AC871">
        <v>174983.96284456074</v>
      </c>
      <c r="AD871">
        <v>339503.12988298654</v>
      </c>
      <c r="AE871">
        <v>1.0622152486911147</v>
      </c>
      <c r="AF871" s="1" t="s">
        <v>1796</v>
      </c>
      <c r="AG871" s="1" t="s">
        <v>1797</v>
      </c>
      <c r="AH871" s="1" t="s">
        <v>1798</v>
      </c>
      <c r="AI871" s="1" t="str">
        <f>_xlfn.TEXTAFTER(_xlfn.TEXTBEFORE(batch_summary[[#This Row],[video]],"_",1),"-",3)</f>
        <v>20</v>
      </c>
      <c r="AJ871" s="1" t="str">
        <f>_xlfn.TEXTBEFORE(_xlfn.TEXTAFTER(batch_summary[[#This Row],[video]],"_",1),"_",1)</f>
        <v>20260403</v>
      </c>
      <c r="AK871" s="1" t="str">
        <f>_xlfn.TEXTBEFORE(_xlfn.TEXTAFTER(batch_summary[[#This Row],[video]],"_",2),".",1)</f>
        <v>100000</v>
      </c>
    </row>
    <row r="872" spans="1:37" x14ac:dyDescent="0.2">
      <c r="A872" s="1" t="s">
        <v>1799</v>
      </c>
      <c r="B872" s="1" t="s">
        <v>1800</v>
      </c>
      <c r="C872">
        <v>119.95833333333333</v>
      </c>
      <c r="D872">
        <v>2879</v>
      </c>
      <c r="E872">
        <v>0.29402117896825075</v>
      </c>
      <c r="F872">
        <v>43.572653357870877</v>
      </c>
      <c r="G872">
        <v>1.0212614760967376E-4</v>
      </c>
      <c r="H872">
        <v>1.5134648613362583E-2</v>
      </c>
      <c r="I872">
        <v>5</v>
      </c>
      <c r="J872" t="b">
        <v>1</v>
      </c>
      <c r="K872">
        <v>0.65</v>
      </c>
      <c r="L872">
        <v>1.3</v>
      </c>
      <c r="M872" t="b">
        <v>1</v>
      </c>
      <c r="N872">
        <v>200</v>
      </c>
      <c r="O872" t="b">
        <v>0</v>
      </c>
      <c r="P872" t="b">
        <v>0</v>
      </c>
      <c r="Q872">
        <v>0.7</v>
      </c>
      <c r="R872">
        <v>17323525.032324314</v>
      </c>
      <c r="S872">
        <v>20652466.49438858</v>
      </c>
      <c r="T872">
        <v>16204938.947925329</v>
      </c>
      <c r="U872">
        <v>19455069.706337571</v>
      </c>
      <c r="V872">
        <v>37975991.526712894</v>
      </c>
      <c r="W872">
        <v>35660008.6542629</v>
      </c>
      <c r="X872">
        <v>316576.51845818321</v>
      </c>
      <c r="Y872">
        <v>297269.95752077445</v>
      </c>
      <c r="Z872">
        <v>12353.280904541016</v>
      </c>
      <c r="AA872">
        <v>8915.0021635657249</v>
      </c>
      <c r="AB872">
        <v>162049.3894792533</v>
      </c>
      <c r="AC872">
        <v>194550.6970633757</v>
      </c>
      <c r="AD872">
        <v>356600.086542629</v>
      </c>
      <c r="AE872">
        <v>1.0649462229497562</v>
      </c>
      <c r="AF872" s="1" t="s">
        <v>1801</v>
      </c>
      <c r="AG872" s="1" t="s">
        <v>1802</v>
      </c>
      <c r="AH872" s="1" t="s">
        <v>1803</v>
      </c>
      <c r="AI872" s="1" t="str">
        <f>_xlfn.TEXTAFTER(_xlfn.TEXTBEFORE(batch_summary[[#This Row],[video]],"_",1),"-",3)</f>
        <v>20</v>
      </c>
      <c r="AJ872" s="1" t="str">
        <f>_xlfn.TEXTBEFORE(_xlfn.TEXTAFTER(batch_summary[[#This Row],[video]],"_",1),"_",1)</f>
        <v>20260403</v>
      </c>
      <c r="AK872" s="1" t="str">
        <f>_xlfn.TEXTBEFORE(_xlfn.TEXTAFTER(batch_summary[[#This Row],[video]],"_",2),".",1)</f>
        <v>110000</v>
      </c>
    </row>
    <row r="873" spans="1:37" x14ac:dyDescent="0.2">
      <c r="A873" s="1" t="s">
        <v>1804</v>
      </c>
      <c r="B873" s="1" t="s">
        <v>1805</v>
      </c>
      <c r="C873">
        <v>119.95833333333333</v>
      </c>
      <c r="D873">
        <v>2879</v>
      </c>
      <c r="E873">
        <v>0.29308741074055433</v>
      </c>
      <c r="F873">
        <v>43.409666765481234</v>
      </c>
      <c r="G873">
        <v>1.0180180991335684E-4</v>
      </c>
      <c r="H873">
        <v>1.5078036389538462E-2</v>
      </c>
      <c r="I873">
        <v>5</v>
      </c>
      <c r="J873" t="b">
        <v>1</v>
      </c>
      <c r="K873">
        <v>0.65</v>
      </c>
      <c r="L873">
        <v>1.3</v>
      </c>
      <c r="M873" t="b">
        <v>1</v>
      </c>
      <c r="N873">
        <v>200</v>
      </c>
      <c r="O873" t="b">
        <v>0</v>
      </c>
      <c r="P873" t="b">
        <v>0</v>
      </c>
      <c r="Q873">
        <v>0.7</v>
      </c>
      <c r="R873">
        <v>25980482.361724854</v>
      </c>
      <c r="S873">
        <v>28470244.351959229</v>
      </c>
      <c r="T873">
        <v>24959399.289682865</v>
      </c>
      <c r="U873">
        <v>27357633.985748291</v>
      </c>
      <c r="V873">
        <v>54450726.713684082</v>
      </c>
      <c r="W873">
        <v>52317033.275431156</v>
      </c>
      <c r="X873">
        <v>453913.66485877667</v>
      </c>
      <c r="Y873">
        <v>436126.71018073906</v>
      </c>
      <c r="Z873">
        <v>17410.636675415037</v>
      </c>
      <c r="AA873">
        <v>13079.258318857788</v>
      </c>
      <c r="AB873">
        <v>249593.99289682865</v>
      </c>
      <c r="AC873">
        <v>273576.33985748293</v>
      </c>
      <c r="AD873">
        <v>523170.33275431162</v>
      </c>
      <c r="AE873">
        <v>1.0407839150018268</v>
      </c>
      <c r="AF873" s="1" t="s">
        <v>1806</v>
      </c>
      <c r="AG873" s="1" t="s">
        <v>1807</v>
      </c>
      <c r="AH873" s="1" t="s">
        <v>1808</v>
      </c>
      <c r="AI873" s="1" t="str">
        <f>_xlfn.TEXTAFTER(_xlfn.TEXTBEFORE(batch_summary[[#This Row],[video]],"_",1),"-",3)</f>
        <v>20</v>
      </c>
      <c r="AJ873" s="1" t="str">
        <f>_xlfn.TEXTBEFORE(_xlfn.TEXTAFTER(batch_summary[[#This Row],[video]],"_",1),"_",1)</f>
        <v>20260403</v>
      </c>
      <c r="AK873" s="1" t="str">
        <f>_xlfn.TEXTBEFORE(_xlfn.TEXTAFTER(batch_summary[[#This Row],[video]],"_",2),".",1)</f>
        <v>120000</v>
      </c>
    </row>
    <row r="874" spans="1:37" x14ac:dyDescent="0.2">
      <c r="A874" s="1" t="s">
        <v>1809</v>
      </c>
      <c r="B874" s="1" t="s">
        <v>1810</v>
      </c>
      <c r="C874">
        <v>119.95833333333333</v>
      </c>
      <c r="D874">
        <v>2879</v>
      </c>
      <c r="E874">
        <v>0.28373175859451294</v>
      </c>
      <c r="F874">
        <v>43.584339474327862</v>
      </c>
      <c r="G874">
        <v>9.8552191245054855E-5</v>
      </c>
      <c r="H874">
        <v>1.5138707702093735E-2</v>
      </c>
      <c r="I874">
        <v>5</v>
      </c>
      <c r="J874" t="b">
        <v>1</v>
      </c>
      <c r="K874">
        <v>0.65</v>
      </c>
      <c r="L874">
        <v>1.3</v>
      </c>
      <c r="M874" t="b">
        <v>1</v>
      </c>
      <c r="N874">
        <v>200</v>
      </c>
      <c r="O874" t="b">
        <v>0</v>
      </c>
      <c r="P874" t="b">
        <v>0</v>
      </c>
      <c r="Q874">
        <v>0.7</v>
      </c>
      <c r="R874">
        <v>19781163.507985115</v>
      </c>
      <c r="S874">
        <v>19627233.943434834</v>
      </c>
      <c r="T874">
        <v>18579320.018711627</v>
      </c>
      <c r="U874">
        <v>18417834.077045262</v>
      </c>
      <c r="V874">
        <v>39408397.45141995</v>
      </c>
      <c r="W874">
        <v>36997154.095756888</v>
      </c>
      <c r="X874">
        <v>328517.38063010725</v>
      </c>
      <c r="Y874">
        <v>308416.70659887645</v>
      </c>
      <c r="Z874">
        <v>13140.391325378419</v>
      </c>
      <c r="AA874">
        <v>9249.2885239392217</v>
      </c>
      <c r="AB874">
        <v>185793.20018711628</v>
      </c>
      <c r="AC874">
        <v>184178.34077045263</v>
      </c>
      <c r="AD874">
        <v>369971.54095756891</v>
      </c>
      <c r="AE874">
        <v>1.0651737522681399</v>
      </c>
      <c r="AF874" s="1" t="s">
        <v>1811</v>
      </c>
      <c r="AG874" s="1" t="s">
        <v>1812</v>
      </c>
      <c r="AH874" s="1" t="s">
        <v>1813</v>
      </c>
      <c r="AI874" s="1" t="str">
        <f>_xlfn.TEXTAFTER(_xlfn.TEXTBEFORE(batch_summary[[#This Row],[video]],"_",1),"-",3)</f>
        <v>20</v>
      </c>
      <c r="AJ874" s="1" t="str">
        <f>_xlfn.TEXTBEFORE(_xlfn.TEXTAFTER(batch_summary[[#This Row],[video]],"_",1),"_",1)</f>
        <v>20260403</v>
      </c>
      <c r="AK874" s="1" t="str">
        <f>_xlfn.TEXTBEFORE(_xlfn.TEXTAFTER(batch_summary[[#This Row],[video]],"_",2),".",1)</f>
        <v>130000</v>
      </c>
    </row>
    <row r="875" spans="1:37" x14ac:dyDescent="0.2">
      <c r="A875" s="1" t="s">
        <v>1814</v>
      </c>
      <c r="B875" s="1" t="s">
        <v>1815</v>
      </c>
      <c r="C875">
        <v>119.95833333333333</v>
      </c>
      <c r="D875">
        <v>2879</v>
      </c>
      <c r="E875">
        <v>0.29213822353631258</v>
      </c>
      <c r="F875">
        <v>43.598393277265131</v>
      </c>
      <c r="G875">
        <v>1.014721165461315E-4</v>
      </c>
      <c r="H875">
        <v>1.5143589189741275E-2</v>
      </c>
      <c r="I875">
        <v>5</v>
      </c>
      <c r="J875" t="b">
        <v>1</v>
      </c>
      <c r="K875">
        <v>0.65</v>
      </c>
      <c r="L875">
        <v>1.3</v>
      </c>
      <c r="M875" t="b">
        <v>1</v>
      </c>
      <c r="N875">
        <v>200</v>
      </c>
      <c r="O875" t="b">
        <v>0</v>
      </c>
      <c r="P875" t="b">
        <v>0</v>
      </c>
      <c r="Q875">
        <v>0.7</v>
      </c>
      <c r="R875">
        <v>17184105.616281509</v>
      </c>
      <c r="S875">
        <v>19742398.870565414</v>
      </c>
      <c r="T875">
        <v>15959569.009700775</v>
      </c>
      <c r="U875">
        <v>18331612.214146614</v>
      </c>
      <c r="V875">
        <v>36926504.486846924</v>
      </c>
      <c r="W875">
        <v>34291181.223847389</v>
      </c>
      <c r="X875">
        <v>307827.75536100252</v>
      </c>
      <c r="Y875">
        <v>285859.10016406298</v>
      </c>
      <c r="Z875">
        <v>13062.292180557251</v>
      </c>
      <c r="AA875">
        <v>8572.7953059618485</v>
      </c>
      <c r="AB875">
        <v>159595.69009700775</v>
      </c>
      <c r="AC875">
        <v>183316.12214146613</v>
      </c>
      <c r="AD875">
        <v>342911.81223847391</v>
      </c>
      <c r="AE875">
        <v>1.076851341042951</v>
      </c>
      <c r="AF875" s="1" t="s">
        <v>1816</v>
      </c>
      <c r="AG875" s="1" t="s">
        <v>1817</v>
      </c>
      <c r="AH875" s="1" t="s">
        <v>1818</v>
      </c>
      <c r="AI875" s="1" t="str">
        <f>_xlfn.TEXTAFTER(_xlfn.TEXTBEFORE(batch_summary[[#This Row],[video]],"_",1),"-",3)</f>
        <v>20</v>
      </c>
      <c r="AJ875" s="1" t="str">
        <f>_xlfn.TEXTBEFORE(_xlfn.TEXTAFTER(batch_summary[[#This Row],[video]],"_",1),"_",1)</f>
        <v>20260403</v>
      </c>
      <c r="AK875" s="1" t="str">
        <f>_xlfn.TEXTBEFORE(_xlfn.TEXTAFTER(batch_summary[[#This Row],[video]],"_",2),".",1)</f>
        <v>140000</v>
      </c>
    </row>
    <row r="876" spans="1:37" x14ac:dyDescent="0.2">
      <c r="A876" s="1" t="s">
        <v>1819</v>
      </c>
      <c r="B876" s="1" t="s">
        <v>1820</v>
      </c>
      <c r="C876">
        <v>119.95833333333333</v>
      </c>
      <c r="D876">
        <v>2879</v>
      </c>
      <c r="E876">
        <v>0.29824589006602764</v>
      </c>
      <c r="F876">
        <v>43.932766819372773</v>
      </c>
      <c r="G876">
        <v>1.0359357070719959E-4</v>
      </c>
      <c r="H876">
        <v>1.5259731441254872E-2</v>
      </c>
      <c r="I876">
        <v>5</v>
      </c>
      <c r="J876" t="b">
        <v>1</v>
      </c>
      <c r="K876">
        <v>0.65</v>
      </c>
      <c r="L876">
        <v>1.3</v>
      </c>
      <c r="M876" t="b">
        <v>1</v>
      </c>
      <c r="N876">
        <v>200</v>
      </c>
      <c r="O876" t="b">
        <v>0</v>
      </c>
      <c r="P876" t="b">
        <v>0</v>
      </c>
      <c r="Q876">
        <v>0.7</v>
      </c>
      <c r="R876">
        <v>10261807.960043073</v>
      </c>
      <c r="S876">
        <v>8728900.4587189555</v>
      </c>
      <c r="T876">
        <v>8905605.2958545089</v>
      </c>
      <c r="U876">
        <v>7490644.1312169433</v>
      </c>
      <c r="V876">
        <v>18990708.418762028</v>
      </c>
      <c r="W876">
        <v>16396249.427071452</v>
      </c>
      <c r="X876">
        <v>158310.87254264977</v>
      </c>
      <c r="Y876">
        <v>136682.87122254772</v>
      </c>
      <c r="Z876">
        <v>6652.5177902603155</v>
      </c>
      <c r="AA876">
        <v>4099.0623567678631</v>
      </c>
      <c r="AB876">
        <v>89056.052958545086</v>
      </c>
      <c r="AC876">
        <v>74906.441312169438</v>
      </c>
      <c r="AD876">
        <v>163962.49427071452</v>
      </c>
      <c r="AE876">
        <v>1.1582349062955171</v>
      </c>
      <c r="AF876" s="1" t="s">
        <v>1821</v>
      </c>
      <c r="AG876" s="1" t="s">
        <v>1822</v>
      </c>
      <c r="AH876" s="1" t="s">
        <v>1823</v>
      </c>
      <c r="AI876" s="1" t="str">
        <f>_xlfn.TEXTAFTER(_xlfn.TEXTBEFORE(batch_summary[[#This Row],[video]],"_",1),"-",3)</f>
        <v>20</v>
      </c>
      <c r="AJ876" s="1" t="str">
        <f>_xlfn.TEXTBEFORE(_xlfn.TEXTAFTER(batch_summary[[#This Row],[video]],"_",1),"_",1)</f>
        <v>20260403</v>
      </c>
      <c r="AK876" s="1" t="str">
        <f>_xlfn.TEXTBEFORE(_xlfn.TEXTAFTER(batch_summary[[#This Row],[video]],"_",2),".",1)</f>
        <v>150000</v>
      </c>
    </row>
    <row r="877" spans="1:37" x14ac:dyDescent="0.2">
      <c r="A877" s="1" t="s">
        <v>1824</v>
      </c>
      <c r="B877" s="1" t="s">
        <v>1825</v>
      </c>
      <c r="C877">
        <v>119.95833333333333</v>
      </c>
      <c r="D877">
        <v>2879</v>
      </c>
      <c r="E877">
        <v>0.28370613791048527</v>
      </c>
      <c r="F877">
        <v>43.588166760280728</v>
      </c>
      <c r="G877">
        <v>9.8543292084225521E-5</v>
      </c>
      <c r="H877">
        <v>1.5140037082417759E-2</v>
      </c>
      <c r="I877">
        <v>5</v>
      </c>
      <c r="J877" t="b">
        <v>1</v>
      </c>
      <c r="K877">
        <v>0.65</v>
      </c>
      <c r="L877">
        <v>1.3</v>
      </c>
      <c r="M877" t="b">
        <v>1</v>
      </c>
      <c r="N877">
        <v>200</v>
      </c>
      <c r="O877" t="b">
        <v>0</v>
      </c>
      <c r="P877" t="b">
        <v>0</v>
      </c>
      <c r="Q877">
        <v>0.7</v>
      </c>
      <c r="R877">
        <v>15522437.081545293</v>
      </c>
      <c r="S877">
        <v>15048334.905816436</v>
      </c>
      <c r="T877">
        <v>14380003.855976224</v>
      </c>
      <c r="U877">
        <v>13886319.470380902</v>
      </c>
      <c r="V877">
        <v>30570771.987361729</v>
      </c>
      <c r="W877">
        <v>28266323.326357126</v>
      </c>
      <c r="X877">
        <v>254844.92104782269</v>
      </c>
      <c r="Y877">
        <v>235634.51192517229</v>
      </c>
      <c r="Z877">
        <v>11712.050722198486</v>
      </c>
      <c r="AA877">
        <v>7066.5808315892818</v>
      </c>
      <c r="AB877">
        <v>143800.03855976224</v>
      </c>
      <c r="AC877">
        <v>138863.19470380901</v>
      </c>
      <c r="AD877">
        <v>282663.23326357128</v>
      </c>
      <c r="AE877">
        <v>1.0815262966604433</v>
      </c>
      <c r="AF877" s="1" t="s">
        <v>1826</v>
      </c>
      <c r="AG877" s="1" t="s">
        <v>1827</v>
      </c>
      <c r="AH877" s="1" t="s">
        <v>1828</v>
      </c>
      <c r="AI877" s="1" t="str">
        <f>_xlfn.TEXTAFTER(_xlfn.TEXTBEFORE(batch_summary[[#This Row],[video]],"_",1),"-",3)</f>
        <v>20</v>
      </c>
      <c r="AJ877" s="1" t="str">
        <f>_xlfn.TEXTBEFORE(_xlfn.TEXTAFTER(batch_summary[[#This Row],[video]],"_",1),"_",1)</f>
        <v>20260403</v>
      </c>
      <c r="AK877" s="1" t="str">
        <f>_xlfn.TEXTBEFORE(_xlfn.TEXTAFTER(batch_summary[[#This Row],[video]],"_",2),".",1)</f>
        <v>160000</v>
      </c>
    </row>
    <row r="878" spans="1:37" x14ac:dyDescent="0.2">
      <c r="A878" s="1" t="s">
        <v>1829</v>
      </c>
      <c r="B878" s="1" t="s">
        <v>1830</v>
      </c>
      <c r="C878">
        <v>119.95833333333333</v>
      </c>
      <c r="D878">
        <v>2879</v>
      </c>
      <c r="E878">
        <v>0.28096851240843534</v>
      </c>
      <c r="F878">
        <v>43.181578662246466</v>
      </c>
      <c r="G878">
        <v>9.7592397502061604E-5</v>
      </c>
      <c r="H878">
        <v>1.4998811622871297E-2</v>
      </c>
      <c r="I878">
        <v>5</v>
      </c>
      <c r="J878" t="b">
        <v>1</v>
      </c>
      <c r="K878">
        <v>0.65</v>
      </c>
      <c r="L878">
        <v>1.3</v>
      </c>
      <c r="M878" t="b">
        <v>1</v>
      </c>
      <c r="N878">
        <v>200</v>
      </c>
      <c r="O878" t="b">
        <v>0</v>
      </c>
      <c r="P878" t="b">
        <v>0</v>
      </c>
      <c r="Q878">
        <v>0.7</v>
      </c>
      <c r="R878">
        <v>16301265.948798954</v>
      </c>
      <c r="S878">
        <v>18299334.845562935</v>
      </c>
      <c r="T878">
        <v>15270196.943057775</v>
      </c>
      <c r="U878">
        <v>17106724.13114655</v>
      </c>
      <c r="V878">
        <v>34600600.794361889</v>
      </c>
      <c r="W878">
        <v>32376921.074204326</v>
      </c>
      <c r="X878">
        <v>288438.4922072544</v>
      </c>
      <c r="Y878">
        <v>269901.391379265</v>
      </c>
      <c r="Z878">
        <v>10508.802402648926</v>
      </c>
      <c r="AA878">
        <v>8094.2302685510804</v>
      </c>
      <c r="AB878">
        <v>152701.96943057777</v>
      </c>
      <c r="AC878">
        <v>171067.24131146551</v>
      </c>
      <c r="AD878">
        <v>323769.21074204327</v>
      </c>
      <c r="AE878">
        <v>1.0686810124737043</v>
      </c>
      <c r="AF878" s="1" t="s">
        <v>1831</v>
      </c>
      <c r="AG878" s="1" t="s">
        <v>1832</v>
      </c>
      <c r="AH878" s="1" t="s">
        <v>1833</v>
      </c>
      <c r="AI878" s="1" t="str">
        <f>_xlfn.TEXTAFTER(_xlfn.TEXTBEFORE(batch_summary[[#This Row],[video]],"_",1),"-",3)</f>
        <v>20</v>
      </c>
      <c r="AJ878" s="1" t="str">
        <f>_xlfn.TEXTBEFORE(_xlfn.TEXTAFTER(batch_summary[[#This Row],[video]],"_",1),"_",1)</f>
        <v>20260403</v>
      </c>
      <c r="AK878" s="1" t="str">
        <f>_xlfn.TEXTBEFORE(_xlfn.TEXTAFTER(batch_summary[[#This Row],[video]],"_",2),".",1)</f>
        <v>170000</v>
      </c>
    </row>
    <row r="879" spans="1:37" x14ac:dyDescent="0.2">
      <c r="A879" s="1" t="s">
        <v>1834</v>
      </c>
      <c r="B879" s="1" t="s">
        <v>1835</v>
      </c>
      <c r="C879">
        <v>119.95833333333333</v>
      </c>
      <c r="D879">
        <v>2879</v>
      </c>
      <c r="E879">
        <v>0.29873407818377018</v>
      </c>
      <c r="F879">
        <v>43.827019928023219</v>
      </c>
      <c r="G879">
        <v>1.0376313934830503E-4</v>
      </c>
      <c r="H879">
        <v>1.5223001017027863E-2</v>
      </c>
      <c r="I879">
        <v>5</v>
      </c>
      <c r="J879" t="b">
        <v>1</v>
      </c>
      <c r="K879">
        <v>0.65</v>
      </c>
      <c r="L879">
        <v>1.3</v>
      </c>
      <c r="M879" t="b">
        <v>1</v>
      </c>
      <c r="N879">
        <v>200</v>
      </c>
      <c r="O879" t="b">
        <v>0</v>
      </c>
      <c r="P879" t="b">
        <v>0</v>
      </c>
      <c r="Q879">
        <v>0.7</v>
      </c>
      <c r="R879">
        <v>11744999.847058654</v>
      </c>
      <c r="S879">
        <v>10528038.777309299</v>
      </c>
      <c r="T879">
        <v>10954923.873889148</v>
      </c>
      <c r="U879">
        <v>9726481.258518219</v>
      </c>
      <c r="V879">
        <v>22273038.624367952</v>
      </c>
      <c r="W879">
        <v>20681405.132407367</v>
      </c>
      <c r="X879">
        <v>185673.12503814898</v>
      </c>
      <c r="Y879">
        <v>172404.90558450046</v>
      </c>
      <c r="Z879">
        <v>8044.0484558105472</v>
      </c>
      <c r="AA879">
        <v>5170.3512831018425</v>
      </c>
      <c r="AB879">
        <v>109549.23873889148</v>
      </c>
      <c r="AC879">
        <v>97264.812585182197</v>
      </c>
      <c r="AD879">
        <v>206814.05132407369</v>
      </c>
      <c r="AE879">
        <v>1.0769596399166577</v>
      </c>
      <c r="AF879" s="1" t="s">
        <v>1836</v>
      </c>
      <c r="AG879" s="1" t="s">
        <v>1837</v>
      </c>
      <c r="AH879" s="1" t="s">
        <v>1838</v>
      </c>
      <c r="AI879" s="1" t="str">
        <f>_xlfn.TEXTAFTER(_xlfn.TEXTBEFORE(batch_summary[[#This Row],[video]],"_",1),"-",3)</f>
        <v>20</v>
      </c>
      <c r="AJ879" s="1" t="str">
        <f>_xlfn.TEXTBEFORE(_xlfn.TEXTAFTER(batch_summary[[#This Row],[video]],"_",1),"_",1)</f>
        <v>20260403</v>
      </c>
      <c r="AK879" s="1" t="str">
        <f>_xlfn.TEXTBEFORE(_xlfn.TEXTAFTER(batch_summary[[#This Row],[video]],"_",2),".",1)</f>
        <v>180000</v>
      </c>
    </row>
    <row r="880" spans="1:37" x14ac:dyDescent="0.2">
      <c r="A880" s="1" t="s">
        <v>1839</v>
      </c>
      <c r="B880" s="1" t="s">
        <v>1840</v>
      </c>
      <c r="C880">
        <v>119.95833333333333</v>
      </c>
      <c r="D880">
        <v>2879</v>
      </c>
      <c r="E880">
        <v>0.34732878115028143</v>
      </c>
      <c r="F880">
        <v>44.235262363217771</v>
      </c>
      <c r="G880">
        <v>1.2064216087192825E-4</v>
      </c>
      <c r="H880">
        <v>1.5364801098721004E-2</v>
      </c>
      <c r="I880">
        <v>5</v>
      </c>
      <c r="J880" t="b">
        <v>1</v>
      </c>
      <c r="K880">
        <v>0.65</v>
      </c>
      <c r="L880">
        <v>1.3</v>
      </c>
      <c r="M880" t="b">
        <v>1</v>
      </c>
      <c r="N880">
        <v>200</v>
      </c>
      <c r="O880" t="b">
        <v>0</v>
      </c>
      <c r="P880" t="b">
        <v>0</v>
      </c>
      <c r="Q880">
        <v>0.7</v>
      </c>
      <c r="R880">
        <v>79738.811569929123</v>
      </c>
      <c r="S880">
        <v>69989.052927613258</v>
      </c>
      <c r="T880">
        <v>12844.254900932312</v>
      </c>
      <c r="U880">
        <v>8662.2911430597305</v>
      </c>
      <c r="V880">
        <v>149727.86449754238</v>
      </c>
      <c r="W880">
        <v>21506.546043992043</v>
      </c>
      <c r="X880">
        <v>1248.165594977776</v>
      </c>
      <c r="Y880">
        <v>179.28346823751616</v>
      </c>
      <c r="Z880">
        <v>34.575108337402341</v>
      </c>
      <c r="AA880">
        <v>5.3766365109980097</v>
      </c>
      <c r="AB880">
        <v>128.44254900932313</v>
      </c>
      <c r="AC880">
        <v>86.622911430597298</v>
      </c>
      <c r="AD880">
        <v>215.06546043992043</v>
      </c>
      <c r="AE880">
        <v>6.9619670304692924</v>
      </c>
      <c r="AF880" s="1" t="s">
        <v>1841</v>
      </c>
      <c r="AG880" s="1" t="s">
        <v>1842</v>
      </c>
      <c r="AH880" s="1" t="s">
        <v>1843</v>
      </c>
      <c r="AI880" s="1" t="str">
        <f>_xlfn.TEXTAFTER(_xlfn.TEXTBEFORE(batch_summary[[#This Row],[video]],"_",1),"-",3)</f>
        <v>20</v>
      </c>
      <c r="AJ880" s="1" t="str">
        <f>_xlfn.TEXTBEFORE(_xlfn.TEXTAFTER(batch_summary[[#This Row],[video]],"_",1),"_",1)</f>
        <v>20260403</v>
      </c>
      <c r="AK880" s="1" t="str">
        <f>_xlfn.TEXTBEFORE(_xlfn.TEXTAFTER(batch_summary[[#This Row],[video]],"_",2),".",1)</f>
        <v>190000</v>
      </c>
    </row>
    <row r="881" spans="1:37" x14ac:dyDescent="0.2">
      <c r="A881" s="1" t="s">
        <v>1844</v>
      </c>
      <c r="B881" s="1" t="s">
        <v>1845</v>
      </c>
      <c r="C881">
        <v>119.95833333333333</v>
      </c>
      <c r="D881">
        <v>2879</v>
      </c>
      <c r="E881">
        <v>0.31701323669403791</v>
      </c>
      <c r="F881">
        <v>42.940112492069602</v>
      </c>
      <c r="G881">
        <v>1.1011227394721706E-4</v>
      </c>
      <c r="H881">
        <v>1.4914940080607711E-2</v>
      </c>
      <c r="I881">
        <v>5</v>
      </c>
      <c r="J881" t="b">
        <v>1</v>
      </c>
      <c r="K881">
        <v>0.65</v>
      </c>
      <c r="L881">
        <v>1.3</v>
      </c>
      <c r="M881" t="b">
        <v>1</v>
      </c>
      <c r="N881">
        <v>200</v>
      </c>
      <c r="O881" t="b">
        <v>0</v>
      </c>
      <c r="P881" t="b">
        <v>0</v>
      </c>
      <c r="Q881">
        <v>0.7</v>
      </c>
      <c r="R881">
        <v>1060.8446005582809</v>
      </c>
      <c r="S881">
        <v>813.68742895126343</v>
      </c>
      <c r="T881">
        <v>0</v>
      </c>
      <c r="U881">
        <v>0</v>
      </c>
      <c r="V881">
        <v>1874.5320295095444</v>
      </c>
      <c r="W881">
        <v>0</v>
      </c>
      <c r="X881">
        <v>15.626526123038925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1874532029.5095444</v>
      </c>
      <c r="AF881" s="1" t="s">
        <v>1846</v>
      </c>
      <c r="AG881" s="1" t="s">
        <v>1847</v>
      </c>
      <c r="AH881" s="1" t="s">
        <v>1848</v>
      </c>
      <c r="AI881" s="1" t="str">
        <f>_xlfn.TEXTAFTER(_xlfn.TEXTBEFORE(batch_summary[[#This Row],[video]],"_",1),"-",3)</f>
        <v>20</v>
      </c>
      <c r="AJ881" s="1" t="str">
        <f>_xlfn.TEXTBEFORE(_xlfn.TEXTAFTER(batch_summary[[#This Row],[video]],"_",1),"_",1)</f>
        <v>20260404</v>
      </c>
      <c r="AK881" s="1" t="str">
        <f>_xlfn.TEXTBEFORE(_xlfn.TEXTAFTER(batch_summary[[#This Row],[video]],"_",2),".",1)</f>
        <v>060000</v>
      </c>
    </row>
    <row r="882" spans="1:37" x14ac:dyDescent="0.2">
      <c r="A882" s="1" t="s">
        <v>1849</v>
      </c>
      <c r="B882" s="1" t="s">
        <v>1850</v>
      </c>
      <c r="C882">
        <v>119.95833333333333</v>
      </c>
      <c r="D882">
        <v>2879</v>
      </c>
      <c r="E882">
        <v>0.32523475866764784</v>
      </c>
      <c r="F882">
        <v>44.460027670487761</v>
      </c>
      <c r="G882">
        <v>1.1296796063482037E-4</v>
      </c>
      <c r="H882">
        <v>1.5442871716042987E-2</v>
      </c>
      <c r="I882">
        <v>5</v>
      </c>
      <c r="J882" t="b">
        <v>1</v>
      </c>
      <c r="K882">
        <v>0.65</v>
      </c>
      <c r="L882">
        <v>1.3</v>
      </c>
      <c r="M882" t="b">
        <v>1</v>
      </c>
      <c r="N882">
        <v>200</v>
      </c>
      <c r="O882" t="b">
        <v>0</v>
      </c>
      <c r="P882" t="b">
        <v>0</v>
      </c>
      <c r="Q882">
        <v>0.7</v>
      </c>
      <c r="R882">
        <v>219403.16204541922</v>
      </c>
      <c r="S882">
        <v>213429.81662970781</v>
      </c>
      <c r="T882">
        <v>118530.19319152832</v>
      </c>
      <c r="U882">
        <v>124353.38854980469</v>
      </c>
      <c r="V882">
        <v>432832.97867512703</v>
      </c>
      <c r="W882">
        <v>242883.58174133301</v>
      </c>
      <c r="X882">
        <v>3608.1943342143277</v>
      </c>
      <c r="Y882">
        <v>2024.7328800944747</v>
      </c>
      <c r="Z882">
        <v>794.99312004089359</v>
      </c>
      <c r="AA882">
        <v>60.720895435333247</v>
      </c>
      <c r="AB882">
        <v>1185.3019319152831</v>
      </c>
      <c r="AC882">
        <v>1243.5338854980469</v>
      </c>
      <c r="AD882">
        <v>2428.83581741333</v>
      </c>
      <c r="AE882">
        <v>1.782059435932096</v>
      </c>
      <c r="AF882" s="1" t="s">
        <v>1851</v>
      </c>
      <c r="AG882" s="1" t="s">
        <v>1852</v>
      </c>
      <c r="AH882" s="1" t="s">
        <v>1853</v>
      </c>
      <c r="AI882" s="1" t="str">
        <f>_xlfn.TEXTAFTER(_xlfn.TEXTBEFORE(batch_summary[[#This Row],[video]],"_",1),"-",3)</f>
        <v>20</v>
      </c>
      <c r="AJ882" s="1" t="str">
        <f>_xlfn.TEXTBEFORE(_xlfn.TEXTAFTER(batch_summary[[#This Row],[video]],"_",1),"_",1)</f>
        <v>20260404</v>
      </c>
      <c r="AK882" s="1" t="str">
        <f>_xlfn.TEXTBEFORE(_xlfn.TEXTAFTER(batch_summary[[#This Row],[video]],"_",2),".",1)</f>
        <v>070000</v>
      </c>
    </row>
    <row r="883" spans="1:37" x14ac:dyDescent="0.2">
      <c r="A883" s="1" t="s">
        <v>1854</v>
      </c>
      <c r="B883" s="1" t="s">
        <v>1855</v>
      </c>
      <c r="C883">
        <v>119.95833333333333</v>
      </c>
      <c r="D883">
        <v>2879</v>
      </c>
      <c r="E883">
        <v>0.32382623665034771</v>
      </c>
      <c r="F883">
        <v>45.271580342203379</v>
      </c>
      <c r="G883">
        <v>1.1247872061491758E-4</v>
      </c>
      <c r="H883">
        <v>1.5724758715596865E-2</v>
      </c>
      <c r="I883">
        <v>5</v>
      </c>
      <c r="J883" t="b">
        <v>1</v>
      </c>
      <c r="K883">
        <v>0.65</v>
      </c>
      <c r="L883">
        <v>1.3</v>
      </c>
      <c r="M883" t="b">
        <v>1</v>
      </c>
      <c r="N883">
        <v>200</v>
      </c>
      <c r="O883" t="b">
        <v>0</v>
      </c>
      <c r="P883" t="b">
        <v>0</v>
      </c>
      <c r="Q883">
        <v>0.7</v>
      </c>
      <c r="R883">
        <v>1467521.3504220843</v>
      </c>
      <c r="S883">
        <v>1397776.0981671214</v>
      </c>
      <c r="T883">
        <v>1284354.8913254738</v>
      </c>
      <c r="U883">
        <v>1152423.6794313192</v>
      </c>
      <c r="V883">
        <v>2865297.4485892057</v>
      </c>
      <c r="W883">
        <v>2436778.570756793</v>
      </c>
      <c r="X883">
        <v>23885.772409218804</v>
      </c>
      <c r="Y883">
        <v>20313.541402626965</v>
      </c>
      <c r="Z883">
        <v>2255.6667907166479</v>
      </c>
      <c r="AA883">
        <v>609.1946426891983</v>
      </c>
      <c r="AB883">
        <v>12843.548913254737</v>
      </c>
      <c r="AC883">
        <v>11524.236794313192</v>
      </c>
      <c r="AD883">
        <v>24367.785707567928</v>
      </c>
      <c r="AE883">
        <v>1.1758546644225154</v>
      </c>
      <c r="AF883" s="1" t="s">
        <v>1856</v>
      </c>
      <c r="AG883" s="1" t="s">
        <v>1857</v>
      </c>
      <c r="AH883" s="1" t="s">
        <v>1858</v>
      </c>
      <c r="AI883" s="1" t="str">
        <f>_xlfn.TEXTAFTER(_xlfn.TEXTBEFORE(batch_summary[[#This Row],[video]],"_",1),"-",3)</f>
        <v>20</v>
      </c>
      <c r="AJ883" s="1" t="str">
        <f>_xlfn.TEXTBEFORE(_xlfn.TEXTAFTER(batch_summary[[#This Row],[video]],"_",1),"_",1)</f>
        <v>20260404</v>
      </c>
      <c r="AK883" s="1" t="str">
        <f>_xlfn.TEXTBEFORE(_xlfn.TEXTAFTER(batch_summary[[#This Row],[video]],"_",2),".",1)</f>
        <v>080000</v>
      </c>
    </row>
    <row r="884" spans="1:37" x14ac:dyDescent="0.2">
      <c r="A884" s="1" t="s">
        <v>1859</v>
      </c>
      <c r="B884" s="1" t="s">
        <v>1860</v>
      </c>
      <c r="C884">
        <v>119.95833333333333</v>
      </c>
      <c r="D884">
        <v>2879</v>
      </c>
      <c r="E884">
        <v>0.33145211916416883</v>
      </c>
      <c r="F884">
        <v>45.6391870547086</v>
      </c>
      <c r="G884">
        <v>1.1512751620846434E-4</v>
      </c>
      <c r="H884">
        <v>1.5852444270478848E-2</v>
      </c>
      <c r="I884">
        <v>5</v>
      </c>
      <c r="J884" t="b">
        <v>1</v>
      </c>
      <c r="K884">
        <v>0.65</v>
      </c>
      <c r="L884">
        <v>1.3</v>
      </c>
      <c r="M884" t="b">
        <v>1</v>
      </c>
      <c r="N884">
        <v>200</v>
      </c>
      <c r="O884" t="b">
        <v>0</v>
      </c>
      <c r="P884" t="b">
        <v>0</v>
      </c>
      <c r="Q884">
        <v>0.7</v>
      </c>
      <c r="R884">
        <v>2204970.3427907228</v>
      </c>
      <c r="S884">
        <v>1938143.1119847298</v>
      </c>
      <c r="T884">
        <v>1973446.8164851665</v>
      </c>
      <c r="U884">
        <v>1678737.5180389285</v>
      </c>
      <c r="V884">
        <v>4143113.4547754526</v>
      </c>
      <c r="W884">
        <v>3652184.3345240951</v>
      </c>
      <c r="X884">
        <v>34537.937795974598</v>
      </c>
      <c r="Y884">
        <v>30445.440787974396</v>
      </c>
      <c r="Z884">
        <v>2918.3646902751925</v>
      </c>
      <c r="AA884">
        <v>913.04608363102375</v>
      </c>
      <c r="AB884">
        <v>19734.468164851667</v>
      </c>
      <c r="AC884">
        <v>16787.375180389285</v>
      </c>
      <c r="AD884">
        <v>36521.843345240952</v>
      </c>
      <c r="AE884">
        <v>1.134420685070741</v>
      </c>
      <c r="AF884" s="1" t="s">
        <v>1861</v>
      </c>
      <c r="AG884" s="1" t="s">
        <v>1862</v>
      </c>
      <c r="AH884" s="1" t="s">
        <v>1863</v>
      </c>
      <c r="AI884" s="1" t="str">
        <f>_xlfn.TEXTAFTER(_xlfn.TEXTBEFORE(batch_summary[[#This Row],[video]],"_",1),"-",3)</f>
        <v>20</v>
      </c>
      <c r="AJ884" s="1" t="str">
        <f>_xlfn.TEXTBEFORE(_xlfn.TEXTAFTER(batch_summary[[#This Row],[video]],"_",1),"_",1)</f>
        <v>20260404</v>
      </c>
      <c r="AK884" s="1" t="str">
        <f>_xlfn.TEXTBEFORE(_xlfn.TEXTAFTER(batch_summary[[#This Row],[video]],"_",2),".",1)</f>
        <v>090000</v>
      </c>
    </row>
    <row r="885" spans="1:37" x14ac:dyDescent="0.2">
      <c r="A885" s="1" t="s">
        <v>1864</v>
      </c>
      <c r="B885" s="1" t="s">
        <v>1865</v>
      </c>
      <c r="C885">
        <v>119.95833333333333</v>
      </c>
      <c r="D885">
        <v>2879</v>
      </c>
      <c r="E885">
        <v>0.32467094156891108</v>
      </c>
      <c r="F885">
        <v>45.102052015252411</v>
      </c>
      <c r="G885">
        <v>1.1277212280962525E-4</v>
      </c>
      <c r="H885">
        <v>1.5665874267194308E-2</v>
      </c>
      <c r="I885">
        <v>5</v>
      </c>
      <c r="J885" t="b">
        <v>1</v>
      </c>
      <c r="K885">
        <v>0.65</v>
      </c>
      <c r="L885">
        <v>1.3</v>
      </c>
      <c r="M885" t="b">
        <v>1</v>
      </c>
      <c r="N885">
        <v>200</v>
      </c>
      <c r="O885" t="b">
        <v>0</v>
      </c>
      <c r="P885" t="b">
        <v>0</v>
      </c>
      <c r="Q885">
        <v>0.7</v>
      </c>
      <c r="R885">
        <v>1856643.5080069304</v>
      </c>
      <c r="S885">
        <v>1523707.2401268482</v>
      </c>
      <c r="T885">
        <v>1671360.4965542555</v>
      </c>
      <c r="U885">
        <v>1304267.2971668243</v>
      </c>
      <c r="V885">
        <v>3380350.7481337786</v>
      </c>
      <c r="W885">
        <v>2975627.7937210798</v>
      </c>
      <c r="X885">
        <v>28179.374072667833</v>
      </c>
      <c r="Y885">
        <v>24805.511305767948</v>
      </c>
      <c r="Z885">
        <v>2671.7172293090821</v>
      </c>
      <c r="AA885">
        <v>743.90694843026995</v>
      </c>
      <c r="AB885">
        <v>16713.604965542556</v>
      </c>
      <c r="AC885">
        <v>13042.672971668244</v>
      </c>
      <c r="AD885">
        <v>29756.277937210798</v>
      </c>
      <c r="AE885">
        <v>1.1360126274081426</v>
      </c>
      <c r="AF885" s="1" t="s">
        <v>1866</v>
      </c>
      <c r="AG885" s="1" t="s">
        <v>1867</v>
      </c>
      <c r="AH885" s="1" t="s">
        <v>1868</v>
      </c>
      <c r="AI885" s="1" t="str">
        <f>_xlfn.TEXTAFTER(_xlfn.TEXTBEFORE(batch_summary[[#This Row],[video]],"_",1),"-",3)</f>
        <v>20</v>
      </c>
      <c r="AJ885" s="1" t="str">
        <f>_xlfn.TEXTBEFORE(_xlfn.TEXTAFTER(batch_summary[[#This Row],[video]],"_",1),"_",1)</f>
        <v>20260404</v>
      </c>
      <c r="AK885" s="1" t="str">
        <f>_xlfn.TEXTBEFORE(_xlfn.TEXTAFTER(batch_summary[[#This Row],[video]],"_",2),".",1)</f>
        <v>100000</v>
      </c>
    </row>
    <row r="886" spans="1:37" x14ac:dyDescent="0.2">
      <c r="A886" s="1" t="s">
        <v>1869</v>
      </c>
      <c r="B886" s="1" t="s">
        <v>1870</v>
      </c>
      <c r="C886">
        <v>119.95833333333333</v>
      </c>
      <c r="D886">
        <v>2879</v>
      </c>
      <c r="E886">
        <v>0.31719118729233742</v>
      </c>
      <c r="F886">
        <v>45.536661132238805</v>
      </c>
      <c r="G886">
        <v>1.101740838111627E-4</v>
      </c>
      <c r="H886">
        <v>1.5816832626689408E-2</v>
      </c>
      <c r="I886">
        <v>5</v>
      </c>
      <c r="J886" t="b">
        <v>1</v>
      </c>
      <c r="K886">
        <v>0.65</v>
      </c>
      <c r="L886">
        <v>1.3</v>
      </c>
      <c r="M886" t="b">
        <v>1</v>
      </c>
      <c r="N886">
        <v>200</v>
      </c>
      <c r="O886" t="b">
        <v>0</v>
      </c>
      <c r="P886" t="b">
        <v>0</v>
      </c>
      <c r="Q886">
        <v>0.7</v>
      </c>
      <c r="R886">
        <v>6200085.9039983749</v>
      </c>
      <c r="S886">
        <v>5655568.607607305</v>
      </c>
      <c r="T886">
        <v>5606196.0706018806</v>
      </c>
      <c r="U886">
        <v>5027821.8498796225</v>
      </c>
      <c r="V886">
        <v>11855654.51160568</v>
      </c>
      <c r="W886">
        <v>10634017.920481503</v>
      </c>
      <c r="X886">
        <v>98831.43740136725</v>
      </c>
      <c r="Y886">
        <v>88647.59641943594</v>
      </c>
      <c r="Z886">
        <v>5741.5580829095834</v>
      </c>
      <c r="AA886">
        <v>2658.5044801203758</v>
      </c>
      <c r="AB886">
        <v>56061.960706018806</v>
      </c>
      <c r="AC886">
        <v>50278.218498796225</v>
      </c>
      <c r="AD886">
        <v>106340.17920481504</v>
      </c>
      <c r="AE886">
        <v>1.1148800575905802</v>
      </c>
      <c r="AF886" s="1" t="s">
        <v>1871</v>
      </c>
      <c r="AG886" s="1" t="s">
        <v>1872</v>
      </c>
      <c r="AH886" s="1" t="s">
        <v>1873</v>
      </c>
      <c r="AI886" s="1" t="str">
        <f>_xlfn.TEXTAFTER(_xlfn.TEXTBEFORE(batch_summary[[#This Row],[video]],"_",1),"-",3)</f>
        <v>20</v>
      </c>
      <c r="AJ886" s="1" t="str">
        <f>_xlfn.TEXTBEFORE(_xlfn.TEXTAFTER(batch_summary[[#This Row],[video]],"_",1),"_",1)</f>
        <v>20260404</v>
      </c>
      <c r="AK886" s="1" t="str">
        <f>_xlfn.TEXTBEFORE(_xlfn.TEXTAFTER(batch_summary[[#This Row],[video]],"_",2),".",1)</f>
        <v>110000</v>
      </c>
    </row>
    <row r="887" spans="1:37" x14ac:dyDescent="0.2">
      <c r="A887" s="1" t="s">
        <v>1874</v>
      </c>
      <c r="B887" s="1" t="s">
        <v>1875</v>
      </c>
      <c r="C887">
        <v>119.95833333333333</v>
      </c>
      <c r="D887">
        <v>2879</v>
      </c>
      <c r="E887">
        <v>0.29097389988601208</v>
      </c>
      <c r="F887">
        <v>44.187894615344703</v>
      </c>
      <c r="G887">
        <v>1.0106769707746164E-4</v>
      </c>
      <c r="H887">
        <v>1.5348348251248594E-2</v>
      </c>
      <c r="I887">
        <v>5</v>
      </c>
      <c r="J887" t="b">
        <v>1</v>
      </c>
      <c r="K887">
        <v>0.65</v>
      </c>
      <c r="L887">
        <v>1.3</v>
      </c>
      <c r="M887" t="b">
        <v>1</v>
      </c>
      <c r="N887">
        <v>200</v>
      </c>
      <c r="O887" t="b">
        <v>0</v>
      </c>
      <c r="P887" t="b">
        <v>0</v>
      </c>
      <c r="Q887">
        <v>0.7</v>
      </c>
      <c r="R887">
        <v>9847964.5249762535</v>
      </c>
      <c r="S887">
        <v>11844159.513096154</v>
      </c>
      <c r="T887">
        <v>8987648.7495862246</v>
      </c>
      <c r="U887">
        <v>10883634.9532336</v>
      </c>
      <c r="V887">
        <v>21692124.038072407</v>
      </c>
      <c r="W887">
        <v>19871283.702819824</v>
      </c>
      <c r="X887">
        <v>180830.48868139554</v>
      </c>
      <c r="Y887">
        <v>165651.54875570539</v>
      </c>
      <c r="Z887">
        <v>7801.2544638347626</v>
      </c>
      <c r="AA887">
        <v>4967.8209257049557</v>
      </c>
      <c r="AB887">
        <v>89876.487495862239</v>
      </c>
      <c r="AC887">
        <v>108836.349532336</v>
      </c>
      <c r="AD887">
        <v>198712.83702819824</v>
      </c>
      <c r="AE887">
        <v>1.0916317416873373</v>
      </c>
      <c r="AF887" s="1" t="s">
        <v>1876</v>
      </c>
      <c r="AG887" s="1" t="s">
        <v>1877</v>
      </c>
      <c r="AH887" s="1" t="s">
        <v>1878</v>
      </c>
      <c r="AI887" s="1" t="str">
        <f>_xlfn.TEXTAFTER(_xlfn.TEXTBEFORE(batch_summary[[#This Row],[video]],"_",1),"-",3)</f>
        <v>20</v>
      </c>
      <c r="AJ887" s="1" t="str">
        <f>_xlfn.TEXTBEFORE(_xlfn.TEXTAFTER(batch_summary[[#This Row],[video]],"_",1),"_",1)</f>
        <v>20260404</v>
      </c>
      <c r="AK887" s="1" t="str">
        <f>_xlfn.TEXTBEFORE(_xlfn.TEXTAFTER(batch_summary[[#This Row],[video]],"_",2),".",1)</f>
        <v>120000</v>
      </c>
    </row>
    <row r="888" spans="1:37" x14ac:dyDescent="0.2">
      <c r="A888" s="1" t="s">
        <v>1879</v>
      </c>
      <c r="B888" s="1" t="s">
        <v>1880</v>
      </c>
      <c r="C888">
        <v>119.95833333333333</v>
      </c>
      <c r="D888">
        <v>2879</v>
      </c>
      <c r="E888">
        <v>0.28688409924507141</v>
      </c>
      <c r="F888">
        <v>44.274856196716428</v>
      </c>
      <c r="G888">
        <v>9.9647134159455168E-5</v>
      </c>
      <c r="H888">
        <v>1.537855373279487E-2</v>
      </c>
      <c r="I888">
        <v>5</v>
      </c>
      <c r="J888" t="b">
        <v>1</v>
      </c>
      <c r="K888">
        <v>0.65</v>
      </c>
      <c r="L888">
        <v>1.3</v>
      </c>
      <c r="M888" t="b">
        <v>1</v>
      </c>
      <c r="N888">
        <v>200</v>
      </c>
      <c r="O888" t="b">
        <v>0</v>
      </c>
      <c r="P888" t="b">
        <v>0</v>
      </c>
      <c r="Q888">
        <v>0.7</v>
      </c>
      <c r="R888">
        <v>11237484.288316488</v>
      </c>
      <c r="S888">
        <v>16437056.025498748</v>
      </c>
      <c r="T888">
        <v>10294150.104345918</v>
      </c>
      <c r="U888">
        <v>15239643.788646162</v>
      </c>
      <c r="V888">
        <v>27674540.313815236</v>
      </c>
      <c r="W888">
        <v>25533793.892992079</v>
      </c>
      <c r="X888">
        <v>230701.27389078349</v>
      </c>
      <c r="Y888">
        <v>212855.52394296977</v>
      </c>
      <c r="Z888">
        <v>10599.829205656051</v>
      </c>
      <c r="AA888">
        <v>6383.4484732480196</v>
      </c>
      <c r="AB888">
        <v>102941.50104345918</v>
      </c>
      <c r="AC888">
        <v>152396.43788646162</v>
      </c>
      <c r="AD888">
        <v>255337.93892992078</v>
      </c>
      <c r="AE888">
        <v>1.0838397313691288</v>
      </c>
      <c r="AF888" s="1" t="s">
        <v>1881</v>
      </c>
      <c r="AG888" s="1" t="s">
        <v>1882</v>
      </c>
      <c r="AH888" s="1" t="s">
        <v>1883</v>
      </c>
      <c r="AI888" s="1" t="str">
        <f>_xlfn.TEXTAFTER(_xlfn.TEXTBEFORE(batch_summary[[#This Row],[video]],"_",1),"-",3)</f>
        <v>20</v>
      </c>
      <c r="AJ888" s="1" t="str">
        <f>_xlfn.TEXTBEFORE(_xlfn.TEXTAFTER(batch_summary[[#This Row],[video]],"_",1),"_",1)</f>
        <v>20260404</v>
      </c>
      <c r="AK888" s="1" t="str">
        <f>_xlfn.TEXTBEFORE(_xlfn.TEXTAFTER(batch_summary[[#This Row],[video]],"_",2),".",1)</f>
        <v>130000</v>
      </c>
    </row>
    <row r="889" spans="1:37" x14ac:dyDescent="0.2">
      <c r="A889" s="1" t="s">
        <v>1884</v>
      </c>
      <c r="B889" s="1" t="s">
        <v>1885</v>
      </c>
      <c r="C889">
        <v>119.95833333333333</v>
      </c>
      <c r="D889">
        <v>2879</v>
      </c>
      <c r="E889">
        <v>0.28536028601229191</v>
      </c>
      <c r="F889">
        <v>43.82590071670711</v>
      </c>
      <c r="G889">
        <v>9.9117848562796777E-5</v>
      </c>
      <c r="H889">
        <v>1.5222612267004901E-2</v>
      </c>
      <c r="I889">
        <v>5</v>
      </c>
      <c r="J889" t="b">
        <v>1</v>
      </c>
      <c r="K889">
        <v>0.65</v>
      </c>
      <c r="L889">
        <v>1.3</v>
      </c>
      <c r="M889" t="b">
        <v>1</v>
      </c>
      <c r="N889">
        <v>200</v>
      </c>
      <c r="O889" t="b">
        <v>0</v>
      </c>
      <c r="P889" t="b">
        <v>0</v>
      </c>
      <c r="Q889">
        <v>0.7</v>
      </c>
      <c r="R889">
        <v>15203140.83989048</v>
      </c>
      <c r="S889">
        <v>17667313.074521542</v>
      </c>
      <c r="T889">
        <v>14163894.282917798</v>
      </c>
      <c r="U889">
        <v>16470929.991319716</v>
      </c>
      <c r="V889">
        <v>32870453.914412022</v>
      </c>
      <c r="W889">
        <v>30634824.274237514</v>
      </c>
      <c r="X889">
        <v>274015.59359009675</v>
      </c>
      <c r="Y889">
        <v>255378.87550597443</v>
      </c>
      <c r="Z889">
        <v>10599.706479492186</v>
      </c>
      <c r="AA889">
        <v>7658.7060685593779</v>
      </c>
      <c r="AB889">
        <v>141638.94282917798</v>
      </c>
      <c r="AC889">
        <v>164709.29991319717</v>
      </c>
      <c r="AD889">
        <v>306348.24274237512</v>
      </c>
      <c r="AE889">
        <v>1.072976741115325</v>
      </c>
      <c r="AF889" s="1" t="s">
        <v>1886</v>
      </c>
      <c r="AG889" s="1" t="s">
        <v>1887</v>
      </c>
      <c r="AH889" s="1" t="s">
        <v>1888</v>
      </c>
      <c r="AI889" s="1" t="str">
        <f>_xlfn.TEXTAFTER(_xlfn.TEXTBEFORE(batch_summary[[#This Row],[video]],"_",1),"-",3)</f>
        <v>20</v>
      </c>
      <c r="AJ889" s="1" t="str">
        <f>_xlfn.TEXTBEFORE(_xlfn.TEXTAFTER(batch_summary[[#This Row],[video]],"_",1),"_",1)</f>
        <v>20260404</v>
      </c>
      <c r="AK889" s="1" t="str">
        <f>_xlfn.TEXTBEFORE(_xlfn.TEXTAFTER(batch_summary[[#This Row],[video]],"_",2),".",1)</f>
        <v>140000</v>
      </c>
    </row>
    <row r="890" spans="1:37" x14ac:dyDescent="0.2">
      <c r="A890" s="1" t="s">
        <v>1889</v>
      </c>
      <c r="B890" s="1" t="s">
        <v>1890</v>
      </c>
      <c r="C890">
        <v>119.95833333333333</v>
      </c>
      <c r="D890">
        <v>2879</v>
      </c>
      <c r="E890">
        <v>0.28387876227498055</v>
      </c>
      <c r="F890">
        <v>43.680131601169705</v>
      </c>
      <c r="G890">
        <v>9.860325191906237E-5</v>
      </c>
      <c r="H890">
        <v>1.5171980410270826E-2</v>
      </c>
      <c r="I890">
        <v>5</v>
      </c>
      <c r="J890" t="b">
        <v>1</v>
      </c>
      <c r="K890">
        <v>0.65</v>
      </c>
      <c r="L890">
        <v>1.3</v>
      </c>
      <c r="M890" t="b">
        <v>1</v>
      </c>
      <c r="N890">
        <v>200</v>
      </c>
      <c r="O890" t="b">
        <v>0</v>
      </c>
      <c r="P890" t="b">
        <v>0</v>
      </c>
      <c r="Q890">
        <v>0.7</v>
      </c>
      <c r="R890">
        <v>18265510.910611153</v>
      </c>
      <c r="S890">
        <v>20735359.979316711</v>
      </c>
      <c r="T890">
        <v>17305134.578295708</v>
      </c>
      <c r="U890">
        <v>19623813.928878784</v>
      </c>
      <c r="V890">
        <v>39000870.889927864</v>
      </c>
      <c r="W890">
        <v>36928948.507174492</v>
      </c>
      <c r="X890">
        <v>325120.14635577239</v>
      </c>
      <c r="Y890">
        <v>307848.12927133997</v>
      </c>
      <c r="Z890">
        <v>12895.492335205079</v>
      </c>
      <c r="AA890">
        <v>9232.2371267936232</v>
      </c>
      <c r="AB890">
        <v>173051.34578295707</v>
      </c>
      <c r="AC890">
        <v>196238.13928878785</v>
      </c>
      <c r="AD890">
        <v>369289.48507174489</v>
      </c>
      <c r="AE890">
        <v>1.0561056424975339</v>
      </c>
      <c r="AF890" s="1" t="s">
        <v>1891</v>
      </c>
      <c r="AG890" s="1" t="s">
        <v>1892</v>
      </c>
      <c r="AH890" s="1" t="s">
        <v>1893</v>
      </c>
      <c r="AI890" s="1" t="str">
        <f>_xlfn.TEXTAFTER(_xlfn.TEXTBEFORE(batch_summary[[#This Row],[video]],"_",1),"-",3)</f>
        <v>20</v>
      </c>
      <c r="AJ890" s="1" t="str">
        <f>_xlfn.TEXTBEFORE(_xlfn.TEXTAFTER(batch_summary[[#This Row],[video]],"_",1),"_",1)</f>
        <v>20260404</v>
      </c>
      <c r="AK890" s="1" t="str">
        <f>_xlfn.TEXTBEFORE(_xlfn.TEXTAFTER(batch_summary[[#This Row],[video]],"_",2),".",1)</f>
        <v>150000</v>
      </c>
    </row>
    <row r="891" spans="1:37" x14ac:dyDescent="0.2">
      <c r="A891" s="1" t="s">
        <v>1894</v>
      </c>
      <c r="B891" s="1" t="s">
        <v>1895</v>
      </c>
      <c r="C891">
        <v>119.95833333333333</v>
      </c>
      <c r="D891">
        <v>2879</v>
      </c>
      <c r="E891">
        <v>0.2829716894775629</v>
      </c>
      <c r="F891">
        <v>43.858301931060851</v>
      </c>
      <c r="G891">
        <v>9.8288186688976349E-5</v>
      </c>
      <c r="H891">
        <v>1.523386659640877E-2</v>
      </c>
      <c r="I891">
        <v>5</v>
      </c>
      <c r="J891" t="b">
        <v>1</v>
      </c>
      <c r="K891">
        <v>0.65</v>
      </c>
      <c r="L891">
        <v>1.3</v>
      </c>
      <c r="M891" t="b">
        <v>1</v>
      </c>
      <c r="N891">
        <v>200</v>
      </c>
      <c r="O891" t="b">
        <v>0</v>
      </c>
      <c r="P891" t="b">
        <v>0</v>
      </c>
      <c r="Q891">
        <v>0.7</v>
      </c>
      <c r="R891">
        <v>16079302.23092556</v>
      </c>
      <c r="S891">
        <v>15481304.69145155</v>
      </c>
      <c r="T891">
        <v>15043698.662706494</v>
      </c>
      <c r="U891">
        <v>14462597.313863993</v>
      </c>
      <c r="V891">
        <v>31560606.92237711</v>
      </c>
      <c r="W891">
        <v>29506295.976570487</v>
      </c>
      <c r="X891">
        <v>263096.41060682549</v>
      </c>
      <c r="Y891">
        <v>245971.20647366854</v>
      </c>
      <c r="Z891">
        <v>10653.004985733032</v>
      </c>
      <c r="AA891">
        <v>7376.57399414262</v>
      </c>
      <c r="AB891">
        <v>150436.98662706494</v>
      </c>
      <c r="AC891">
        <v>144625.97313863994</v>
      </c>
      <c r="AD891">
        <v>295062.95976570487</v>
      </c>
      <c r="AE891">
        <v>1.0696228000775785</v>
      </c>
      <c r="AF891" s="1" t="s">
        <v>1896</v>
      </c>
      <c r="AG891" s="1" t="s">
        <v>1897</v>
      </c>
      <c r="AH891" s="1" t="s">
        <v>1898</v>
      </c>
      <c r="AI891" s="1" t="str">
        <f>_xlfn.TEXTAFTER(_xlfn.TEXTBEFORE(batch_summary[[#This Row],[video]],"_",1),"-",3)</f>
        <v>20</v>
      </c>
      <c r="AJ891" s="1" t="str">
        <f>_xlfn.TEXTBEFORE(_xlfn.TEXTAFTER(batch_summary[[#This Row],[video]],"_",1),"_",1)</f>
        <v>20260404</v>
      </c>
      <c r="AK891" s="1" t="str">
        <f>_xlfn.TEXTBEFORE(_xlfn.TEXTAFTER(batch_summary[[#This Row],[video]],"_",2),".",1)</f>
        <v>160000</v>
      </c>
    </row>
    <row r="892" spans="1:37" x14ac:dyDescent="0.2">
      <c r="A892" s="1" t="s">
        <v>1899</v>
      </c>
      <c r="B892" s="1" t="s">
        <v>1900</v>
      </c>
      <c r="C892">
        <v>119.95833333333333</v>
      </c>
      <c r="D892">
        <v>2879</v>
      </c>
      <c r="E892">
        <v>0.28928852546960115</v>
      </c>
      <c r="F892">
        <v>43.929224211722612</v>
      </c>
      <c r="G892">
        <v>1.0048229436248738E-4</v>
      </c>
      <c r="H892">
        <v>1.52585009418974E-2</v>
      </c>
      <c r="I892">
        <v>5</v>
      </c>
      <c r="J892" t="b">
        <v>1</v>
      </c>
      <c r="K892">
        <v>0.65</v>
      </c>
      <c r="L892">
        <v>1.3</v>
      </c>
      <c r="M892" t="b">
        <v>1</v>
      </c>
      <c r="N892">
        <v>200</v>
      </c>
      <c r="O892" t="b">
        <v>0</v>
      </c>
      <c r="P892" t="b">
        <v>0</v>
      </c>
      <c r="Q892">
        <v>0.7</v>
      </c>
      <c r="R892">
        <v>13562669.772489309</v>
      </c>
      <c r="S892">
        <v>12909533.222296834</v>
      </c>
      <c r="T892">
        <v>12671410.52763629</v>
      </c>
      <c r="U892">
        <v>11959211.760610938</v>
      </c>
      <c r="V892">
        <v>26472202.994786143</v>
      </c>
      <c r="W892">
        <v>24630622.288247228</v>
      </c>
      <c r="X892">
        <v>220678.31603850902</v>
      </c>
      <c r="Y892">
        <v>205326.47965193939</v>
      </c>
      <c r="Z892">
        <v>10275.701384277343</v>
      </c>
      <c r="AA892">
        <v>6157.6555720618071</v>
      </c>
      <c r="AB892">
        <v>126714.1052763629</v>
      </c>
      <c r="AC892">
        <v>119592.11760610939</v>
      </c>
      <c r="AD892">
        <v>246306.22288247227</v>
      </c>
      <c r="AE892">
        <v>1.0747679325754447</v>
      </c>
      <c r="AF892" s="1" t="s">
        <v>1901</v>
      </c>
      <c r="AG892" s="1" t="s">
        <v>1902</v>
      </c>
      <c r="AH892" s="1" t="s">
        <v>1903</v>
      </c>
      <c r="AI892" s="1" t="str">
        <f>_xlfn.TEXTAFTER(_xlfn.TEXTBEFORE(batch_summary[[#This Row],[video]],"_",1),"-",3)</f>
        <v>20</v>
      </c>
      <c r="AJ892" s="1" t="str">
        <f>_xlfn.TEXTBEFORE(_xlfn.TEXTAFTER(batch_summary[[#This Row],[video]],"_",1),"_",1)</f>
        <v>20260404</v>
      </c>
      <c r="AK892" s="1" t="str">
        <f>_xlfn.TEXTBEFORE(_xlfn.TEXTAFTER(batch_summary[[#This Row],[video]],"_",2),".",1)</f>
        <v>170000</v>
      </c>
    </row>
    <row r="893" spans="1:37" x14ac:dyDescent="0.2">
      <c r="A893" s="1" t="s">
        <v>1904</v>
      </c>
      <c r="B893" s="1" t="s">
        <v>1905</v>
      </c>
      <c r="C893">
        <v>119.95833333333333</v>
      </c>
      <c r="D893">
        <v>2879</v>
      </c>
      <c r="E893">
        <v>0.29017502628266811</v>
      </c>
      <c r="F893">
        <v>44.37092530541122</v>
      </c>
      <c r="G893">
        <v>1.0079021406136441E-4</v>
      </c>
      <c r="H893">
        <v>1.5411922648631893E-2</v>
      </c>
      <c r="I893">
        <v>5</v>
      </c>
      <c r="J893" t="b">
        <v>1</v>
      </c>
      <c r="K893">
        <v>0.65</v>
      </c>
      <c r="L893">
        <v>1.3</v>
      </c>
      <c r="M893" t="b">
        <v>1</v>
      </c>
      <c r="N893">
        <v>200</v>
      </c>
      <c r="O893" t="b">
        <v>0</v>
      </c>
      <c r="P893" t="b">
        <v>0</v>
      </c>
      <c r="Q893">
        <v>0.7</v>
      </c>
      <c r="R893">
        <v>10183519.621903241</v>
      </c>
      <c r="S893">
        <v>9483304.4518208504</v>
      </c>
      <c r="T893">
        <v>9444449.1350549459</v>
      </c>
      <c r="U893">
        <v>8765339.0471189022</v>
      </c>
      <c r="V893">
        <v>19666824.073724091</v>
      </c>
      <c r="W893">
        <v>18209788.182173848</v>
      </c>
      <c r="X893">
        <v>163947.12670002718</v>
      </c>
      <c r="Y893">
        <v>151800.94351239054</v>
      </c>
      <c r="Z893">
        <v>7788.1429037475591</v>
      </c>
      <c r="AA893">
        <v>4552.4470455434621</v>
      </c>
      <c r="AB893">
        <v>94444.491350549462</v>
      </c>
      <c r="AC893">
        <v>87653.390471189021</v>
      </c>
      <c r="AD893">
        <v>182097.8818217385</v>
      </c>
      <c r="AE893">
        <v>1.0800138846742096</v>
      </c>
      <c r="AF893" s="1" t="s">
        <v>1906</v>
      </c>
      <c r="AG893" s="1" t="s">
        <v>1907</v>
      </c>
      <c r="AH893" s="1" t="s">
        <v>1908</v>
      </c>
      <c r="AI893" s="1" t="str">
        <f>_xlfn.TEXTAFTER(_xlfn.TEXTBEFORE(batch_summary[[#This Row],[video]],"_",1),"-",3)</f>
        <v>20</v>
      </c>
      <c r="AJ893" s="1" t="str">
        <f>_xlfn.TEXTBEFORE(_xlfn.TEXTAFTER(batch_summary[[#This Row],[video]],"_",1),"_",1)</f>
        <v>20260404</v>
      </c>
      <c r="AK893" s="1" t="str">
        <f>_xlfn.TEXTBEFORE(_xlfn.TEXTAFTER(batch_summary[[#This Row],[video]],"_",2),".",1)</f>
        <v>180000</v>
      </c>
    </row>
    <row r="894" spans="1:37" x14ac:dyDescent="0.2">
      <c r="A894" s="1" t="s">
        <v>1909</v>
      </c>
      <c r="B894" s="1" t="s">
        <v>1910</v>
      </c>
      <c r="C894">
        <v>119.95833333333333</v>
      </c>
      <c r="D894">
        <v>2879</v>
      </c>
      <c r="E894">
        <v>0.32376568857580423</v>
      </c>
      <c r="F894">
        <v>45.864840752445161</v>
      </c>
      <c r="G894">
        <v>1.124576896755138E-4</v>
      </c>
      <c r="H894">
        <v>1.5930823463857297E-2</v>
      </c>
      <c r="I894">
        <v>5</v>
      </c>
      <c r="J894" t="b">
        <v>1</v>
      </c>
      <c r="K894">
        <v>0.65</v>
      </c>
      <c r="L894">
        <v>1.3</v>
      </c>
      <c r="M894" t="b">
        <v>1</v>
      </c>
      <c r="N894">
        <v>200</v>
      </c>
      <c r="O894" t="b">
        <v>0</v>
      </c>
      <c r="P894" t="b">
        <v>0</v>
      </c>
      <c r="Q894">
        <v>0.7</v>
      </c>
      <c r="R894">
        <v>2287601.1782553792</v>
      </c>
      <c r="S894">
        <v>2207978.8941985369</v>
      </c>
      <c r="T894">
        <v>1613184.7556020617</v>
      </c>
      <c r="U894">
        <v>1535883.6584093571</v>
      </c>
      <c r="V894">
        <v>4495580.0724539161</v>
      </c>
      <c r="W894">
        <v>3149068.4140114188</v>
      </c>
      <c r="X894">
        <v>37476.179832891277</v>
      </c>
      <c r="Y894">
        <v>26251.351836149377</v>
      </c>
      <c r="Z894">
        <v>1892.9318985915183</v>
      </c>
      <c r="AA894">
        <v>787.26710350285475</v>
      </c>
      <c r="AB894">
        <v>16131.847556020617</v>
      </c>
      <c r="AC894">
        <v>15358.836584093571</v>
      </c>
      <c r="AD894">
        <v>31490.684140114186</v>
      </c>
      <c r="AE894">
        <v>1.4275904748373671</v>
      </c>
      <c r="AF894" s="1" t="s">
        <v>1911</v>
      </c>
      <c r="AG894" s="1" t="s">
        <v>1912</v>
      </c>
      <c r="AH894" s="1" t="s">
        <v>1913</v>
      </c>
      <c r="AI894" s="1" t="str">
        <f>_xlfn.TEXTAFTER(_xlfn.TEXTBEFORE(batch_summary[[#This Row],[video]],"_",1),"-",3)</f>
        <v>20</v>
      </c>
      <c r="AJ894" s="1" t="str">
        <f>_xlfn.TEXTBEFORE(_xlfn.TEXTAFTER(batch_summary[[#This Row],[video]],"_",1),"_",1)</f>
        <v>20260404</v>
      </c>
      <c r="AK894" s="1" t="str">
        <f>_xlfn.TEXTBEFORE(_xlfn.TEXTAFTER(batch_summary[[#This Row],[video]],"_",2),".",1)</f>
        <v>190000</v>
      </c>
    </row>
    <row r="895" spans="1:37" x14ac:dyDescent="0.2">
      <c r="A895" s="1" t="s">
        <v>1914</v>
      </c>
      <c r="B895" s="1" t="s">
        <v>1915</v>
      </c>
      <c r="C895">
        <v>119.95833333333333</v>
      </c>
      <c r="D895">
        <v>2879</v>
      </c>
      <c r="E895">
        <v>0.32935724221169949</v>
      </c>
      <c r="F895">
        <v>45.905763330869377</v>
      </c>
      <c r="G895">
        <v>1.143998757248001E-4</v>
      </c>
      <c r="H895">
        <v>1.5945037627950461E-2</v>
      </c>
      <c r="I895">
        <v>5</v>
      </c>
      <c r="J895" t="b">
        <v>1</v>
      </c>
      <c r="K895">
        <v>0.65</v>
      </c>
      <c r="L895">
        <v>1.3</v>
      </c>
      <c r="M895" t="b">
        <v>1</v>
      </c>
      <c r="N895">
        <v>200</v>
      </c>
      <c r="O895" t="b">
        <v>0</v>
      </c>
      <c r="P895" t="b">
        <v>0</v>
      </c>
      <c r="Q895">
        <v>0.7</v>
      </c>
      <c r="R895">
        <v>545568.84238213301</v>
      </c>
      <c r="S895">
        <v>564498.63491779566</v>
      </c>
      <c r="T895">
        <v>276596.04398524761</v>
      </c>
      <c r="U895">
        <v>275833.20268702507</v>
      </c>
      <c r="V895">
        <v>1110067.4772999287</v>
      </c>
      <c r="W895">
        <v>552429.24667227268</v>
      </c>
      <c r="X895">
        <v>9253.7754273005521</v>
      </c>
      <c r="Y895">
        <v>4605.1760750727835</v>
      </c>
      <c r="Z895">
        <v>515.37905731201181</v>
      </c>
      <c r="AA895">
        <v>138.10731166806818</v>
      </c>
      <c r="AB895">
        <v>2765.9604398524762</v>
      </c>
      <c r="AC895">
        <v>2758.3320268702505</v>
      </c>
      <c r="AD895">
        <v>5524.2924667227271</v>
      </c>
      <c r="AE895">
        <v>2.0094292327691941</v>
      </c>
      <c r="AF895" s="1" t="s">
        <v>1916</v>
      </c>
      <c r="AG895" s="1" t="s">
        <v>1917</v>
      </c>
      <c r="AH895" s="1" t="s">
        <v>1918</v>
      </c>
      <c r="AI895" s="1" t="str">
        <f>_xlfn.TEXTAFTER(_xlfn.TEXTBEFORE(batch_summary[[#This Row],[video]],"_",1),"-",3)</f>
        <v>20</v>
      </c>
      <c r="AJ895" s="1" t="str">
        <f>_xlfn.TEXTBEFORE(_xlfn.TEXTAFTER(batch_summary[[#This Row],[video]],"_",1),"_",1)</f>
        <v>20260405</v>
      </c>
      <c r="AK895" s="1" t="str">
        <f>_xlfn.TEXTBEFORE(_xlfn.TEXTAFTER(batch_summary[[#This Row],[video]],"_",2),".",1)</f>
        <v>060000</v>
      </c>
    </row>
    <row r="896" spans="1:37" x14ac:dyDescent="0.2">
      <c r="A896" s="1" t="s">
        <v>1919</v>
      </c>
      <c r="B896" s="1" t="s">
        <v>1920</v>
      </c>
      <c r="C896">
        <v>119.95833333333333</v>
      </c>
      <c r="D896">
        <v>2879</v>
      </c>
      <c r="E896">
        <v>0.31580883450806141</v>
      </c>
      <c r="F896">
        <v>44.077733955346048</v>
      </c>
      <c r="G896">
        <v>1.0969393348664862E-4</v>
      </c>
      <c r="H896">
        <v>1.5310084736139649E-2</v>
      </c>
      <c r="I896">
        <v>5</v>
      </c>
      <c r="J896" t="b">
        <v>1</v>
      </c>
      <c r="K896">
        <v>0.65</v>
      </c>
      <c r="L896">
        <v>1.3</v>
      </c>
      <c r="M896" t="b">
        <v>1</v>
      </c>
      <c r="N896">
        <v>200</v>
      </c>
      <c r="O896" t="b">
        <v>0</v>
      </c>
      <c r="P896" t="b">
        <v>0</v>
      </c>
      <c r="Q896">
        <v>0.7</v>
      </c>
      <c r="R896">
        <v>25853.11934530735</v>
      </c>
      <c r="S896">
        <v>30384.72053360939</v>
      </c>
      <c r="T896">
        <v>5956.8557891845703</v>
      </c>
      <c r="U896">
        <v>4365.688720703125</v>
      </c>
      <c r="V896">
        <v>56237.83987891674</v>
      </c>
      <c r="W896">
        <v>10322.544509887695</v>
      </c>
      <c r="X896">
        <v>468.81144741021251</v>
      </c>
      <c r="Y896">
        <v>86.051083097361825</v>
      </c>
      <c r="Z896">
        <v>64.639459228515634</v>
      </c>
      <c r="AA896">
        <v>2.5806361274719238</v>
      </c>
      <c r="AB896">
        <v>59.5685578918457</v>
      </c>
      <c r="AC896">
        <v>43.656887207031247</v>
      </c>
      <c r="AD896">
        <v>103.22544509887695</v>
      </c>
      <c r="AE896">
        <v>5.4480598097734516</v>
      </c>
      <c r="AF896" s="1" t="s">
        <v>1921</v>
      </c>
      <c r="AG896" s="1" t="s">
        <v>1922</v>
      </c>
      <c r="AH896" s="1" t="s">
        <v>1923</v>
      </c>
      <c r="AI896" s="1" t="str">
        <f>_xlfn.TEXTAFTER(_xlfn.TEXTBEFORE(batch_summary[[#This Row],[video]],"_",1),"-",3)</f>
        <v>20</v>
      </c>
      <c r="AJ896" s="1" t="str">
        <f>_xlfn.TEXTBEFORE(_xlfn.TEXTAFTER(batch_summary[[#This Row],[video]],"_",1),"_",1)</f>
        <v>20260405</v>
      </c>
      <c r="AK896" s="1" t="str">
        <f>_xlfn.TEXTBEFORE(_xlfn.TEXTAFTER(batch_summary[[#This Row],[video]],"_",2),".",1)</f>
        <v>070000</v>
      </c>
    </row>
    <row r="897" spans="1:37" x14ac:dyDescent="0.2">
      <c r="A897" s="1" t="s">
        <v>1924</v>
      </c>
      <c r="B897" s="1" t="s">
        <v>1925</v>
      </c>
      <c r="C897">
        <v>119.95833333333333</v>
      </c>
      <c r="D897">
        <v>2879</v>
      </c>
      <c r="E897">
        <v>0.32146086636930704</v>
      </c>
      <c r="F897">
        <v>44.712178353220224</v>
      </c>
      <c r="G897">
        <v>1.1165712621372249E-4</v>
      </c>
      <c r="H897">
        <v>1.5530454447106712E-2</v>
      </c>
      <c r="I897">
        <v>5</v>
      </c>
      <c r="J897" t="b">
        <v>1</v>
      </c>
      <c r="K897">
        <v>0.65</v>
      </c>
      <c r="L897">
        <v>1.3</v>
      </c>
      <c r="M897" t="b">
        <v>1</v>
      </c>
      <c r="N897">
        <v>200</v>
      </c>
      <c r="O897" t="b">
        <v>0</v>
      </c>
      <c r="P897" t="b">
        <v>0</v>
      </c>
      <c r="Q897">
        <v>0.7</v>
      </c>
      <c r="R897">
        <v>931099.51049232483</v>
      </c>
      <c r="S897">
        <v>993041.24803811312</v>
      </c>
      <c r="T897">
        <v>783156.98425793648</v>
      </c>
      <c r="U897">
        <v>838218.72974872589</v>
      </c>
      <c r="V897">
        <v>1924140.7585304379</v>
      </c>
      <c r="W897">
        <v>1621375.7140066624</v>
      </c>
      <c r="X897">
        <v>16040.075791848041</v>
      </c>
      <c r="Y897">
        <v>13516.157393594964</v>
      </c>
      <c r="Z897">
        <v>2819.136282104254</v>
      </c>
      <c r="AA897">
        <v>405.34392850166557</v>
      </c>
      <c r="AB897">
        <v>7831.5698425793644</v>
      </c>
      <c r="AC897">
        <v>8382.1872974872585</v>
      </c>
      <c r="AD897">
        <v>16213.757140066624</v>
      </c>
      <c r="AE897">
        <v>1.1867334276122823</v>
      </c>
      <c r="AF897" s="1" t="s">
        <v>1926</v>
      </c>
      <c r="AG897" s="1" t="s">
        <v>1927</v>
      </c>
      <c r="AH897" s="1" t="s">
        <v>1928</v>
      </c>
      <c r="AI897" s="1" t="str">
        <f>_xlfn.TEXTAFTER(_xlfn.TEXTBEFORE(batch_summary[[#This Row],[video]],"_",1),"-",3)</f>
        <v>20</v>
      </c>
      <c r="AJ897" s="1" t="str">
        <f>_xlfn.TEXTBEFORE(_xlfn.TEXTAFTER(batch_summary[[#This Row],[video]],"_",1),"_",1)</f>
        <v>20260405</v>
      </c>
      <c r="AK897" s="1" t="str">
        <f>_xlfn.TEXTBEFORE(_xlfn.TEXTAFTER(batch_summary[[#This Row],[video]],"_",2),".",1)</f>
        <v>080000</v>
      </c>
    </row>
    <row r="898" spans="1:37" x14ac:dyDescent="0.2">
      <c r="A898" s="1" t="s">
        <v>1929</v>
      </c>
      <c r="B898" s="1" t="s">
        <v>1930</v>
      </c>
      <c r="C898">
        <v>119.95833333333333</v>
      </c>
      <c r="D898">
        <v>2879</v>
      </c>
      <c r="E898">
        <v>0.30197176616638899</v>
      </c>
      <c r="F898">
        <v>44.806111579760909</v>
      </c>
      <c r="G898">
        <v>1.0488772704633171E-4</v>
      </c>
      <c r="H898">
        <v>1.5563081479597398E-2</v>
      </c>
      <c r="I898">
        <v>5</v>
      </c>
      <c r="J898" t="b">
        <v>1</v>
      </c>
      <c r="K898">
        <v>0.65</v>
      </c>
      <c r="L898">
        <v>1.3</v>
      </c>
      <c r="M898" t="b">
        <v>1</v>
      </c>
      <c r="N898">
        <v>200</v>
      </c>
      <c r="O898" t="b">
        <v>0</v>
      </c>
      <c r="P898" t="b">
        <v>0</v>
      </c>
      <c r="Q898">
        <v>0.7</v>
      </c>
      <c r="R898">
        <v>9070991.9411632419</v>
      </c>
      <c r="S898">
        <v>12695003.490028679</v>
      </c>
      <c r="T898">
        <v>8287097.0897764564</v>
      </c>
      <c r="U898">
        <v>11704630.803957343</v>
      </c>
      <c r="V898">
        <v>21765995.431191921</v>
      </c>
      <c r="W898">
        <v>19991727.893733799</v>
      </c>
      <c r="X898">
        <v>181446.29744654606</v>
      </c>
      <c r="Y898">
        <v>166655.59897520361</v>
      </c>
      <c r="Z898">
        <v>8425.8578811645511</v>
      </c>
      <c r="AA898">
        <v>4997.9319734334495</v>
      </c>
      <c r="AB898">
        <v>82870.970897764564</v>
      </c>
      <c r="AC898">
        <v>117046.30803957343</v>
      </c>
      <c r="AD898">
        <v>199917.27893733798</v>
      </c>
      <c r="AE898">
        <v>1.088750084379362</v>
      </c>
      <c r="AF898" s="1" t="s">
        <v>1931</v>
      </c>
      <c r="AG898" s="1" t="s">
        <v>1932</v>
      </c>
      <c r="AH898" s="1" t="s">
        <v>1933</v>
      </c>
      <c r="AI898" s="1" t="str">
        <f>_xlfn.TEXTAFTER(_xlfn.TEXTBEFORE(batch_summary[[#This Row],[video]],"_",1),"-",3)</f>
        <v>20</v>
      </c>
      <c r="AJ898" s="1" t="str">
        <f>_xlfn.TEXTBEFORE(_xlfn.TEXTAFTER(batch_summary[[#This Row],[video]],"_",1),"_",1)</f>
        <v>20260405</v>
      </c>
      <c r="AK898" s="1" t="str">
        <f>_xlfn.TEXTBEFORE(_xlfn.TEXTAFTER(batch_summary[[#This Row],[video]],"_",2),".",1)</f>
        <v>090000</v>
      </c>
    </row>
    <row r="899" spans="1:37" x14ac:dyDescent="0.2">
      <c r="A899" s="1" t="s">
        <v>1934</v>
      </c>
      <c r="B899" s="1" t="s">
        <v>1935</v>
      </c>
      <c r="C899">
        <v>119.95833333333333</v>
      </c>
      <c r="D899">
        <v>2879</v>
      </c>
      <c r="E899">
        <v>0.29148227162659168</v>
      </c>
      <c r="F899">
        <v>44.364720310084522</v>
      </c>
      <c r="G899">
        <v>1.0124427635518988E-4</v>
      </c>
      <c r="H899">
        <v>1.5409767388011296E-2</v>
      </c>
      <c r="I899">
        <v>5</v>
      </c>
      <c r="J899" t="b">
        <v>1</v>
      </c>
      <c r="K899">
        <v>0.65</v>
      </c>
      <c r="L899">
        <v>1.3</v>
      </c>
      <c r="M899" t="b">
        <v>1</v>
      </c>
      <c r="N899">
        <v>200</v>
      </c>
      <c r="O899" t="b">
        <v>0</v>
      </c>
      <c r="P899" t="b">
        <v>0</v>
      </c>
      <c r="Q899">
        <v>0.7</v>
      </c>
      <c r="R899">
        <v>16557976.776695728</v>
      </c>
      <c r="S899">
        <v>17447341.569601178</v>
      </c>
      <c r="T899">
        <v>15492242.93481189</v>
      </c>
      <c r="U899">
        <v>16257553.322559893</v>
      </c>
      <c r="V899">
        <v>34005318.346296906</v>
      </c>
      <c r="W899">
        <v>31749796.257371783</v>
      </c>
      <c r="X899">
        <v>283476.08208097459</v>
      </c>
      <c r="Y899">
        <v>264673.5360114355</v>
      </c>
      <c r="Z899">
        <v>11718.691308441163</v>
      </c>
      <c r="AA899">
        <v>7937.4490643429453</v>
      </c>
      <c r="AB899">
        <v>154922.42934811889</v>
      </c>
      <c r="AC899">
        <v>162575.53322559892</v>
      </c>
      <c r="AD899">
        <v>317497.96257371781</v>
      </c>
      <c r="AE899">
        <v>1.0710405216663847</v>
      </c>
      <c r="AF899" s="1" t="s">
        <v>1936</v>
      </c>
      <c r="AG899" s="1" t="s">
        <v>1937</v>
      </c>
      <c r="AH899" s="1" t="s">
        <v>1938</v>
      </c>
      <c r="AI899" s="1" t="str">
        <f>_xlfn.TEXTAFTER(_xlfn.TEXTBEFORE(batch_summary[[#This Row],[video]],"_",1),"-",3)</f>
        <v>20</v>
      </c>
      <c r="AJ899" s="1" t="str">
        <f>_xlfn.TEXTBEFORE(_xlfn.TEXTAFTER(batch_summary[[#This Row],[video]],"_",1),"_",1)</f>
        <v>20260405</v>
      </c>
      <c r="AK899" s="1" t="str">
        <f>_xlfn.TEXTBEFORE(_xlfn.TEXTAFTER(batch_summary[[#This Row],[video]],"_",2),".",1)</f>
        <v>100000</v>
      </c>
    </row>
    <row r="900" spans="1:37" x14ac:dyDescent="0.2">
      <c r="A900" s="1" t="s">
        <v>1939</v>
      </c>
      <c r="B900" s="1" t="s">
        <v>1940</v>
      </c>
      <c r="C900">
        <v>119.95833333333333</v>
      </c>
      <c r="D900">
        <v>2879</v>
      </c>
      <c r="E900">
        <v>0.28778997156769037</v>
      </c>
      <c r="F900">
        <v>43.93063382897526</v>
      </c>
      <c r="G900">
        <v>9.9961782413230424E-5</v>
      </c>
      <c r="H900">
        <v>1.5258990562339444E-2</v>
      </c>
      <c r="I900">
        <v>5</v>
      </c>
      <c r="J900" t="b">
        <v>1</v>
      </c>
      <c r="K900">
        <v>0.65</v>
      </c>
      <c r="L900">
        <v>1.3</v>
      </c>
      <c r="M900" t="b">
        <v>1</v>
      </c>
      <c r="N900">
        <v>200</v>
      </c>
      <c r="O900" t="b">
        <v>0</v>
      </c>
      <c r="P900" t="b">
        <v>0</v>
      </c>
      <c r="Q900">
        <v>0.7</v>
      </c>
      <c r="R900">
        <v>13936245.217211366</v>
      </c>
      <c r="S900">
        <v>15490907.660598278</v>
      </c>
      <c r="T900">
        <v>12905017.602373719</v>
      </c>
      <c r="U900">
        <v>14295132.571130395</v>
      </c>
      <c r="V900">
        <v>29427152.877809644</v>
      </c>
      <c r="W900">
        <v>27200150.173504114</v>
      </c>
      <c r="X900">
        <v>245311.45156909741</v>
      </c>
      <c r="Y900">
        <v>226746.64958808571</v>
      </c>
      <c r="Z900">
        <v>10783.186784667969</v>
      </c>
      <c r="AA900">
        <v>6800.0375433760291</v>
      </c>
      <c r="AB900">
        <v>129050.17602373719</v>
      </c>
      <c r="AC900">
        <v>142951.32571130394</v>
      </c>
      <c r="AD900">
        <v>272001.50173504115</v>
      </c>
      <c r="AE900">
        <v>1.0818746473861336</v>
      </c>
      <c r="AF900" s="1" t="s">
        <v>1941</v>
      </c>
      <c r="AG900" s="1" t="s">
        <v>1942</v>
      </c>
      <c r="AH900" s="1" t="s">
        <v>1943</v>
      </c>
      <c r="AI900" s="1" t="str">
        <f>_xlfn.TEXTAFTER(_xlfn.TEXTBEFORE(batch_summary[[#This Row],[video]],"_",1),"-",3)</f>
        <v>20</v>
      </c>
      <c r="AJ900" s="1" t="str">
        <f>_xlfn.TEXTBEFORE(_xlfn.TEXTAFTER(batch_summary[[#This Row],[video]],"_",1),"_",1)</f>
        <v>20260405</v>
      </c>
      <c r="AK900" s="1" t="str">
        <f>_xlfn.TEXTBEFORE(_xlfn.TEXTAFTER(batch_summary[[#This Row],[video]],"_",2),".",1)</f>
        <v>110000</v>
      </c>
    </row>
    <row r="901" spans="1:37" x14ac:dyDescent="0.2">
      <c r="A901" s="1" t="s">
        <v>1944</v>
      </c>
      <c r="B901" s="1" t="s">
        <v>1945</v>
      </c>
      <c r="C901">
        <v>119.95833333333333</v>
      </c>
      <c r="D901">
        <v>2879</v>
      </c>
      <c r="E901">
        <v>0.28112178761512041</v>
      </c>
      <c r="F901">
        <v>43.650222688913345</v>
      </c>
      <c r="G901">
        <v>9.7645636545717399E-5</v>
      </c>
      <c r="H901">
        <v>1.5161591764124122E-2</v>
      </c>
      <c r="I901">
        <v>5</v>
      </c>
      <c r="J901" t="b">
        <v>1</v>
      </c>
      <c r="K901">
        <v>0.65</v>
      </c>
      <c r="L901">
        <v>1.3</v>
      </c>
      <c r="M901" t="b">
        <v>1</v>
      </c>
      <c r="N901">
        <v>200</v>
      </c>
      <c r="O901" t="b">
        <v>0</v>
      </c>
      <c r="P901" t="b">
        <v>0</v>
      </c>
      <c r="Q901">
        <v>0.7</v>
      </c>
      <c r="R901">
        <v>26770015.02671814</v>
      </c>
      <c r="S901">
        <v>28390069.986419678</v>
      </c>
      <c r="T901">
        <v>25875482.199178696</v>
      </c>
      <c r="U901">
        <v>27370046.196739614</v>
      </c>
      <c r="V901">
        <v>55160085.013137817</v>
      </c>
      <c r="W901">
        <v>53245528.39591831</v>
      </c>
      <c r="X901">
        <v>459827.0372752024</v>
      </c>
      <c r="Y901">
        <v>443866.85706913495</v>
      </c>
      <c r="Z901">
        <v>16971.813078613282</v>
      </c>
      <c r="AA901">
        <v>13311.382098979579</v>
      </c>
      <c r="AB901">
        <v>258754.82199178694</v>
      </c>
      <c r="AC901">
        <v>273700.46196739614</v>
      </c>
      <c r="AD901">
        <v>532455.28395918314</v>
      </c>
      <c r="AE901">
        <v>1.0359571343340499</v>
      </c>
      <c r="AF901" s="1" t="s">
        <v>1946</v>
      </c>
      <c r="AG901" s="1" t="s">
        <v>1947</v>
      </c>
      <c r="AH901" s="1" t="s">
        <v>1948</v>
      </c>
      <c r="AI901" s="1" t="str">
        <f>_xlfn.TEXTAFTER(_xlfn.TEXTBEFORE(batch_summary[[#This Row],[video]],"_",1),"-",3)</f>
        <v>20</v>
      </c>
      <c r="AJ901" s="1" t="str">
        <f>_xlfn.TEXTBEFORE(_xlfn.TEXTAFTER(batch_summary[[#This Row],[video]],"_",1),"_",1)</f>
        <v>20260405</v>
      </c>
      <c r="AK901" s="1" t="str">
        <f>_xlfn.TEXTBEFORE(_xlfn.TEXTAFTER(batch_summary[[#This Row],[video]],"_",2),".",1)</f>
        <v>120000</v>
      </c>
    </row>
    <row r="902" spans="1:37" x14ac:dyDescent="0.2">
      <c r="A902" s="1" t="s">
        <v>1949</v>
      </c>
      <c r="B902" s="1" t="s">
        <v>1950</v>
      </c>
      <c r="C902">
        <v>119.95833333333333</v>
      </c>
      <c r="D902">
        <v>2879</v>
      </c>
      <c r="E902">
        <v>0.28250745683908463</v>
      </c>
      <c r="F902">
        <v>43.617202143184841</v>
      </c>
      <c r="G902">
        <v>9.8126938811769578E-5</v>
      </c>
      <c r="H902">
        <v>1.5150122314409462E-2</v>
      </c>
      <c r="I902">
        <v>5</v>
      </c>
      <c r="J902" t="b">
        <v>1</v>
      </c>
      <c r="K902">
        <v>0.65</v>
      </c>
      <c r="L902">
        <v>1.3</v>
      </c>
      <c r="M902" t="b">
        <v>1</v>
      </c>
      <c r="N902">
        <v>200</v>
      </c>
      <c r="O902" t="b">
        <v>0</v>
      </c>
      <c r="P902" t="b">
        <v>0</v>
      </c>
      <c r="Q902">
        <v>0.7</v>
      </c>
      <c r="R902">
        <v>24633077.362083435</v>
      </c>
      <c r="S902">
        <v>25663590.022857666</v>
      </c>
      <c r="T902">
        <v>23573544.23439312</v>
      </c>
      <c r="U902">
        <v>24551287.987215042</v>
      </c>
      <c r="V902">
        <v>50296667.384941101</v>
      </c>
      <c r="W902">
        <v>48124832.221608162</v>
      </c>
      <c r="X902">
        <v>419284.47976331587</v>
      </c>
      <c r="Y902">
        <v>401179.5669741563</v>
      </c>
      <c r="Z902">
        <v>14685.264300079345</v>
      </c>
      <c r="AA902">
        <v>12031.208055402039</v>
      </c>
      <c r="AB902">
        <v>235735.44234393121</v>
      </c>
      <c r="AC902">
        <v>245512.87987215043</v>
      </c>
      <c r="AD902">
        <v>481248.32221608167</v>
      </c>
      <c r="AE902">
        <v>1.0451291996890906</v>
      </c>
      <c r="AF902" s="1" t="s">
        <v>1951</v>
      </c>
      <c r="AG902" s="1" t="s">
        <v>1952</v>
      </c>
      <c r="AH902" s="1" t="s">
        <v>1953</v>
      </c>
      <c r="AI902" s="1" t="str">
        <f>_xlfn.TEXTAFTER(_xlfn.TEXTBEFORE(batch_summary[[#This Row],[video]],"_",1),"-",3)</f>
        <v>20</v>
      </c>
      <c r="AJ902" s="1" t="str">
        <f>_xlfn.TEXTBEFORE(_xlfn.TEXTAFTER(batch_summary[[#This Row],[video]],"_",1),"_",1)</f>
        <v>20260405</v>
      </c>
      <c r="AK902" s="1" t="str">
        <f>_xlfn.TEXTBEFORE(_xlfn.TEXTAFTER(batch_summary[[#This Row],[video]],"_",2),".",1)</f>
        <v>130000</v>
      </c>
    </row>
    <row r="903" spans="1:37" x14ac:dyDescent="0.2">
      <c r="A903" s="1" t="s">
        <v>1954</v>
      </c>
      <c r="B903" s="1" t="s">
        <v>1955</v>
      </c>
      <c r="C903">
        <v>119.95833333333333</v>
      </c>
      <c r="D903">
        <v>2879</v>
      </c>
      <c r="E903">
        <v>0.28682595677673817</v>
      </c>
      <c r="F903">
        <v>44.05317690782249</v>
      </c>
      <c r="G903">
        <v>9.962693879011399E-5</v>
      </c>
      <c r="H903">
        <v>1.5301555021820941E-2</v>
      </c>
      <c r="I903">
        <v>5</v>
      </c>
      <c r="J903" t="b">
        <v>1</v>
      </c>
      <c r="K903">
        <v>0.65</v>
      </c>
      <c r="L903">
        <v>1.3</v>
      </c>
      <c r="M903" t="b">
        <v>1</v>
      </c>
      <c r="N903">
        <v>200</v>
      </c>
      <c r="O903" t="b">
        <v>0</v>
      </c>
      <c r="P903" t="b">
        <v>0</v>
      </c>
      <c r="Q903">
        <v>0.7</v>
      </c>
      <c r="R903">
        <v>20777407.985744476</v>
      </c>
      <c r="S903">
        <v>19416078.887534618</v>
      </c>
      <c r="T903">
        <v>19581968.227151871</v>
      </c>
      <c r="U903">
        <v>18238365.76863122</v>
      </c>
      <c r="V903">
        <v>40193486.873279095</v>
      </c>
      <c r="W903">
        <v>37820333.995783091</v>
      </c>
      <c r="X903">
        <v>335062.06493876287</v>
      </c>
      <c r="Y903">
        <v>315278.92181271076</v>
      </c>
      <c r="Z903">
        <v>13261.502955322267</v>
      </c>
      <c r="AA903">
        <v>9455.0834989457726</v>
      </c>
      <c r="AB903">
        <v>195819.68227151872</v>
      </c>
      <c r="AC903">
        <v>182383.65768631219</v>
      </c>
      <c r="AD903">
        <v>378203.3399578309</v>
      </c>
      <c r="AE903">
        <v>1.0627480676865679</v>
      </c>
      <c r="AF903" s="1" t="s">
        <v>1956</v>
      </c>
      <c r="AG903" s="1" t="s">
        <v>1957</v>
      </c>
      <c r="AH903" s="1" t="s">
        <v>1958</v>
      </c>
      <c r="AI903" s="1" t="str">
        <f>_xlfn.TEXTAFTER(_xlfn.TEXTBEFORE(batch_summary[[#This Row],[video]],"_",1),"-",3)</f>
        <v>20</v>
      </c>
      <c r="AJ903" s="1" t="str">
        <f>_xlfn.TEXTBEFORE(_xlfn.TEXTAFTER(batch_summary[[#This Row],[video]],"_",1),"_",1)</f>
        <v>20260405</v>
      </c>
      <c r="AK903" s="1" t="str">
        <f>_xlfn.TEXTBEFORE(_xlfn.TEXTAFTER(batch_summary[[#This Row],[video]],"_",2),".",1)</f>
        <v>140000</v>
      </c>
    </row>
    <row r="904" spans="1:37" x14ac:dyDescent="0.2">
      <c r="A904" s="1" t="s">
        <v>1959</v>
      </c>
      <c r="B904" s="1" t="s">
        <v>1960</v>
      </c>
      <c r="C904">
        <v>119.95833333333333</v>
      </c>
      <c r="D904">
        <v>2879</v>
      </c>
      <c r="E904">
        <v>0.29424248263239861</v>
      </c>
      <c r="F904">
        <v>44.587033349089324</v>
      </c>
      <c r="G904">
        <v>1.0220301585008635E-4</v>
      </c>
      <c r="H904">
        <v>1.5486986227540578E-2</v>
      </c>
      <c r="I904">
        <v>5</v>
      </c>
      <c r="J904" t="b">
        <v>1</v>
      </c>
      <c r="K904">
        <v>0.65</v>
      </c>
      <c r="L904">
        <v>1.3</v>
      </c>
      <c r="M904" t="b">
        <v>1</v>
      </c>
      <c r="N904">
        <v>200</v>
      </c>
      <c r="O904" t="b">
        <v>0</v>
      </c>
      <c r="P904" t="b">
        <v>0</v>
      </c>
      <c r="Q904">
        <v>0.7</v>
      </c>
      <c r="R904">
        <v>8066618.9929651022</v>
      </c>
      <c r="S904">
        <v>9263548.6047574282</v>
      </c>
      <c r="T904">
        <v>6757858.8922373652</v>
      </c>
      <c r="U904">
        <v>7869372.5350128412</v>
      </c>
      <c r="V904">
        <v>17330167.59772253</v>
      </c>
      <c r="W904">
        <v>14627231.427250206</v>
      </c>
      <c r="X904">
        <v>144468.22589278943</v>
      </c>
      <c r="Y904">
        <v>121935.9340930896</v>
      </c>
      <c r="Z904">
        <v>5557.3173776245112</v>
      </c>
      <c r="AA904">
        <v>3656.8078568125516</v>
      </c>
      <c r="AB904">
        <v>67578.588922373659</v>
      </c>
      <c r="AC904">
        <v>78693.725350128414</v>
      </c>
      <c r="AD904">
        <v>146272.31427250209</v>
      </c>
      <c r="AE904">
        <v>1.1847879541604034</v>
      </c>
      <c r="AF904" s="1" t="s">
        <v>1961</v>
      </c>
      <c r="AG904" s="1" t="s">
        <v>1962</v>
      </c>
      <c r="AH904" s="1" t="s">
        <v>1963</v>
      </c>
      <c r="AI904" s="1" t="str">
        <f>_xlfn.TEXTAFTER(_xlfn.TEXTBEFORE(batch_summary[[#This Row],[video]],"_",1),"-",3)</f>
        <v>20</v>
      </c>
      <c r="AJ904" s="1" t="str">
        <f>_xlfn.TEXTBEFORE(_xlfn.TEXTAFTER(batch_summary[[#This Row],[video]],"_",1),"_",1)</f>
        <v>20260405</v>
      </c>
      <c r="AK904" s="1" t="str">
        <f>_xlfn.TEXTBEFORE(_xlfn.TEXTAFTER(batch_summary[[#This Row],[video]],"_",2),".",1)</f>
        <v>150000</v>
      </c>
    </row>
    <row r="905" spans="1:37" x14ac:dyDescent="0.2">
      <c r="A905" s="1" t="s">
        <v>1964</v>
      </c>
      <c r="B905" s="1" t="s">
        <v>1965</v>
      </c>
      <c r="C905">
        <v>119.95833333333333</v>
      </c>
      <c r="D905">
        <v>2879</v>
      </c>
      <c r="E905">
        <v>0.27877302002161741</v>
      </c>
      <c r="F905">
        <v>43.621208683587611</v>
      </c>
      <c r="G905">
        <v>9.6829808968953597E-5</v>
      </c>
      <c r="H905">
        <v>1.5151513957480935E-2</v>
      </c>
      <c r="I905">
        <v>5</v>
      </c>
      <c r="J905" t="b">
        <v>1</v>
      </c>
      <c r="K905">
        <v>0.65</v>
      </c>
      <c r="L905">
        <v>1.3</v>
      </c>
      <c r="M905" t="b">
        <v>1</v>
      </c>
      <c r="N905">
        <v>200</v>
      </c>
      <c r="O905" t="b">
        <v>0</v>
      </c>
      <c r="P905" t="b">
        <v>0</v>
      </c>
      <c r="Q905">
        <v>0.7</v>
      </c>
      <c r="R905">
        <v>15711240.753480911</v>
      </c>
      <c r="S905">
        <v>16705311.753407001</v>
      </c>
      <c r="T905">
        <v>14643869.889619291</v>
      </c>
      <c r="U905">
        <v>15638788.437408328</v>
      </c>
      <c r="V905">
        <v>32416552.506887913</v>
      </c>
      <c r="W905">
        <v>30282658.327027619</v>
      </c>
      <c r="X905">
        <v>270231.76803241053</v>
      </c>
      <c r="Y905">
        <v>252443.13992659358</v>
      </c>
      <c r="Z905">
        <v>10372.761608428955</v>
      </c>
      <c r="AA905">
        <v>7570.6645817569051</v>
      </c>
      <c r="AB905">
        <v>146438.69889619292</v>
      </c>
      <c r="AC905">
        <v>156387.88437408328</v>
      </c>
      <c r="AD905">
        <v>302826.5832702762</v>
      </c>
      <c r="AE905">
        <v>1.0704658803997986</v>
      </c>
      <c r="AF905" s="1" t="s">
        <v>1966</v>
      </c>
      <c r="AG905" s="1" t="s">
        <v>1967</v>
      </c>
      <c r="AH905" s="1" t="s">
        <v>1968</v>
      </c>
      <c r="AI905" s="1" t="str">
        <f>_xlfn.TEXTAFTER(_xlfn.TEXTBEFORE(batch_summary[[#This Row],[video]],"_",1),"-",3)</f>
        <v>20</v>
      </c>
      <c r="AJ905" s="1" t="str">
        <f>_xlfn.TEXTBEFORE(_xlfn.TEXTAFTER(batch_summary[[#This Row],[video]],"_",1),"_",1)</f>
        <v>20260405</v>
      </c>
      <c r="AK905" s="1" t="str">
        <f>_xlfn.TEXTBEFORE(_xlfn.TEXTAFTER(batch_summary[[#This Row],[video]],"_",2),".",1)</f>
        <v>160000</v>
      </c>
    </row>
    <row r="906" spans="1:37" x14ac:dyDescent="0.2">
      <c r="A906" s="1" t="s">
        <v>1969</v>
      </c>
      <c r="B906" s="1" t="s">
        <v>1970</v>
      </c>
      <c r="C906">
        <v>119.95833333333333</v>
      </c>
      <c r="D906">
        <v>2879</v>
      </c>
      <c r="E906">
        <v>0.28058459423482418</v>
      </c>
      <c r="F906">
        <v>44.023270760662854</v>
      </c>
      <c r="G906">
        <v>9.7459046278160533E-5</v>
      </c>
      <c r="H906">
        <v>1.5291167336110752E-2</v>
      </c>
      <c r="I906">
        <v>5</v>
      </c>
      <c r="J906" t="b">
        <v>1</v>
      </c>
      <c r="K906">
        <v>0.65</v>
      </c>
      <c r="L906">
        <v>1.3</v>
      </c>
      <c r="M906" t="b">
        <v>1</v>
      </c>
      <c r="N906">
        <v>200</v>
      </c>
      <c r="O906" t="b">
        <v>0</v>
      </c>
      <c r="P906" t="b">
        <v>0</v>
      </c>
      <c r="Q906">
        <v>0.7</v>
      </c>
      <c r="R906">
        <v>18288452.983139992</v>
      </c>
      <c r="S906">
        <v>19077889.265370786</v>
      </c>
      <c r="T906">
        <v>17281370.688005447</v>
      </c>
      <c r="U906">
        <v>18003900.506163836</v>
      </c>
      <c r="V906">
        <v>37366342.248510778</v>
      </c>
      <c r="W906">
        <v>35285271.194169283</v>
      </c>
      <c r="X906">
        <v>311494.34316229896</v>
      </c>
      <c r="Y906">
        <v>294146.06066692004</v>
      </c>
      <c r="Z906">
        <v>11586.076294555663</v>
      </c>
      <c r="AA906">
        <v>8821.3177985423208</v>
      </c>
      <c r="AB906">
        <v>172813.70688005447</v>
      </c>
      <c r="AC906">
        <v>180039.00506163837</v>
      </c>
      <c r="AD906">
        <v>352852.71194169286</v>
      </c>
      <c r="AE906">
        <v>1.0589784627951331</v>
      </c>
      <c r="AF906" s="1" t="s">
        <v>1971</v>
      </c>
      <c r="AG906" s="1" t="s">
        <v>1972</v>
      </c>
      <c r="AH906" s="1" t="s">
        <v>1973</v>
      </c>
      <c r="AI906" s="1" t="str">
        <f>_xlfn.TEXTAFTER(_xlfn.TEXTBEFORE(batch_summary[[#This Row],[video]],"_",1),"-",3)</f>
        <v>20</v>
      </c>
      <c r="AJ906" s="1" t="str">
        <f>_xlfn.TEXTBEFORE(_xlfn.TEXTAFTER(batch_summary[[#This Row],[video]],"_",1),"_",1)</f>
        <v>20260405</v>
      </c>
      <c r="AK906" s="1" t="str">
        <f>_xlfn.TEXTBEFORE(_xlfn.TEXTAFTER(batch_summary[[#This Row],[video]],"_",2),".",1)</f>
        <v>170000</v>
      </c>
    </row>
    <row r="907" spans="1:37" x14ac:dyDescent="0.2">
      <c r="A907" s="1" t="s">
        <v>1974</v>
      </c>
      <c r="B907" s="1" t="s">
        <v>1975</v>
      </c>
      <c r="C907">
        <v>119.95833333333333</v>
      </c>
      <c r="D907">
        <v>2879</v>
      </c>
      <c r="E907">
        <v>0.2868034690618515</v>
      </c>
      <c r="F907">
        <v>44.445470781996846</v>
      </c>
      <c r="G907">
        <v>9.9619127843644141E-5</v>
      </c>
      <c r="H907">
        <v>1.5437815485236834E-2</v>
      </c>
      <c r="I907">
        <v>5</v>
      </c>
      <c r="J907" t="b">
        <v>1</v>
      </c>
      <c r="K907">
        <v>0.65</v>
      </c>
      <c r="L907">
        <v>1.3</v>
      </c>
      <c r="M907" t="b">
        <v>1</v>
      </c>
      <c r="N907">
        <v>200</v>
      </c>
      <c r="O907" t="b">
        <v>0</v>
      </c>
      <c r="P907" t="b">
        <v>0</v>
      </c>
      <c r="Q907">
        <v>0.7</v>
      </c>
      <c r="R907">
        <v>14064582.114335716</v>
      </c>
      <c r="S907">
        <v>13710262.954039097</v>
      </c>
      <c r="T907">
        <v>13190094.829311788</v>
      </c>
      <c r="U907">
        <v>12822824.092976391</v>
      </c>
      <c r="V907">
        <v>27774845.068374813</v>
      </c>
      <c r="W907">
        <v>26012918.922288179</v>
      </c>
      <c r="X907">
        <v>231537.43717992204</v>
      </c>
      <c r="Y907">
        <v>216849.61935912343</v>
      </c>
      <c r="Z907">
        <v>10660.980466384888</v>
      </c>
      <c r="AA907">
        <v>6503.2297305720449</v>
      </c>
      <c r="AB907">
        <v>131900.94829311789</v>
      </c>
      <c r="AC907">
        <v>128228.24092976391</v>
      </c>
      <c r="AD907">
        <v>260129.1892228818</v>
      </c>
      <c r="AE907">
        <v>1.0677327350825283</v>
      </c>
      <c r="AF907" s="1" t="s">
        <v>1976</v>
      </c>
      <c r="AG907" s="1" t="s">
        <v>1977</v>
      </c>
      <c r="AH907" s="1" t="s">
        <v>1978</v>
      </c>
      <c r="AI907" s="1" t="str">
        <f>_xlfn.TEXTAFTER(_xlfn.TEXTBEFORE(batch_summary[[#This Row],[video]],"_",1),"-",3)</f>
        <v>20</v>
      </c>
      <c r="AJ907" s="1" t="str">
        <f>_xlfn.TEXTBEFORE(_xlfn.TEXTAFTER(batch_summary[[#This Row],[video]],"_",1),"_",1)</f>
        <v>20260405</v>
      </c>
      <c r="AK907" s="1" t="str">
        <f>_xlfn.TEXTBEFORE(_xlfn.TEXTAFTER(batch_summary[[#This Row],[video]],"_",2),".",1)</f>
        <v>180000</v>
      </c>
    </row>
    <row r="908" spans="1:37" x14ac:dyDescent="0.2">
      <c r="A908" s="1" t="s">
        <v>1979</v>
      </c>
      <c r="B908" s="1" t="s">
        <v>1980</v>
      </c>
      <c r="C908">
        <v>119.95833333333333</v>
      </c>
      <c r="D908">
        <v>2879</v>
      </c>
      <c r="E908">
        <v>0.32444499805569649</v>
      </c>
      <c r="F908">
        <v>45.953762993216515</v>
      </c>
      <c r="G908">
        <v>1.1269364295091924E-4</v>
      </c>
      <c r="H908">
        <v>1.596170996638295E-2</v>
      </c>
      <c r="I908">
        <v>5</v>
      </c>
      <c r="J908" t="b">
        <v>1</v>
      </c>
      <c r="K908">
        <v>0.65</v>
      </c>
      <c r="L908">
        <v>1.3</v>
      </c>
      <c r="M908" t="b">
        <v>1</v>
      </c>
      <c r="N908">
        <v>200</v>
      </c>
      <c r="O908" t="b">
        <v>0</v>
      </c>
      <c r="P908" t="b">
        <v>0</v>
      </c>
      <c r="Q908">
        <v>0.7</v>
      </c>
      <c r="R908">
        <v>2952344.5962272286</v>
      </c>
      <c r="S908">
        <v>2352740.2339372635</v>
      </c>
      <c r="T908">
        <v>2164444.6508433223</v>
      </c>
      <c r="U908">
        <v>1602304.8193452358</v>
      </c>
      <c r="V908">
        <v>5305084.8301644921</v>
      </c>
      <c r="W908">
        <v>3766749.4701885581</v>
      </c>
      <c r="X908">
        <v>44224.395944407021</v>
      </c>
      <c r="Y908">
        <v>31400.48186332942</v>
      </c>
      <c r="Z908">
        <v>1849.0392611956597</v>
      </c>
      <c r="AA908">
        <v>941.6873675471395</v>
      </c>
      <c r="AB908">
        <v>21644.446508433222</v>
      </c>
      <c r="AC908">
        <v>16023.048193452358</v>
      </c>
      <c r="AD908">
        <v>37667.494701885582</v>
      </c>
      <c r="AE908">
        <v>1.4083986397690864</v>
      </c>
      <c r="AF908" s="1" t="s">
        <v>1981</v>
      </c>
      <c r="AG908" s="1" t="s">
        <v>1982</v>
      </c>
      <c r="AH908" s="1" t="s">
        <v>1983</v>
      </c>
      <c r="AI908" s="1" t="str">
        <f>_xlfn.TEXTAFTER(_xlfn.TEXTBEFORE(batch_summary[[#This Row],[video]],"_",1),"-",3)</f>
        <v>20</v>
      </c>
      <c r="AJ908" s="1" t="str">
        <f>_xlfn.TEXTBEFORE(_xlfn.TEXTAFTER(batch_summary[[#This Row],[video]],"_",1),"_",1)</f>
        <v>20260405</v>
      </c>
      <c r="AK908" s="1" t="str">
        <f>_xlfn.TEXTBEFORE(_xlfn.TEXTAFTER(batch_summary[[#This Row],[video]],"_",2),".",1)</f>
        <v>190000</v>
      </c>
    </row>
    <row r="909" spans="1:37" x14ac:dyDescent="0.2">
      <c r="A909" s="1" t="s">
        <v>1984</v>
      </c>
      <c r="B909" s="1" t="s">
        <v>1985</v>
      </c>
      <c r="C909">
        <v>119.95833333333333</v>
      </c>
      <c r="D909">
        <v>2879</v>
      </c>
      <c r="E909">
        <v>0.31845464929938316</v>
      </c>
      <c r="F909">
        <v>45.979221146553755</v>
      </c>
      <c r="G909">
        <v>1.1061293827696532E-4</v>
      </c>
      <c r="H909">
        <v>1.5970552673342742E-2</v>
      </c>
      <c r="I909">
        <v>5</v>
      </c>
      <c r="J909" t="b">
        <v>1</v>
      </c>
      <c r="K909">
        <v>0.65</v>
      </c>
      <c r="L909">
        <v>1.3</v>
      </c>
      <c r="M909" t="b">
        <v>1</v>
      </c>
      <c r="N909">
        <v>200</v>
      </c>
      <c r="O909" t="b">
        <v>0</v>
      </c>
      <c r="P909" t="b">
        <v>0</v>
      </c>
      <c r="Q909">
        <v>0.7</v>
      </c>
      <c r="R909">
        <v>2017545.4139152169</v>
      </c>
      <c r="S909">
        <v>1842191.0656518936</v>
      </c>
      <c r="T909">
        <v>1465900.8275735378</v>
      </c>
      <c r="U909">
        <v>1277507.5973670483</v>
      </c>
      <c r="V909">
        <v>3859736.4795671105</v>
      </c>
      <c r="W909">
        <v>2743408.4249405861</v>
      </c>
      <c r="X909">
        <v>32175.64276124024</v>
      </c>
      <c r="Y909">
        <v>22869.677734829478</v>
      </c>
      <c r="Z909">
        <v>2332.5075099563596</v>
      </c>
      <c r="AA909">
        <v>685.85210623514649</v>
      </c>
      <c r="AB909">
        <v>14659.008275735378</v>
      </c>
      <c r="AC909">
        <v>12775.075973670482</v>
      </c>
      <c r="AD909">
        <v>27434.08424940586</v>
      </c>
      <c r="AE909">
        <v>1.406912818550049</v>
      </c>
      <c r="AF909" s="1" t="s">
        <v>1986</v>
      </c>
      <c r="AG909" s="1" t="s">
        <v>1987</v>
      </c>
      <c r="AH909" s="1" t="s">
        <v>1988</v>
      </c>
      <c r="AI909" s="1" t="str">
        <f>_xlfn.TEXTAFTER(_xlfn.TEXTBEFORE(batch_summary[[#This Row],[video]],"_",1),"-",3)</f>
        <v>20</v>
      </c>
      <c r="AJ909" s="1" t="str">
        <f>_xlfn.TEXTBEFORE(_xlfn.TEXTAFTER(batch_summary[[#This Row],[video]],"_",1),"_",1)</f>
        <v>20260406</v>
      </c>
      <c r="AK909" s="1" t="str">
        <f>_xlfn.TEXTBEFORE(_xlfn.TEXTAFTER(batch_summary[[#This Row],[video]],"_",2),".",1)</f>
        <v>060000</v>
      </c>
    </row>
    <row r="910" spans="1:37" x14ac:dyDescent="0.2">
      <c r="A910" s="1" t="s">
        <v>1989</v>
      </c>
      <c r="B910" s="1" t="s">
        <v>1990</v>
      </c>
      <c r="C910">
        <v>119.95833333333333</v>
      </c>
      <c r="D910">
        <v>2879</v>
      </c>
      <c r="E910">
        <v>0.31011769268661737</v>
      </c>
      <c r="F910">
        <v>45.02775723207742</v>
      </c>
      <c r="G910">
        <v>1.0771715619542111E-4</v>
      </c>
      <c r="H910">
        <v>1.5640068507147418E-2</v>
      </c>
      <c r="I910">
        <v>5</v>
      </c>
      <c r="J910" t="b">
        <v>1</v>
      </c>
      <c r="K910">
        <v>0.65</v>
      </c>
      <c r="L910">
        <v>1.3</v>
      </c>
      <c r="M910" t="b">
        <v>1</v>
      </c>
      <c r="N910">
        <v>200</v>
      </c>
      <c r="O910" t="b">
        <v>0</v>
      </c>
      <c r="P910" t="b">
        <v>0</v>
      </c>
      <c r="Q910">
        <v>0.7</v>
      </c>
      <c r="R910">
        <v>1145173.8642913103</v>
      </c>
      <c r="S910">
        <v>1164997.8295256495</v>
      </c>
      <c r="T910">
        <v>947401.18296539783</v>
      </c>
      <c r="U910">
        <v>958861.96153563261</v>
      </c>
      <c r="V910">
        <v>2310171.6938169599</v>
      </c>
      <c r="W910">
        <v>1906263.1445010304</v>
      </c>
      <c r="X910">
        <v>19258.117628206681</v>
      </c>
      <c r="Y910">
        <v>15891.043927761282</v>
      </c>
      <c r="Z910">
        <v>2571.5089661407474</v>
      </c>
      <c r="AA910">
        <v>476.56578612525766</v>
      </c>
      <c r="AB910">
        <v>9474.0118296539786</v>
      </c>
      <c r="AC910">
        <v>9588.6196153563269</v>
      </c>
      <c r="AD910">
        <v>19062.631445010305</v>
      </c>
      <c r="AE910">
        <v>1.2118849910522997</v>
      </c>
      <c r="AF910" s="1" t="s">
        <v>1991</v>
      </c>
      <c r="AG910" s="1" t="s">
        <v>1992</v>
      </c>
      <c r="AH910" s="1" t="s">
        <v>1993</v>
      </c>
      <c r="AI910" s="1" t="str">
        <f>_xlfn.TEXTAFTER(_xlfn.TEXTBEFORE(batch_summary[[#This Row],[video]],"_",1),"-",3)</f>
        <v>20</v>
      </c>
      <c r="AJ910" s="1" t="str">
        <f>_xlfn.TEXTBEFORE(_xlfn.TEXTAFTER(batch_summary[[#This Row],[video]],"_",1),"_",1)</f>
        <v>20260406</v>
      </c>
      <c r="AK910" s="1" t="str">
        <f>_xlfn.TEXTBEFORE(_xlfn.TEXTAFTER(batch_summary[[#This Row],[video]],"_",2),".",1)</f>
        <v>070000</v>
      </c>
    </row>
    <row r="911" spans="1:37" x14ac:dyDescent="0.2">
      <c r="A911" s="1" t="s">
        <v>1994</v>
      </c>
      <c r="B911" s="1" t="s">
        <v>1995</v>
      </c>
      <c r="C911">
        <v>119.95833333333333</v>
      </c>
      <c r="D911">
        <v>2879</v>
      </c>
      <c r="E911">
        <v>0.31674752105027437</v>
      </c>
      <c r="F911">
        <v>44.710537387989461</v>
      </c>
      <c r="G911">
        <v>1.1001997952423563E-4</v>
      </c>
      <c r="H911">
        <v>1.5529884469603843E-2</v>
      </c>
      <c r="I911">
        <v>5</v>
      </c>
      <c r="J911" t="b">
        <v>1</v>
      </c>
      <c r="K911">
        <v>0.65</v>
      </c>
      <c r="L911">
        <v>1.3</v>
      </c>
      <c r="M911" t="b">
        <v>1</v>
      </c>
      <c r="N911">
        <v>200</v>
      </c>
      <c r="O911" t="b">
        <v>0</v>
      </c>
      <c r="P911" t="b">
        <v>0</v>
      </c>
      <c r="Q911">
        <v>0.7</v>
      </c>
      <c r="R911">
        <v>940440.59595143795</v>
      </c>
      <c r="S911">
        <v>868530.70949965715</v>
      </c>
      <c r="T911">
        <v>818982.57846808434</v>
      </c>
      <c r="U911">
        <v>714325.31826740503</v>
      </c>
      <c r="V911">
        <v>1808971.3054510951</v>
      </c>
      <c r="W911">
        <v>1533307.8967354894</v>
      </c>
      <c r="X911">
        <v>15079.996988824691</v>
      </c>
      <c r="Y911">
        <v>12782.004001963094</v>
      </c>
      <c r="Z911">
        <v>1949.8052357530594</v>
      </c>
      <c r="AA911">
        <v>383.32697418387232</v>
      </c>
      <c r="AB911">
        <v>8189.8257846808438</v>
      </c>
      <c r="AC911">
        <v>7143.2531826740505</v>
      </c>
      <c r="AD911">
        <v>15333.078967354893</v>
      </c>
      <c r="AE911">
        <v>1.1797834663882647</v>
      </c>
      <c r="AF911" s="1" t="s">
        <v>1996</v>
      </c>
      <c r="AG911" s="1" t="s">
        <v>1997</v>
      </c>
      <c r="AH911" s="1" t="s">
        <v>1998</v>
      </c>
      <c r="AI911" s="1" t="str">
        <f>_xlfn.TEXTAFTER(_xlfn.TEXTBEFORE(batch_summary[[#This Row],[video]],"_",1),"-",3)</f>
        <v>20</v>
      </c>
      <c r="AJ911" s="1" t="str">
        <f>_xlfn.TEXTBEFORE(_xlfn.TEXTAFTER(batch_summary[[#This Row],[video]],"_",1),"_",1)</f>
        <v>20260406</v>
      </c>
      <c r="AK911" s="1" t="str">
        <f>_xlfn.TEXTBEFORE(_xlfn.TEXTAFTER(batch_summary[[#This Row],[video]],"_",2),".",1)</f>
        <v>080000</v>
      </c>
    </row>
    <row r="912" spans="1:37" x14ac:dyDescent="0.2">
      <c r="A912" s="1" t="s">
        <v>1999</v>
      </c>
      <c r="B912" s="1" t="s">
        <v>2000</v>
      </c>
      <c r="C912">
        <v>119.95833333333333</v>
      </c>
      <c r="D912">
        <v>2879</v>
      </c>
      <c r="E912">
        <v>0.3148176334798336</v>
      </c>
      <c r="F912">
        <v>45.202435828745365</v>
      </c>
      <c r="G912">
        <v>1.0934964691901132E-4</v>
      </c>
      <c r="H912">
        <v>1.5700741864795194E-2</v>
      </c>
      <c r="I912">
        <v>5</v>
      </c>
      <c r="J912" t="b">
        <v>1</v>
      </c>
      <c r="K912">
        <v>0.65</v>
      </c>
      <c r="L912">
        <v>1.3</v>
      </c>
      <c r="M912" t="b">
        <v>1</v>
      </c>
      <c r="N912">
        <v>200</v>
      </c>
      <c r="O912" t="b">
        <v>0</v>
      </c>
      <c r="P912" t="b">
        <v>0</v>
      </c>
      <c r="Q912">
        <v>0.7</v>
      </c>
      <c r="R912">
        <v>3365574.4669992328</v>
      </c>
      <c r="S912">
        <v>3072933.7787847519</v>
      </c>
      <c r="T912">
        <v>3066989.3939929008</v>
      </c>
      <c r="U912">
        <v>2702607.0583552718</v>
      </c>
      <c r="V912">
        <v>6438508.2457839847</v>
      </c>
      <c r="W912">
        <v>5769596.4523481727</v>
      </c>
      <c r="X912">
        <v>53672.871795351035</v>
      </c>
      <c r="Y912">
        <v>48096.670669105988</v>
      </c>
      <c r="Z912">
        <v>5456.4236649751665</v>
      </c>
      <c r="AA912">
        <v>1442.3991130870431</v>
      </c>
      <c r="AB912">
        <v>30669.89393992901</v>
      </c>
      <c r="AC912">
        <v>27026.070583552719</v>
      </c>
      <c r="AD912">
        <v>57695.964523481729</v>
      </c>
      <c r="AE912">
        <v>1.1159373621639641</v>
      </c>
      <c r="AF912" s="1" t="s">
        <v>2001</v>
      </c>
      <c r="AG912" s="1" t="s">
        <v>2002</v>
      </c>
      <c r="AH912" s="1" t="s">
        <v>2003</v>
      </c>
      <c r="AI912" s="1" t="str">
        <f>_xlfn.TEXTAFTER(_xlfn.TEXTBEFORE(batch_summary[[#This Row],[video]],"_",1),"-",3)</f>
        <v>20</v>
      </c>
      <c r="AJ912" s="1" t="str">
        <f>_xlfn.TEXTBEFORE(_xlfn.TEXTAFTER(batch_summary[[#This Row],[video]],"_",1),"_",1)</f>
        <v>20260406</v>
      </c>
      <c r="AK912" s="1" t="str">
        <f>_xlfn.TEXTBEFORE(_xlfn.TEXTAFTER(batch_summary[[#This Row],[video]],"_",2),".",1)</f>
        <v>090000</v>
      </c>
    </row>
    <row r="913" spans="1:37" x14ac:dyDescent="0.2">
      <c r="A913" s="1" t="s">
        <v>2004</v>
      </c>
      <c r="B913" s="1" t="s">
        <v>2005</v>
      </c>
      <c r="C913">
        <v>119.95833333333333</v>
      </c>
      <c r="D913">
        <v>2879</v>
      </c>
      <c r="E913">
        <v>0.30799380782991648</v>
      </c>
      <c r="F913">
        <v>45.33164962939918</v>
      </c>
      <c r="G913">
        <v>1.0697944002428499E-4</v>
      </c>
      <c r="H913">
        <v>1.5745623351649595E-2</v>
      </c>
      <c r="I913">
        <v>5</v>
      </c>
      <c r="J913" t="b">
        <v>1</v>
      </c>
      <c r="K913">
        <v>0.65</v>
      </c>
      <c r="L913">
        <v>1.3</v>
      </c>
      <c r="M913" t="b">
        <v>1</v>
      </c>
      <c r="N913">
        <v>200</v>
      </c>
      <c r="O913" t="b">
        <v>0</v>
      </c>
      <c r="P913" t="b">
        <v>0</v>
      </c>
      <c r="Q913">
        <v>0.7</v>
      </c>
      <c r="R913">
        <v>6003252.8946163654</v>
      </c>
      <c r="S913">
        <v>6149889.4172194004</v>
      </c>
      <c r="T913">
        <v>5365401.9484432936</v>
      </c>
      <c r="U913">
        <v>5416609.5397647023</v>
      </c>
      <c r="V913">
        <v>12153142.311835766</v>
      </c>
      <c r="W913">
        <v>10782011.488207996</v>
      </c>
      <c r="X913">
        <v>101311.36348873164</v>
      </c>
      <c r="Y913">
        <v>89881.304521358776</v>
      </c>
      <c r="Z913">
        <v>4906.4203194427491</v>
      </c>
      <c r="AA913">
        <v>2695.502872051999</v>
      </c>
      <c r="AB913">
        <v>53654.019484432938</v>
      </c>
      <c r="AC913">
        <v>54166.095397647026</v>
      </c>
      <c r="AD913">
        <v>107820.11488207997</v>
      </c>
      <c r="AE913">
        <v>1.1271683697543209</v>
      </c>
      <c r="AF913" s="1" t="s">
        <v>2006</v>
      </c>
      <c r="AG913" s="1" t="s">
        <v>2007</v>
      </c>
      <c r="AH913" s="1" t="s">
        <v>2008</v>
      </c>
      <c r="AI913" s="1" t="str">
        <f>_xlfn.TEXTAFTER(_xlfn.TEXTBEFORE(batch_summary[[#This Row],[video]],"_",1),"-",3)</f>
        <v>20</v>
      </c>
      <c r="AJ913" s="1" t="str">
        <f>_xlfn.TEXTBEFORE(_xlfn.TEXTAFTER(batch_summary[[#This Row],[video]],"_",1),"_",1)</f>
        <v>20260406</v>
      </c>
      <c r="AK913" s="1" t="str">
        <f>_xlfn.TEXTBEFORE(_xlfn.TEXTAFTER(batch_summary[[#This Row],[video]],"_",2),".",1)</f>
        <v>100000</v>
      </c>
    </row>
    <row r="914" spans="1:37" x14ac:dyDescent="0.2">
      <c r="A914" s="1" t="s">
        <v>2009</v>
      </c>
      <c r="B914" s="1" t="s">
        <v>2010</v>
      </c>
      <c r="C914">
        <v>119.95833333333333</v>
      </c>
      <c r="D914">
        <v>2879</v>
      </c>
      <c r="E914">
        <v>0.30232090502977371</v>
      </c>
      <c r="F914">
        <v>45.209984133951366</v>
      </c>
      <c r="G914">
        <v>1.0500899792628472E-4</v>
      </c>
      <c r="H914">
        <v>1.5703363714467303E-2</v>
      </c>
      <c r="I914">
        <v>5</v>
      </c>
      <c r="J914" t="b">
        <v>1</v>
      </c>
      <c r="K914">
        <v>0.65</v>
      </c>
      <c r="L914">
        <v>1.3</v>
      </c>
      <c r="M914" t="b">
        <v>1</v>
      </c>
      <c r="N914">
        <v>200</v>
      </c>
      <c r="O914" t="b">
        <v>0</v>
      </c>
      <c r="P914" t="b">
        <v>0</v>
      </c>
      <c r="Q914">
        <v>0.7</v>
      </c>
      <c r="R914">
        <v>5402082.9861488342</v>
      </c>
      <c r="S914">
        <v>5098628.1946772933</v>
      </c>
      <c r="T914">
        <v>4942703.4431228042</v>
      </c>
      <c r="U914">
        <v>4581608.2466659546</v>
      </c>
      <c r="V914">
        <v>10500711.180826128</v>
      </c>
      <c r="W914">
        <v>9524311.6897887588</v>
      </c>
      <c r="X914">
        <v>87536.321062808987</v>
      </c>
      <c r="Y914">
        <v>79396.832426165405</v>
      </c>
      <c r="Z914">
        <v>5350.561760253906</v>
      </c>
      <c r="AA914">
        <v>2381.0779224471894</v>
      </c>
      <c r="AB914">
        <v>49427.034431228043</v>
      </c>
      <c r="AC914">
        <v>45816.082466659544</v>
      </c>
      <c r="AD914">
        <v>95243.116897887579</v>
      </c>
      <c r="AE914">
        <v>1.1025165411254012</v>
      </c>
      <c r="AF914" s="1" t="s">
        <v>2011</v>
      </c>
      <c r="AG914" s="1" t="s">
        <v>2012</v>
      </c>
      <c r="AH914" s="1" t="s">
        <v>2013</v>
      </c>
      <c r="AI914" s="1" t="str">
        <f>_xlfn.TEXTAFTER(_xlfn.TEXTBEFORE(batch_summary[[#This Row],[video]],"_",1),"-",3)</f>
        <v>20</v>
      </c>
      <c r="AJ914" s="1" t="str">
        <f>_xlfn.TEXTBEFORE(_xlfn.TEXTAFTER(batch_summary[[#This Row],[video]],"_",1),"_",1)</f>
        <v>20260406</v>
      </c>
      <c r="AK914" s="1" t="str">
        <f>_xlfn.TEXTBEFORE(_xlfn.TEXTAFTER(batch_summary[[#This Row],[video]],"_",2),".",1)</f>
        <v>110000</v>
      </c>
    </row>
    <row r="915" spans="1:37" x14ac:dyDescent="0.2">
      <c r="A915" s="1" t="s">
        <v>2014</v>
      </c>
      <c r="B915" s="1" t="s">
        <v>2015</v>
      </c>
      <c r="C915">
        <v>119.95833333333333</v>
      </c>
      <c r="D915">
        <v>2879</v>
      </c>
      <c r="E915">
        <v>0.2838728716596961</v>
      </c>
      <c r="F915">
        <v>43.937730289064348</v>
      </c>
      <c r="G915">
        <v>9.8601205856094513E-5</v>
      </c>
      <c r="H915">
        <v>1.526145546685111E-2</v>
      </c>
      <c r="I915">
        <v>5</v>
      </c>
      <c r="J915" t="b">
        <v>1</v>
      </c>
      <c r="K915">
        <v>0.65</v>
      </c>
      <c r="L915">
        <v>1.3</v>
      </c>
      <c r="M915" t="b">
        <v>1</v>
      </c>
      <c r="N915">
        <v>200</v>
      </c>
      <c r="O915" t="b">
        <v>0</v>
      </c>
      <c r="P915" t="b">
        <v>0</v>
      </c>
      <c r="Q915">
        <v>0.7</v>
      </c>
      <c r="R915">
        <v>14162284.939458549</v>
      </c>
      <c r="S915">
        <v>13372394.839678049</v>
      </c>
      <c r="T915">
        <v>13096158.324247599</v>
      </c>
      <c r="U915">
        <v>12284328.14311552</v>
      </c>
      <c r="V915">
        <v>27534679.779136598</v>
      </c>
      <c r="W915">
        <v>25380486.467363119</v>
      </c>
      <c r="X915">
        <v>229535.36460551523</v>
      </c>
      <c r="Y915">
        <v>211577.51831077281</v>
      </c>
      <c r="Z915">
        <v>10847.634351806641</v>
      </c>
      <c r="AA915">
        <v>6345.1216168407791</v>
      </c>
      <c r="AB915">
        <v>130961.58324247599</v>
      </c>
      <c r="AC915">
        <v>122843.28143115521</v>
      </c>
      <c r="AD915">
        <v>253804.86467363121</v>
      </c>
      <c r="AE915">
        <v>1.0848759662090623</v>
      </c>
      <c r="AF915" s="1" t="s">
        <v>2016</v>
      </c>
      <c r="AG915" s="1" t="s">
        <v>2017</v>
      </c>
      <c r="AH915" s="1" t="s">
        <v>2018</v>
      </c>
      <c r="AI915" s="1" t="str">
        <f>_xlfn.TEXTAFTER(_xlfn.TEXTBEFORE(batch_summary[[#This Row],[video]],"_",1),"-",3)</f>
        <v>20</v>
      </c>
      <c r="AJ915" s="1" t="str">
        <f>_xlfn.TEXTBEFORE(_xlfn.TEXTAFTER(batch_summary[[#This Row],[video]],"_",1),"_",1)</f>
        <v>20260406</v>
      </c>
      <c r="AK915" s="1" t="str">
        <f>_xlfn.TEXTBEFORE(_xlfn.TEXTAFTER(batch_summary[[#This Row],[video]],"_",2),".",1)</f>
        <v>120000</v>
      </c>
    </row>
    <row r="916" spans="1:37" x14ac:dyDescent="0.2">
      <c r="A916" s="1" t="s">
        <v>2019</v>
      </c>
      <c r="B916" s="1" t="s">
        <v>2020</v>
      </c>
      <c r="C916">
        <v>119.95833333333333</v>
      </c>
      <c r="D916">
        <v>2879</v>
      </c>
      <c r="E916">
        <v>0.27287424448877573</v>
      </c>
      <c r="F916">
        <v>43.572498532012105</v>
      </c>
      <c r="G916">
        <v>9.4780911597351761E-5</v>
      </c>
      <c r="H916">
        <v>1.5134594835711047E-2</v>
      </c>
      <c r="I916">
        <v>5</v>
      </c>
      <c r="J916" t="b">
        <v>1</v>
      </c>
      <c r="K916">
        <v>0.65</v>
      </c>
      <c r="L916">
        <v>1.3</v>
      </c>
      <c r="M916" t="b">
        <v>1</v>
      </c>
      <c r="N916">
        <v>200</v>
      </c>
      <c r="O916" t="b">
        <v>0</v>
      </c>
      <c r="P916" t="b">
        <v>0</v>
      </c>
      <c r="Q916">
        <v>0.7</v>
      </c>
      <c r="R916">
        <v>32471307.58221817</v>
      </c>
      <c r="S916">
        <v>29127012.470973969</v>
      </c>
      <c r="T916">
        <v>30480177.387166977</v>
      </c>
      <c r="U916">
        <v>27126980.807204247</v>
      </c>
      <c r="V916">
        <v>61598320.053192139</v>
      </c>
      <c r="W916">
        <v>57607158.194371223</v>
      </c>
      <c r="X916">
        <v>513497.63156533916</v>
      </c>
      <c r="Y916">
        <v>480226.39689646038</v>
      </c>
      <c r="Z916">
        <v>21953.274071350097</v>
      </c>
      <c r="AA916">
        <v>14401.789548592806</v>
      </c>
      <c r="AB916">
        <v>304801.77387166978</v>
      </c>
      <c r="AC916">
        <v>271269.80807204248</v>
      </c>
      <c r="AD916">
        <v>576071.5819437122</v>
      </c>
      <c r="AE916">
        <v>1.069282394478728</v>
      </c>
      <c r="AF916" s="1" t="s">
        <v>2021</v>
      </c>
      <c r="AG916" s="1" t="s">
        <v>2022</v>
      </c>
      <c r="AH916" s="1" t="s">
        <v>2023</v>
      </c>
      <c r="AI916" s="1" t="str">
        <f>_xlfn.TEXTAFTER(_xlfn.TEXTBEFORE(batch_summary[[#This Row],[video]],"_",1),"-",3)</f>
        <v>20</v>
      </c>
      <c r="AJ916" s="1" t="str">
        <f>_xlfn.TEXTBEFORE(_xlfn.TEXTAFTER(batch_summary[[#This Row],[video]],"_",1),"_",1)</f>
        <v>20260406</v>
      </c>
      <c r="AK916" s="1" t="str">
        <f>_xlfn.TEXTBEFORE(_xlfn.TEXTAFTER(batch_summary[[#This Row],[video]],"_",2),".",1)</f>
        <v>130000</v>
      </c>
    </row>
    <row r="917" spans="1:37" x14ac:dyDescent="0.2">
      <c r="A917" s="1" t="s">
        <v>2024</v>
      </c>
      <c r="B917" s="1" t="s">
        <v>2025</v>
      </c>
      <c r="C917">
        <v>119.95833333333333</v>
      </c>
      <c r="D917">
        <v>2879</v>
      </c>
      <c r="E917">
        <v>0.28656253777444363</v>
      </c>
      <c r="F917">
        <v>44.915171378292143</v>
      </c>
      <c r="G917">
        <v>9.953544208907386E-5</v>
      </c>
      <c r="H917">
        <v>1.5600962618371707E-2</v>
      </c>
      <c r="I917">
        <v>5</v>
      </c>
      <c r="J917" t="b">
        <v>1</v>
      </c>
      <c r="K917">
        <v>0.65</v>
      </c>
      <c r="L917">
        <v>1.3</v>
      </c>
      <c r="M917" t="b">
        <v>1</v>
      </c>
      <c r="N917">
        <v>200</v>
      </c>
      <c r="O917" t="b">
        <v>0</v>
      </c>
      <c r="P917" t="b">
        <v>0</v>
      </c>
      <c r="Q917">
        <v>0.7</v>
      </c>
      <c r="R917">
        <v>10349490.354259729</v>
      </c>
      <c r="S917">
        <v>10175268.847608089</v>
      </c>
      <c r="T917">
        <v>9505617.3129939437</v>
      </c>
      <c r="U917">
        <v>9292269.9025729895</v>
      </c>
      <c r="V917">
        <v>20524759.201867819</v>
      </c>
      <c r="W917">
        <v>18797887.215566933</v>
      </c>
      <c r="X917">
        <v>171099.06941466747</v>
      </c>
      <c r="Y917">
        <v>156703.47105717484</v>
      </c>
      <c r="Z917">
        <v>7253.629789863825</v>
      </c>
      <c r="AA917">
        <v>4699.4718038917326</v>
      </c>
      <c r="AB917">
        <v>95056.173129939431</v>
      </c>
      <c r="AC917">
        <v>92922.699025729889</v>
      </c>
      <c r="AD917">
        <v>187978.87215566932</v>
      </c>
      <c r="AE917">
        <v>1.0918652168989942</v>
      </c>
      <c r="AF917" s="1" t="s">
        <v>2026</v>
      </c>
      <c r="AG917" s="1" t="s">
        <v>2027</v>
      </c>
      <c r="AH917" s="1" t="s">
        <v>2028</v>
      </c>
      <c r="AI917" s="1" t="str">
        <f>_xlfn.TEXTAFTER(_xlfn.TEXTBEFORE(batch_summary[[#This Row],[video]],"_",1),"-",3)</f>
        <v>20</v>
      </c>
      <c r="AJ917" s="1" t="str">
        <f>_xlfn.TEXTBEFORE(_xlfn.TEXTAFTER(batch_summary[[#This Row],[video]],"_",1),"_",1)</f>
        <v>20260406</v>
      </c>
      <c r="AK917" s="1" t="str">
        <f>_xlfn.TEXTBEFORE(_xlfn.TEXTAFTER(batch_summary[[#This Row],[video]],"_",2),".",1)</f>
        <v>140000</v>
      </c>
    </row>
    <row r="918" spans="1:37" x14ac:dyDescent="0.2">
      <c r="A918" s="1" t="s">
        <v>2029</v>
      </c>
      <c r="B918" s="1" t="s">
        <v>2030</v>
      </c>
      <c r="C918">
        <v>119.95833333333333</v>
      </c>
      <c r="D918">
        <v>2879</v>
      </c>
      <c r="E918">
        <v>0.29518096521496773</v>
      </c>
      <c r="F918">
        <v>44.393866247497499</v>
      </c>
      <c r="G918">
        <v>1.0252899104375398E-4</v>
      </c>
      <c r="H918">
        <v>1.5419891020318688E-2</v>
      </c>
      <c r="I918">
        <v>5</v>
      </c>
      <c r="J918" t="b">
        <v>1</v>
      </c>
      <c r="K918">
        <v>0.65</v>
      </c>
      <c r="L918">
        <v>1.3</v>
      </c>
      <c r="M918" t="b">
        <v>1</v>
      </c>
      <c r="N918">
        <v>200</v>
      </c>
      <c r="O918" t="b">
        <v>0</v>
      </c>
      <c r="P918" t="b">
        <v>0</v>
      </c>
      <c r="Q918">
        <v>0.7</v>
      </c>
      <c r="R918">
        <v>10102431.048919261</v>
      </c>
      <c r="S918">
        <v>10691045.559437871</v>
      </c>
      <c r="T918">
        <v>9185006.5228751302</v>
      </c>
      <c r="U918">
        <v>9659719.649024725</v>
      </c>
      <c r="V918">
        <v>20793476.608357131</v>
      </c>
      <c r="W918">
        <v>18844726.171899855</v>
      </c>
      <c r="X918">
        <v>173339.15894427619</v>
      </c>
      <c r="Y918">
        <v>157093.93126974523</v>
      </c>
      <c r="Z918">
        <v>9232.0033012390122</v>
      </c>
      <c r="AA918">
        <v>4711.181542974964</v>
      </c>
      <c r="AB918">
        <v>91850.065228751308</v>
      </c>
      <c r="AC918">
        <v>96597.196490247254</v>
      </c>
      <c r="AD918">
        <v>188447.26171899855</v>
      </c>
      <c r="AE918">
        <v>1.1034109181890441</v>
      </c>
      <c r="AF918" s="1" t="s">
        <v>2031</v>
      </c>
      <c r="AG918" s="1" t="s">
        <v>2032</v>
      </c>
      <c r="AH918" s="1" t="s">
        <v>2033</v>
      </c>
      <c r="AI918" s="1" t="str">
        <f>_xlfn.TEXTAFTER(_xlfn.TEXTBEFORE(batch_summary[[#This Row],[video]],"_",1),"-",3)</f>
        <v>20</v>
      </c>
      <c r="AJ918" s="1" t="str">
        <f>_xlfn.TEXTBEFORE(_xlfn.TEXTAFTER(batch_summary[[#This Row],[video]],"_",1),"_",1)</f>
        <v>20260406</v>
      </c>
      <c r="AK918" s="1" t="str">
        <f>_xlfn.TEXTBEFORE(_xlfn.TEXTAFTER(batch_summary[[#This Row],[video]],"_",2),".",1)</f>
        <v>150000</v>
      </c>
    </row>
    <row r="919" spans="1:37" x14ac:dyDescent="0.2">
      <c r="A919" s="1" t="s">
        <v>2034</v>
      </c>
      <c r="B919" s="1" t="s">
        <v>2035</v>
      </c>
      <c r="C919">
        <v>119.95833333333333</v>
      </c>
      <c r="D919">
        <v>2879</v>
      </c>
      <c r="E919">
        <v>0.27218653447926044</v>
      </c>
      <c r="F919">
        <v>43.26050456892699</v>
      </c>
      <c r="G919">
        <v>9.4542040458235656E-5</v>
      </c>
      <c r="H919">
        <v>1.50262259704505E-2</v>
      </c>
      <c r="I919">
        <v>5</v>
      </c>
      <c r="J919" t="b">
        <v>1</v>
      </c>
      <c r="K919">
        <v>0.65</v>
      </c>
      <c r="L919">
        <v>1.3</v>
      </c>
      <c r="M919" t="b">
        <v>1</v>
      </c>
      <c r="N919">
        <v>200</v>
      </c>
      <c r="O919" t="b">
        <v>0</v>
      </c>
      <c r="P919" t="b">
        <v>0</v>
      </c>
      <c r="Q919">
        <v>0.7</v>
      </c>
      <c r="R919">
        <v>14460815.23488909</v>
      </c>
      <c r="S919">
        <v>14823470.099366665</v>
      </c>
      <c r="T919">
        <v>13320205.888469815</v>
      </c>
      <c r="U919">
        <v>13651595.072820425</v>
      </c>
      <c r="V919">
        <v>29284285.334255755</v>
      </c>
      <c r="W919">
        <v>26971800.96129024</v>
      </c>
      <c r="X919">
        <v>244120.47517267737</v>
      </c>
      <c r="Y919">
        <v>224843.07852412845</v>
      </c>
      <c r="Z919">
        <v>9590.3496572875974</v>
      </c>
      <c r="AA919">
        <v>6742.9502403225606</v>
      </c>
      <c r="AB919">
        <v>133202.05888469814</v>
      </c>
      <c r="AC919">
        <v>136515.95072820425</v>
      </c>
      <c r="AD919">
        <v>269718.00961290242</v>
      </c>
      <c r="AE919">
        <v>1.0857371139689329</v>
      </c>
      <c r="AF919" s="1" t="s">
        <v>2036</v>
      </c>
      <c r="AG919" s="1" t="s">
        <v>2037</v>
      </c>
      <c r="AH919" s="1" t="s">
        <v>2038</v>
      </c>
      <c r="AI919" s="1" t="str">
        <f>_xlfn.TEXTAFTER(_xlfn.TEXTBEFORE(batch_summary[[#This Row],[video]],"_",1),"-",3)</f>
        <v>20</v>
      </c>
      <c r="AJ919" s="1" t="str">
        <f>_xlfn.TEXTBEFORE(_xlfn.TEXTAFTER(batch_summary[[#This Row],[video]],"_",1),"_",1)</f>
        <v>20260406</v>
      </c>
      <c r="AK919" s="1" t="str">
        <f>_xlfn.TEXTBEFORE(_xlfn.TEXTAFTER(batch_summary[[#This Row],[video]],"_",2),".",1)</f>
        <v>160000</v>
      </c>
    </row>
    <row r="920" spans="1:37" x14ac:dyDescent="0.2">
      <c r="A920" s="1" t="s">
        <v>2039</v>
      </c>
      <c r="B920" s="1" t="s">
        <v>2040</v>
      </c>
      <c r="C920">
        <v>119.95833333333333</v>
      </c>
      <c r="D920">
        <v>2879</v>
      </c>
      <c r="E920">
        <v>0.28549926169216633</v>
      </c>
      <c r="F920">
        <v>43.869379345327616</v>
      </c>
      <c r="G920">
        <v>9.9166120768380111E-5</v>
      </c>
      <c r="H920">
        <v>1.5237714256800145E-2</v>
      </c>
      <c r="I920">
        <v>5</v>
      </c>
      <c r="J920" t="b">
        <v>1</v>
      </c>
      <c r="K920">
        <v>0.65</v>
      </c>
      <c r="L920">
        <v>1.3</v>
      </c>
      <c r="M920" t="b">
        <v>1</v>
      </c>
      <c r="N920">
        <v>200</v>
      </c>
      <c r="O920" t="b">
        <v>0</v>
      </c>
      <c r="P920" t="b">
        <v>0</v>
      </c>
      <c r="Q920">
        <v>0.7</v>
      </c>
      <c r="R920">
        <v>12153375.705921471</v>
      </c>
      <c r="S920">
        <v>11373169.315342903</v>
      </c>
      <c r="T920">
        <v>11179066.328265429</v>
      </c>
      <c r="U920">
        <v>10373392.791128755</v>
      </c>
      <c r="V920">
        <v>23526545.021264374</v>
      </c>
      <c r="W920">
        <v>21552459.119394183</v>
      </c>
      <c r="X920">
        <v>196122.63998275271</v>
      </c>
      <c r="Y920">
        <v>179666.21009567921</v>
      </c>
      <c r="Z920">
        <v>8435.5933040618893</v>
      </c>
      <c r="AA920">
        <v>5388.1147798485454</v>
      </c>
      <c r="AB920">
        <v>111790.66328265429</v>
      </c>
      <c r="AC920">
        <v>103733.92791128755</v>
      </c>
      <c r="AD920">
        <v>215524.59119394183</v>
      </c>
      <c r="AE920">
        <v>1.0915944621880198</v>
      </c>
      <c r="AF920" s="1" t="s">
        <v>2041</v>
      </c>
      <c r="AG920" s="1" t="s">
        <v>2042</v>
      </c>
      <c r="AH920" s="1" t="s">
        <v>2043</v>
      </c>
      <c r="AI920" s="1" t="str">
        <f>_xlfn.TEXTAFTER(_xlfn.TEXTBEFORE(batch_summary[[#This Row],[video]],"_",1),"-",3)</f>
        <v>20</v>
      </c>
      <c r="AJ920" s="1" t="str">
        <f>_xlfn.TEXTBEFORE(_xlfn.TEXTAFTER(batch_summary[[#This Row],[video]],"_",1),"_",1)</f>
        <v>20260406</v>
      </c>
      <c r="AK920" s="1" t="str">
        <f>_xlfn.TEXTBEFORE(_xlfn.TEXTAFTER(batch_summary[[#This Row],[video]],"_",2),".",1)</f>
        <v>170000</v>
      </c>
    </row>
    <row r="921" spans="1:37" x14ac:dyDescent="0.2">
      <c r="A921" s="1" t="s">
        <v>2044</v>
      </c>
      <c r="B921" s="1" t="s">
        <v>2045</v>
      </c>
      <c r="C921">
        <v>119.95833333333333</v>
      </c>
      <c r="D921">
        <v>2879</v>
      </c>
      <c r="E921">
        <v>0.29507448244839907</v>
      </c>
      <c r="F921">
        <v>44.74776319321245</v>
      </c>
      <c r="G921">
        <v>1.0249200501854779E-4</v>
      </c>
      <c r="H921">
        <v>1.5542814586041143E-2</v>
      </c>
      <c r="I921">
        <v>5</v>
      </c>
      <c r="J921" t="b">
        <v>1</v>
      </c>
      <c r="K921">
        <v>0.65</v>
      </c>
      <c r="L921">
        <v>1.3</v>
      </c>
      <c r="M921" t="b">
        <v>1</v>
      </c>
      <c r="N921">
        <v>200</v>
      </c>
      <c r="O921" t="b">
        <v>0</v>
      </c>
      <c r="P921" t="b">
        <v>0</v>
      </c>
      <c r="Q921">
        <v>0.7</v>
      </c>
      <c r="R921">
        <v>9582075.3339540958</v>
      </c>
      <c r="S921">
        <v>9405177.2378938794</v>
      </c>
      <c r="T921">
        <v>8730980.6219261885</v>
      </c>
      <c r="U921">
        <v>8515209.3371779919</v>
      </c>
      <c r="V921">
        <v>18987252.571847975</v>
      </c>
      <c r="W921">
        <v>17246189.95910418</v>
      </c>
      <c r="X921">
        <v>158282.06381533568</v>
      </c>
      <c r="Y921">
        <v>143768.1691623829</v>
      </c>
      <c r="Z921">
        <v>7613.081685180664</v>
      </c>
      <c r="AA921">
        <v>4311.547489776045</v>
      </c>
      <c r="AB921">
        <v>87309.806219261882</v>
      </c>
      <c r="AC921">
        <v>85152.09337177992</v>
      </c>
      <c r="AD921">
        <v>172461.89959104179</v>
      </c>
      <c r="AE921">
        <v>1.1009534637431437</v>
      </c>
      <c r="AF921" s="1" t="s">
        <v>2046</v>
      </c>
      <c r="AG921" s="1" t="s">
        <v>2047</v>
      </c>
      <c r="AH921" s="1" t="s">
        <v>2048</v>
      </c>
      <c r="AI921" s="1" t="str">
        <f>_xlfn.TEXTAFTER(_xlfn.TEXTBEFORE(batch_summary[[#This Row],[video]],"_",1),"-",3)</f>
        <v>20</v>
      </c>
      <c r="AJ921" s="1" t="str">
        <f>_xlfn.TEXTBEFORE(_xlfn.TEXTAFTER(batch_summary[[#This Row],[video]],"_",1),"_",1)</f>
        <v>20260406</v>
      </c>
      <c r="AK921" s="1" t="str">
        <f>_xlfn.TEXTBEFORE(_xlfn.TEXTAFTER(batch_summary[[#This Row],[video]],"_",2),".",1)</f>
        <v>180000</v>
      </c>
    </row>
    <row r="922" spans="1:37" x14ac:dyDescent="0.2">
      <c r="A922" s="1" t="s">
        <v>2049</v>
      </c>
      <c r="B922" s="1" t="s">
        <v>2050</v>
      </c>
      <c r="C922">
        <v>119.95833333333333</v>
      </c>
      <c r="D922">
        <v>2879</v>
      </c>
      <c r="E922">
        <v>0.3297966355457902</v>
      </c>
      <c r="F922">
        <v>45.785211994312704</v>
      </c>
      <c r="G922">
        <v>1.1455249584779096E-4</v>
      </c>
      <c r="H922">
        <v>1.5903164985867559E-2</v>
      </c>
      <c r="I922">
        <v>5</v>
      </c>
      <c r="J922" t="b">
        <v>1</v>
      </c>
      <c r="K922">
        <v>0.65</v>
      </c>
      <c r="L922">
        <v>1.3</v>
      </c>
      <c r="M922" t="b">
        <v>1</v>
      </c>
      <c r="N922">
        <v>200</v>
      </c>
      <c r="O922" t="b">
        <v>0</v>
      </c>
      <c r="P922" t="b">
        <v>0</v>
      </c>
      <c r="Q922">
        <v>0.7</v>
      </c>
      <c r="R922">
        <v>2471360.355394721</v>
      </c>
      <c r="S922">
        <v>2149090.0568186641</v>
      </c>
      <c r="T922">
        <v>1841725.4903197289</v>
      </c>
      <c r="U922">
        <v>1559505.5459513664</v>
      </c>
      <c r="V922">
        <v>4620450.4122133851</v>
      </c>
      <c r="W922">
        <v>3401231.0362710953</v>
      </c>
      <c r="X922">
        <v>38517.127437694078</v>
      </c>
      <c r="Y922">
        <v>28353.436912298122</v>
      </c>
      <c r="Z922">
        <v>1802.7723118400572</v>
      </c>
      <c r="AA922">
        <v>850.30775906777376</v>
      </c>
      <c r="AB922">
        <v>18417.254903197289</v>
      </c>
      <c r="AC922">
        <v>15595.055459513664</v>
      </c>
      <c r="AD922">
        <v>34012.310362710952</v>
      </c>
      <c r="AE922">
        <v>1.3584641451699113</v>
      </c>
      <c r="AF922" s="1" t="s">
        <v>2051</v>
      </c>
      <c r="AG922" s="1" t="s">
        <v>2052</v>
      </c>
      <c r="AH922" s="1" t="s">
        <v>2053</v>
      </c>
      <c r="AI922" s="1" t="str">
        <f>_xlfn.TEXTAFTER(_xlfn.TEXTBEFORE(batch_summary[[#This Row],[video]],"_",1),"-",3)</f>
        <v>20</v>
      </c>
      <c r="AJ922" s="1" t="str">
        <f>_xlfn.TEXTBEFORE(_xlfn.TEXTAFTER(batch_summary[[#This Row],[video]],"_",1),"_",1)</f>
        <v>20260406</v>
      </c>
      <c r="AK922" s="1" t="str">
        <f>_xlfn.TEXTBEFORE(_xlfn.TEXTAFTER(batch_summary[[#This Row],[video]],"_",2),".",1)</f>
        <v>190000</v>
      </c>
    </row>
    <row r="923" spans="1:37" x14ac:dyDescent="0.2">
      <c r="A923" s="1" t="s">
        <v>2054</v>
      </c>
      <c r="B923" s="1" t="s">
        <v>2055</v>
      </c>
      <c r="C923">
        <v>119.95833333333333</v>
      </c>
      <c r="D923">
        <v>2879</v>
      </c>
      <c r="E923">
        <v>0.31989965122193098</v>
      </c>
      <c r="F923">
        <v>45.36517783626914</v>
      </c>
      <c r="G923">
        <v>1.1111484933029905E-4</v>
      </c>
      <c r="H923">
        <v>1.5757269133820473E-2</v>
      </c>
      <c r="I923">
        <v>5</v>
      </c>
      <c r="J923" t="b">
        <v>1</v>
      </c>
      <c r="K923">
        <v>0.65</v>
      </c>
      <c r="L923">
        <v>1.3</v>
      </c>
      <c r="M923" t="b">
        <v>1</v>
      </c>
      <c r="N923">
        <v>200</v>
      </c>
      <c r="O923" t="b">
        <v>0</v>
      </c>
      <c r="P923" t="b">
        <v>0</v>
      </c>
      <c r="Q923">
        <v>0.7</v>
      </c>
      <c r="R923">
        <v>206306.4506701827</v>
      </c>
      <c r="S923">
        <v>218517.30593389273</v>
      </c>
      <c r="T923">
        <v>39807.52294921875</v>
      </c>
      <c r="U923">
        <v>49515.590362548828</v>
      </c>
      <c r="V923">
        <v>424823.75660407543</v>
      </c>
      <c r="W923">
        <v>89323.113311767578</v>
      </c>
      <c r="X923">
        <v>3541.427634073571</v>
      </c>
      <c r="Y923">
        <v>744.61782545412359</v>
      </c>
      <c r="Z923">
        <v>68.008533325195316</v>
      </c>
      <c r="AA923">
        <v>22.330778327941896</v>
      </c>
      <c r="AB923">
        <v>398.07522949218747</v>
      </c>
      <c r="AC923">
        <v>495.15590362548829</v>
      </c>
      <c r="AD923">
        <v>893.23113311767577</v>
      </c>
      <c r="AE923">
        <v>4.7560339183577076</v>
      </c>
      <c r="AF923" s="1" t="s">
        <v>2056</v>
      </c>
      <c r="AG923" s="1" t="s">
        <v>2057</v>
      </c>
      <c r="AH923" s="1" t="s">
        <v>2058</v>
      </c>
      <c r="AI923" s="1" t="str">
        <f>_xlfn.TEXTAFTER(_xlfn.TEXTBEFORE(batch_summary[[#This Row],[video]],"_",1),"-",3)</f>
        <v>20</v>
      </c>
      <c r="AJ923" s="1" t="str">
        <f>_xlfn.TEXTBEFORE(_xlfn.TEXTAFTER(batch_summary[[#This Row],[video]],"_",1),"_",1)</f>
        <v>20260407</v>
      </c>
      <c r="AK923" s="1" t="str">
        <f>_xlfn.TEXTBEFORE(_xlfn.TEXTAFTER(batch_summary[[#This Row],[video]],"_",2),".",1)</f>
        <v>060000</v>
      </c>
    </row>
    <row r="924" spans="1:37" x14ac:dyDescent="0.2">
      <c r="A924" s="1" t="s">
        <v>2059</v>
      </c>
      <c r="B924" s="1" t="s">
        <v>2060</v>
      </c>
      <c r="C924">
        <v>119.95833333333333</v>
      </c>
      <c r="D924">
        <v>2879</v>
      </c>
      <c r="E924">
        <v>0.31177113670855761</v>
      </c>
      <c r="F924">
        <v>43.67727062292397</v>
      </c>
      <c r="G924">
        <v>1.0829146811690087E-4</v>
      </c>
      <c r="H924">
        <v>1.5170986669997905E-2</v>
      </c>
      <c r="I924">
        <v>5</v>
      </c>
      <c r="J924" t="b">
        <v>1</v>
      </c>
      <c r="K924">
        <v>0.65</v>
      </c>
      <c r="L924">
        <v>1.3</v>
      </c>
      <c r="M924" t="b">
        <v>1</v>
      </c>
      <c r="N924">
        <v>200</v>
      </c>
      <c r="O924" t="b">
        <v>0</v>
      </c>
      <c r="P924" t="b">
        <v>0</v>
      </c>
      <c r="Q924">
        <v>0.7</v>
      </c>
      <c r="R924">
        <v>49322.66198939085</v>
      </c>
      <c r="S924">
        <v>50711.532815933228</v>
      </c>
      <c r="T924">
        <v>2091.1455078125</v>
      </c>
      <c r="U924">
        <v>2875.8406066894531</v>
      </c>
      <c r="V924">
        <v>100034.19480532408</v>
      </c>
      <c r="W924">
        <v>4966.9861145019531</v>
      </c>
      <c r="X924">
        <v>833.90784137817923</v>
      </c>
      <c r="Y924">
        <v>41.405928012520626</v>
      </c>
      <c r="Z924">
        <v>10.814318847656249</v>
      </c>
      <c r="AA924">
        <v>1.2417465286254881</v>
      </c>
      <c r="AB924">
        <v>20.911455078125002</v>
      </c>
      <c r="AC924">
        <v>28.75840606689453</v>
      </c>
      <c r="AD924">
        <v>49.669861145019532</v>
      </c>
      <c r="AE924">
        <v>20.139817688086019</v>
      </c>
      <c r="AF924" s="1" t="s">
        <v>2061</v>
      </c>
      <c r="AG924" s="1" t="s">
        <v>2062</v>
      </c>
      <c r="AH924" s="1" t="s">
        <v>2063</v>
      </c>
      <c r="AI924" s="1" t="str">
        <f>_xlfn.TEXTAFTER(_xlfn.TEXTBEFORE(batch_summary[[#This Row],[video]],"_",1),"-",3)</f>
        <v>20</v>
      </c>
      <c r="AJ924" s="1" t="str">
        <f>_xlfn.TEXTBEFORE(_xlfn.TEXTAFTER(batch_summary[[#This Row],[video]],"_",1),"_",1)</f>
        <v>20260407</v>
      </c>
      <c r="AK924" s="1" t="str">
        <f>_xlfn.TEXTBEFORE(_xlfn.TEXTAFTER(batch_summary[[#This Row],[video]],"_",2),".",1)</f>
        <v>070000</v>
      </c>
    </row>
    <row r="925" spans="1:37" x14ac:dyDescent="0.2">
      <c r="A925" s="1" t="s">
        <v>2064</v>
      </c>
      <c r="B925" s="1" t="s">
        <v>2065</v>
      </c>
      <c r="C925">
        <v>119.95833333333333</v>
      </c>
      <c r="D925">
        <v>2879</v>
      </c>
      <c r="E925">
        <v>0.35124088171869516</v>
      </c>
      <c r="F925">
        <v>44.648444438353181</v>
      </c>
      <c r="G925">
        <v>1.2200100094431926E-4</v>
      </c>
      <c r="H925">
        <v>1.5508316928917396E-2</v>
      </c>
      <c r="I925">
        <v>5</v>
      </c>
      <c r="J925" t="b">
        <v>1</v>
      </c>
      <c r="K925">
        <v>0.65</v>
      </c>
      <c r="L925">
        <v>1.3</v>
      </c>
      <c r="M925" t="b">
        <v>1</v>
      </c>
      <c r="N925">
        <v>200</v>
      </c>
      <c r="O925" t="b">
        <v>0</v>
      </c>
      <c r="P925" t="b">
        <v>0</v>
      </c>
      <c r="Q925">
        <v>0.7</v>
      </c>
      <c r="R925">
        <v>809282.34513568878</v>
      </c>
      <c r="S925">
        <v>778857.48541778326</v>
      </c>
      <c r="T925">
        <v>633675.489361763</v>
      </c>
      <c r="U925">
        <v>570300.74430918694</v>
      </c>
      <c r="V925">
        <v>1588139.830553472</v>
      </c>
      <c r="W925">
        <v>1203976.2336709499</v>
      </c>
      <c r="X925">
        <v>13239.09549610397</v>
      </c>
      <c r="Y925">
        <v>10036.620218167001</v>
      </c>
      <c r="Z925">
        <v>1539.2226161193848</v>
      </c>
      <c r="AA925">
        <v>300.99405841773751</v>
      </c>
      <c r="AB925">
        <v>6336.7548936176299</v>
      </c>
      <c r="AC925">
        <v>5703.0074430918694</v>
      </c>
      <c r="AD925">
        <v>12039.7623367095</v>
      </c>
      <c r="AE925">
        <v>1.3190790533391168</v>
      </c>
      <c r="AF925" s="1" t="s">
        <v>2066</v>
      </c>
      <c r="AG925" s="1" t="s">
        <v>2067</v>
      </c>
      <c r="AH925" s="1" t="s">
        <v>2068</v>
      </c>
      <c r="AI925" s="1" t="str">
        <f>_xlfn.TEXTAFTER(_xlfn.TEXTBEFORE(batch_summary[[#This Row],[video]],"_",1),"-",3)</f>
        <v>20</v>
      </c>
      <c r="AJ925" s="1" t="str">
        <f>_xlfn.TEXTBEFORE(_xlfn.TEXTAFTER(batch_summary[[#This Row],[video]],"_",1),"_",1)</f>
        <v>20260407</v>
      </c>
      <c r="AK925" s="1" t="str">
        <f>_xlfn.TEXTBEFORE(_xlfn.TEXTAFTER(batch_summary[[#This Row],[video]],"_",2),".",1)</f>
        <v>080000</v>
      </c>
    </row>
    <row r="926" spans="1:37" x14ac:dyDescent="0.2">
      <c r="A926" s="1" t="s">
        <v>2069</v>
      </c>
      <c r="B926" s="1" t="s">
        <v>2070</v>
      </c>
      <c r="C926">
        <v>119.95833333333333</v>
      </c>
      <c r="D926">
        <v>2879</v>
      </c>
      <c r="E926">
        <v>0.33718870021402836</v>
      </c>
      <c r="F926">
        <v>45.44352309871465</v>
      </c>
      <c r="G926">
        <v>1.1712007648976323E-4</v>
      </c>
      <c r="H926">
        <v>1.5784481798789388E-2</v>
      </c>
      <c r="I926">
        <v>5</v>
      </c>
      <c r="J926" t="b">
        <v>1</v>
      </c>
      <c r="K926">
        <v>0.65</v>
      </c>
      <c r="L926">
        <v>1.3</v>
      </c>
      <c r="M926" t="b">
        <v>1</v>
      </c>
      <c r="N926">
        <v>200</v>
      </c>
      <c r="O926" t="b">
        <v>0</v>
      </c>
      <c r="P926" t="b">
        <v>0</v>
      </c>
      <c r="Q926">
        <v>0.7</v>
      </c>
      <c r="R926">
        <v>4728531.4532706141</v>
      </c>
      <c r="S926">
        <v>4702350.0080638528</v>
      </c>
      <c r="T926">
        <v>4053915.4581093192</v>
      </c>
      <c r="U926">
        <v>4034862.0674245358</v>
      </c>
      <c r="V926">
        <v>9430881.4613344669</v>
      </c>
      <c r="W926">
        <v>8088777.525533855</v>
      </c>
      <c r="X926">
        <v>78617.976753048701</v>
      </c>
      <c r="Y926">
        <v>67429.892536579544</v>
      </c>
      <c r="Z926">
        <v>5212.2538199615483</v>
      </c>
      <c r="AA926">
        <v>2022.1943813834637</v>
      </c>
      <c r="AB926">
        <v>40539.154581093193</v>
      </c>
      <c r="AC926">
        <v>40348.620674245358</v>
      </c>
      <c r="AD926">
        <v>80887.775255338551</v>
      </c>
      <c r="AE926">
        <v>1.165921726931417</v>
      </c>
      <c r="AF926" s="1" t="s">
        <v>2071</v>
      </c>
      <c r="AG926" s="1" t="s">
        <v>2072</v>
      </c>
      <c r="AH926" s="1" t="s">
        <v>2073</v>
      </c>
      <c r="AI926" s="1" t="str">
        <f>_xlfn.TEXTAFTER(_xlfn.TEXTBEFORE(batch_summary[[#This Row],[video]],"_",1),"-",3)</f>
        <v>20</v>
      </c>
      <c r="AJ926" s="1" t="str">
        <f>_xlfn.TEXTBEFORE(_xlfn.TEXTAFTER(batch_summary[[#This Row],[video]],"_",1),"_",1)</f>
        <v>20260407</v>
      </c>
      <c r="AK926" s="1" t="str">
        <f>_xlfn.TEXTBEFORE(_xlfn.TEXTAFTER(batch_summary[[#This Row],[video]],"_",2),".",1)</f>
        <v>090000</v>
      </c>
    </row>
    <row r="927" spans="1:37" x14ac:dyDescent="0.2">
      <c r="A927" s="1" t="s">
        <v>2074</v>
      </c>
      <c r="B927" s="1" t="s">
        <v>2075</v>
      </c>
      <c r="C927">
        <v>119.95833333333333</v>
      </c>
      <c r="D927">
        <v>2879</v>
      </c>
      <c r="E927">
        <v>0.32023537904024124</v>
      </c>
      <c r="F927">
        <v>45.094340425916016</v>
      </c>
      <c r="G927">
        <v>1.1123146197993791E-4</v>
      </c>
      <c r="H927">
        <v>1.5663195701950683E-2</v>
      </c>
      <c r="I927">
        <v>5</v>
      </c>
      <c r="J927" t="b">
        <v>1</v>
      </c>
      <c r="K927">
        <v>0.65</v>
      </c>
      <c r="L927">
        <v>1.3</v>
      </c>
      <c r="M927" t="b">
        <v>1</v>
      </c>
      <c r="N927">
        <v>200</v>
      </c>
      <c r="O927" t="b">
        <v>0</v>
      </c>
      <c r="P927" t="b">
        <v>0</v>
      </c>
      <c r="Q927">
        <v>0.7</v>
      </c>
      <c r="R927">
        <v>8940031.8971762061</v>
      </c>
      <c r="S927">
        <v>10010616.633211434</v>
      </c>
      <c r="T927">
        <v>7983420.1511498094</v>
      </c>
      <c r="U927">
        <v>9037099.2886025906</v>
      </c>
      <c r="V927">
        <v>18950648.53038764</v>
      </c>
      <c r="W927">
        <v>17020519.4397524</v>
      </c>
      <c r="X927">
        <v>157976.9241852391</v>
      </c>
      <c r="Y927">
        <v>141886.92829248268</v>
      </c>
      <c r="Z927">
        <v>9152.0202949523919</v>
      </c>
      <c r="AA927">
        <v>4255.1298599380998</v>
      </c>
      <c r="AB927">
        <v>79834.20151149809</v>
      </c>
      <c r="AC927">
        <v>90370.99288602591</v>
      </c>
      <c r="AD927">
        <v>170205.194397524</v>
      </c>
      <c r="AE927">
        <v>1.1134001284430435</v>
      </c>
      <c r="AF927" s="1" t="s">
        <v>2076</v>
      </c>
      <c r="AG927" s="1" t="s">
        <v>2077</v>
      </c>
      <c r="AH927" s="1" t="s">
        <v>2078</v>
      </c>
      <c r="AI927" s="1" t="str">
        <f>_xlfn.TEXTAFTER(_xlfn.TEXTBEFORE(batch_summary[[#This Row],[video]],"_",1),"-",3)</f>
        <v>20</v>
      </c>
      <c r="AJ927" s="1" t="str">
        <f>_xlfn.TEXTBEFORE(_xlfn.TEXTAFTER(batch_summary[[#This Row],[video]],"_",1),"_",1)</f>
        <v>20260407</v>
      </c>
      <c r="AK927" s="1" t="str">
        <f>_xlfn.TEXTBEFORE(_xlfn.TEXTAFTER(batch_summary[[#This Row],[video]],"_",2),".",1)</f>
        <v>100000</v>
      </c>
    </row>
    <row r="928" spans="1:37" x14ac:dyDescent="0.2">
      <c r="A928" s="1" t="s">
        <v>2079</v>
      </c>
      <c r="B928" s="1" t="s">
        <v>2080</v>
      </c>
      <c r="C928">
        <v>119.95833333333333</v>
      </c>
      <c r="D928">
        <v>2879</v>
      </c>
      <c r="E928">
        <v>0.28732601925730705</v>
      </c>
      <c r="F928">
        <v>43.9189821658656</v>
      </c>
      <c r="G928">
        <v>9.980063190597675E-5</v>
      </c>
      <c r="H928">
        <v>1.5254943440731365E-2</v>
      </c>
      <c r="I928">
        <v>5</v>
      </c>
      <c r="J928" t="b">
        <v>1</v>
      </c>
      <c r="K928">
        <v>0.65</v>
      </c>
      <c r="L928">
        <v>1.3</v>
      </c>
      <c r="M928" t="b">
        <v>1</v>
      </c>
      <c r="N928">
        <v>200</v>
      </c>
      <c r="O928" t="b">
        <v>0</v>
      </c>
      <c r="P928" t="b">
        <v>0</v>
      </c>
      <c r="Q928">
        <v>0.7</v>
      </c>
      <c r="R928">
        <v>16827153.37266773</v>
      </c>
      <c r="S928">
        <v>17952093.725961626</v>
      </c>
      <c r="T928">
        <v>15660030.040041685</v>
      </c>
      <c r="U928">
        <v>16630546.065530777</v>
      </c>
      <c r="V928">
        <v>34779247.098629355</v>
      </c>
      <c r="W928">
        <v>32290576.105572462</v>
      </c>
      <c r="X928">
        <v>289927.72850542015</v>
      </c>
      <c r="Y928">
        <v>269181.6000464533</v>
      </c>
      <c r="Z928">
        <v>11633.716197204591</v>
      </c>
      <c r="AA928">
        <v>8072.6440263931163</v>
      </c>
      <c r="AB928">
        <v>156600.30040041686</v>
      </c>
      <c r="AC928">
        <v>166305.46065530778</v>
      </c>
      <c r="AD928">
        <v>322905.76105572464</v>
      </c>
      <c r="AE928">
        <v>1.0770711239378419</v>
      </c>
      <c r="AF928" s="1" t="s">
        <v>2081</v>
      </c>
      <c r="AG928" s="1" t="s">
        <v>2082</v>
      </c>
      <c r="AH928" s="1" t="s">
        <v>2083</v>
      </c>
      <c r="AI928" s="1" t="str">
        <f>_xlfn.TEXTAFTER(_xlfn.TEXTBEFORE(batch_summary[[#This Row],[video]],"_",1),"-",3)</f>
        <v>20</v>
      </c>
      <c r="AJ928" s="1" t="str">
        <f>_xlfn.TEXTBEFORE(_xlfn.TEXTAFTER(batch_summary[[#This Row],[video]],"_",1),"_",1)</f>
        <v>20260407</v>
      </c>
      <c r="AK928" s="1" t="str">
        <f>_xlfn.TEXTBEFORE(_xlfn.TEXTAFTER(batch_summary[[#This Row],[video]],"_",2),".",1)</f>
        <v>110000</v>
      </c>
    </row>
    <row r="929" spans="1:37" x14ac:dyDescent="0.2">
      <c r="A929" s="1" t="s">
        <v>2084</v>
      </c>
      <c r="B929" s="1" t="s">
        <v>2085</v>
      </c>
      <c r="C929">
        <v>119.95833333333333</v>
      </c>
      <c r="D929">
        <v>2879</v>
      </c>
      <c r="E929">
        <v>0.31435969192534685</v>
      </c>
      <c r="F929">
        <v>44.674531232565641</v>
      </c>
      <c r="G929">
        <v>1.0919058420470541E-4</v>
      </c>
      <c r="H929">
        <v>1.5517377989776187E-2</v>
      </c>
      <c r="I929">
        <v>5</v>
      </c>
      <c r="J929" t="b">
        <v>1</v>
      </c>
      <c r="K929">
        <v>0.65</v>
      </c>
      <c r="L929">
        <v>1.3</v>
      </c>
      <c r="M929" t="b">
        <v>1</v>
      </c>
      <c r="N929">
        <v>200</v>
      </c>
      <c r="O929" t="b">
        <v>0</v>
      </c>
      <c r="P929" t="b">
        <v>0</v>
      </c>
      <c r="Q929">
        <v>0.7</v>
      </c>
      <c r="R929">
        <v>9018185.4361779094</v>
      </c>
      <c r="S929">
        <v>9232232.8742286563</v>
      </c>
      <c r="T929">
        <v>8106434.7303770185</v>
      </c>
      <c r="U929">
        <v>8372052.9724674225</v>
      </c>
      <c r="V929">
        <v>18250418.310406566</v>
      </c>
      <c r="W929">
        <v>16478487.702844441</v>
      </c>
      <c r="X929">
        <v>152139.64551919332</v>
      </c>
      <c r="Y929">
        <v>137368.42822794951</v>
      </c>
      <c r="Z929">
        <v>8229.2529417419428</v>
      </c>
      <c r="AA929">
        <v>4119.6219257111106</v>
      </c>
      <c r="AB929">
        <v>81064.347303770192</v>
      </c>
      <c r="AC929">
        <v>83720.529724674227</v>
      </c>
      <c r="AD929">
        <v>164784.87702844443</v>
      </c>
      <c r="AE929">
        <v>1.1075299286873432</v>
      </c>
      <c r="AF929" s="1" t="s">
        <v>2086</v>
      </c>
      <c r="AG929" s="1" t="s">
        <v>2087</v>
      </c>
      <c r="AH929" s="1" t="s">
        <v>2088</v>
      </c>
      <c r="AI929" s="1" t="str">
        <f>_xlfn.TEXTAFTER(_xlfn.TEXTBEFORE(batch_summary[[#This Row],[video]],"_",1),"-",3)</f>
        <v>20</v>
      </c>
      <c r="AJ929" s="1" t="str">
        <f>_xlfn.TEXTBEFORE(_xlfn.TEXTAFTER(batch_summary[[#This Row],[video]],"_",1),"_",1)</f>
        <v>20260407</v>
      </c>
      <c r="AK929" s="1" t="str">
        <f>_xlfn.TEXTBEFORE(_xlfn.TEXTAFTER(batch_summary[[#This Row],[video]],"_",2),".",1)</f>
        <v>120000</v>
      </c>
    </row>
    <row r="930" spans="1:37" x14ac:dyDescent="0.2">
      <c r="A930" s="1" t="s">
        <v>2089</v>
      </c>
      <c r="B930" s="1" t="s">
        <v>2090</v>
      </c>
      <c r="C930">
        <v>119.95833333333333</v>
      </c>
      <c r="D930">
        <v>2879</v>
      </c>
      <c r="E930">
        <v>0.30395499244332314</v>
      </c>
      <c r="F930">
        <v>44.470245090313256</v>
      </c>
      <c r="G930">
        <v>1.0557658646867772E-4</v>
      </c>
      <c r="H930">
        <v>1.5446420663533607E-2</v>
      </c>
      <c r="I930">
        <v>5</v>
      </c>
      <c r="J930" t="b">
        <v>1</v>
      </c>
      <c r="K930">
        <v>0.65</v>
      </c>
      <c r="L930">
        <v>1.3</v>
      </c>
      <c r="M930" t="b">
        <v>1</v>
      </c>
      <c r="N930">
        <v>200</v>
      </c>
      <c r="O930" t="b">
        <v>0</v>
      </c>
      <c r="P930" t="b">
        <v>0</v>
      </c>
      <c r="Q930">
        <v>0.7</v>
      </c>
      <c r="R930">
        <v>13591088.779132664</v>
      </c>
      <c r="S930">
        <v>12427201.5137555</v>
      </c>
      <c r="T930">
        <v>12454075.998709917</v>
      </c>
      <c r="U930">
        <v>11302103.150665045</v>
      </c>
      <c r="V930">
        <v>26018290.292888165</v>
      </c>
      <c r="W930">
        <v>23756179.149374962</v>
      </c>
      <c r="X930">
        <v>216894.39632834872</v>
      </c>
      <c r="Y930">
        <v>198036.92239840192</v>
      </c>
      <c r="Z930">
        <v>11440.364501657486</v>
      </c>
      <c r="AA930">
        <v>5939.0447873437406</v>
      </c>
      <c r="AB930">
        <v>124540.75998709917</v>
      </c>
      <c r="AC930">
        <v>113021.03150665044</v>
      </c>
      <c r="AD930">
        <v>237561.7914937496</v>
      </c>
      <c r="AE930">
        <v>1.095222010630978</v>
      </c>
      <c r="AF930" s="1" t="s">
        <v>2091</v>
      </c>
      <c r="AG930" s="1" t="s">
        <v>2092</v>
      </c>
      <c r="AH930" s="1" t="s">
        <v>2093</v>
      </c>
      <c r="AI930" s="1" t="str">
        <f>_xlfn.TEXTAFTER(_xlfn.TEXTBEFORE(batch_summary[[#This Row],[video]],"_",1),"-",3)</f>
        <v>20</v>
      </c>
      <c r="AJ930" s="1" t="str">
        <f>_xlfn.TEXTBEFORE(_xlfn.TEXTAFTER(batch_summary[[#This Row],[video]],"_",1),"_",1)</f>
        <v>20260407</v>
      </c>
      <c r="AK930" s="1" t="str">
        <f>_xlfn.TEXTBEFORE(_xlfn.TEXTAFTER(batch_summary[[#This Row],[video]],"_",2),".",1)</f>
        <v>130000</v>
      </c>
    </row>
    <row r="931" spans="1:37" x14ac:dyDescent="0.2">
      <c r="A931" s="1" t="s">
        <v>2094</v>
      </c>
      <c r="B931" s="1" t="s">
        <v>2095</v>
      </c>
      <c r="C931">
        <v>119.95833333333333</v>
      </c>
      <c r="D931">
        <v>2879</v>
      </c>
      <c r="E931">
        <v>0.27607708889991045</v>
      </c>
      <c r="F931">
        <v>43.347852809354663</v>
      </c>
      <c r="G931">
        <v>9.5893396630743465E-5</v>
      </c>
      <c r="H931">
        <v>1.5056565755246496E-2</v>
      </c>
      <c r="I931">
        <v>5</v>
      </c>
      <c r="J931" t="b">
        <v>1</v>
      </c>
      <c r="K931">
        <v>0.65</v>
      </c>
      <c r="L931">
        <v>1.3</v>
      </c>
      <c r="M931" t="b">
        <v>1</v>
      </c>
      <c r="N931">
        <v>200</v>
      </c>
      <c r="O931" t="b">
        <v>0</v>
      </c>
      <c r="P931" t="b">
        <v>0</v>
      </c>
      <c r="Q931">
        <v>0.7</v>
      </c>
      <c r="R931">
        <v>17431075.957247734</v>
      </c>
      <c r="S931">
        <v>18649159.768386841</v>
      </c>
      <c r="T931">
        <v>16238124.414985776</v>
      </c>
      <c r="U931">
        <v>17304806.194279671</v>
      </c>
      <c r="V931">
        <v>36080235.725634575</v>
      </c>
      <c r="W931">
        <v>33542930.609265447</v>
      </c>
      <c r="X931">
        <v>300773.06613936432</v>
      </c>
      <c r="Y931">
        <v>279621.51254684641</v>
      </c>
      <c r="Z931">
        <v>10452.183518066406</v>
      </c>
      <c r="AA931">
        <v>8385.7326523163611</v>
      </c>
      <c r="AB931">
        <v>162381.24414985775</v>
      </c>
      <c r="AC931">
        <v>173048.06194279672</v>
      </c>
      <c r="AD931">
        <v>335429.30609265447</v>
      </c>
      <c r="AE931">
        <v>1.0756435132614279</v>
      </c>
      <c r="AF931" s="1" t="s">
        <v>2096</v>
      </c>
      <c r="AG931" s="1" t="s">
        <v>2097</v>
      </c>
      <c r="AH931" s="1" t="s">
        <v>2098</v>
      </c>
      <c r="AI931" s="1" t="str">
        <f>_xlfn.TEXTAFTER(_xlfn.TEXTBEFORE(batch_summary[[#This Row],[video]],"_",1),"-",3)</f>
        <v>20</v>
      </c>
      <c r="AJ931" s="1" t="str">
        <f>_xlfn.TEXTBEFORE(_xlfn.TEXTAFTER(batch_summary[[#This Row],[video]],"_",1),"_",1)</f>
        <v>20260407</v>
      </c>
      <c r="AK931" s="1" t="str">
        <f>_xlfn.TEXTBEFORE(_xlfn.TEXTAFTER(batch_summary[[#This Row],[video]],"_",2),".",1)</f>
        <v>140000</v>
      </c>
    </row>
    <row r="932" spans="1:37" x14ac:dyDescent="0.2">
      <c r="A932" s="1" t="s">
        <v>2099</v>
      </c>
      <c r="B932" s="1" t="s">
        <v>2100</v>
      </c>
      <c r="C932">
        <v>119.95833333333333</v>
      </c>
      <c r="D932">
        <v>2879</v>
      </c>
      <c r="E932">
        <v>0.3098461702466011</v>
      </c>
      <c r="F932">
        <v>44.900353828445077</v>
      </c>
      <c r="G932">
        <v>1.0762284482341129E-4</v>
      </c>
      <c r="H932">
        <v>1.5595815848713121E-2</v>
      </c>
      <c r="I932">
        <v>5</v>
      </c>
      <c r="J932" t="b">
        <v>1</v>
      </c>
      <c r="K932">
        <v>0.65</v>
      </c>
      <c r="L932">
        <v>1.3</v>
      </c>
      <c r="M932" t="b">
        <v>1</v>
      </c>
      <c r="N932">
        <v>200</v>
      </c>
      <c r="O932" t="b">
        <v>0</v>
      </c>
      <c r="P932" t="b">
        <v>0</v>
      </c>
      <c r="Q932">
        <v>0.7</v>
      </c>
      <c r="R932">
        <v>4813530.9420052171</v>
      </c>
      <c r="S932">
        <v>6422854.7976040244</v>
      </c>
      <c r="T932">
        <v>3942475.4856508374</v>
      </c>
      <c r="U932">
        <v>5369667.7883301973</v>
      </c>
      <c r="V932">
        <v>11236385.739609241</v>
      </c>
      <c r="W932">
        <v>9312143.2739810348</v>
      </c>
      <c r="X932">
        <v>93669.071813345538</v>
      </c>
      <c r="Y932">
        <v>77628.148167955835</v>
      </c>
      <c r="Z932">
        <v>3964.4825505447388</v>
      </c>
      <c r="AA932">
        <v>2328.0358184952588</v>
      </c>
      <c r="AB932">
        <v>39424.754856508371</v>
      </c>
      <c r="AC932">
        <v>53696.677883301971</v>
      </c>
      <c r="AD932">
        <v>93121.432739810349</v>
      </c>
      <c r="AE932">
        <v>1.2066379789285151</v>
      </c>
      <c r="AF932" s="1" t="s">
        <v>2101</v>
      </c>
      <c r="AG932" s="1" t="s">
        <v>2102</v>
      </c>
      <c r="AH932" s="1" t="s">
        <v>2103</v>
      </c>
      <c r="AI932" s="1" t="str">
        <f>_xlfn.TEXTAFTER(_xlfn.TEXTBEFORE(batch_summary[[#This Row],[video]],"_",1),"-",3)</f>
        <v>20</v>
      </c>
      <c r="AJ932" s="1" t="str">
        <f>_xlfn.TEXTBEFORE(_xlfn.TEXTAFTER(batch_summary[[#This Row],[video]],"_",1),"_",1)</f>
        <v>20260407</v>
      </c>
      <c r="AK932" s="1" t="str">
        <f>_xlfn.TEXTBEFORE(_xlfn.TEXTAFTER(batch_summary[[#This Row],[video]],"_",2),".",1)</f>
        <v>150000</v>
      </c>
    </row>
    <row r="933" spans="1:37" x14ac:dyDescent="0.2">
      <c r="A933" s="1" t="s">
        <v>2104</v>
      </c>
      <c r="B933" s="1" t="s">
        <v>2105</v>
      </c>
      <c r="C933">
        <v>119.95833333333333</v>
      </c>
      <c r="D933">
        <v>2879</v>
      </c>
      <c r="E933">
        <v>0.27596053015440702</v>
      </c>
      <c r="F933">
        <v>43.580077532678843</v>
      </c>
      <c r="G933">
        <v>9.5852910786525534E-5</v>
      </c>
      <c r="H933">
        <v>1.5137227347231276E-2</v>
      </c>
      <c r="I933">
        <v>5</v>
      </c>
      <c r="J933" t="b">
        <v>1</v>
      </c>
      <c r="K933">
        <v>0.65</v>
      </c>
      <c r="L933">
        <v>1.3</v>
      </c>
      <c r="M933" t="b">
        <v>1</v>
      </c>
      <c r="N933">
        <v>200</v>
      </c>
      <c r="O933" t="b">
        <v>0</v>
      </c>
      <c r="P933" t="b">
        <v>0</v>
      </c>
      <c r="Q933">
        <v>0.7</v>
      </c>
      <c r="R933">
        <v>15140010.747244358</v>
      </c>
      <c r="S933">
        <v>16374597.43154335</v>
      </c>
      <c r="T933">
        <v>14240311.866716266</v>
      </c>
      <c r="U933">
        <v>15384724.167435944</v>
      </c>
      <c r="V933">
        <v>31514608.178787708</v>
      </c>
      <c r="W933">
        <v>29625036.03415221</v>
      </c>
      <c r="X933">
        <v>262712.9545991334</v>
      </c>
      <c r="Y933">
        <v>246961.05064941058</v>
      </c>
      <c r="Z933">
        <v>11027.399792785644</v>
      </c>
      <c r="AA933">
        <v>7406.2590085380525</v>
      </c>
      <c r="AB933">
        <v>142403.11866716266</v>
      </c>
      <c r="AC933">
        <v>153847.24167435945</v>
      </c>
      <c r="AD933">
        <v>296250.36034152214</v>
      </c>
      <c r="AE933">
        <v>1.0637829483973342</v>
      </c>
      <c r="AF933" s="1" t="s">
        <v>2106</v>
      </c>
      <c r="AG933" s="1" t="s">
        <v>2107</v>
      </c>
      <c r="AH933" s="1" t="s">
        <v>2108</v>
      </c>
      <c r="AI933" s="1" t="str">
        <f>_xlfn.TEXTAFTER(_xlfn.TEXTBEFORE(batch_summary[[#This Row],[video]],"_",1),"-",3)</f>
        <v>20</v>
      </c>
      <c r="AJ933" s="1" t="str">
        <f>_xlfn.TEXTBEFORE(_xlfn.TEXTAFTER(batch_summary[[#This Row],[video]],"_",1),"_",1)</f>
        <v>20260407</v>
      </c>
      <c r="AK933" s="1" t="str">
        <f>_xlfn.TEXTBEFORE(_xlfn.TEXTAFTER(batch_summary[[#This Row],[video]],"_",2),".",1)</f>
        <v>160000</v>
      </c>
    </row>
    <row r="934" spans="1:37" x14ac:dyDescent="0.2">
      <c r="A934" s="1" t="s">
        <v>2109</v>
      </c>
      <c r="B934" s="1" t="s">
        <v>2110</v>
      </c>
      <c r="C934">
        <v>119.95833333333333</v>
      </c>
      <c r="D934">
        <v>2879</v>
      </c>
      <c r="E934">
        <v>0.29645850881934166</v>
      </c>
      <c r="F934">
        <v>44.283805988729</v>
      </c>
      <c r="G934">
        <v>1.0297273665138647E-4</v>
      </c>
      <c r="H934">
        <v>1.5381662378856895E-2</v>
      </c>
      <c r="I934">
        <v>5</v>
      </c>
      <c r="J934" t="b">
        <v>1</v>
      </c>
      <c r="K934">
        <v>0.65</v>
      </c>
      <c r="L934">
        <v>1.3</v>
      </c>
      <c r="M934" t="b">
        <v>1</v>
      </c>
      <c r="N934">
        <v>200</v>
      </c>
      <c r="O934" t="b">
        <v>0</v>
      </c>
      <c r="P934" t="b">
        <v>0</v>
      </c>
      <c r="Q934">
        <v>0.7</v>
      </c>
      <c r="R934">
        <v>12532744.128879309</v>
      </c>
      <c r="S934">
        <v>11993699.145139456</v>
      </c>
      <c r="T934">
        <v>11591300.085526347</v>
      </c>
      <c r="U934">
        <v>11052832.439604998</v>
      </c>
      <c r="V934">
        <v>24526443.274018764</v>
      </c>
      <c r="W934">
        <v>22644132.525131345</v>
      </c>
      <c r="X934">
        <v>204458.01965142423</v>
      </c>
      <c r="Y934">
        <v>188766.64835121649</v>
      </c>
      <c r="Z934">
        <v>9388.1952465820304</v>
      </c>
      <c r="AA934">
        <v>5661.0331312828366</v>
      </c>
      <c r="AB934">
        <v>115913.00085526347</v>
      </c>
      <c r="AC934">
        <v>110528.32439604998</v>
      </c>
      <c r="AD934">
        <v>226441.32525131345</v>
      </c>
      <c r="AE934">
        <v>1.0831257610243341</v>
      </c>
      <c r="AF934" s="1" t="s">
        <v>2111</v>
      </c>
      <c r="AG934" s="1" t="s">
        <v>2112</v>
      </c>
      <c r="AH934" s="1" t="s">
        <v>2113</v>
      </c>
      <c r="AI934" s="1" t="str">
        <f>_xlfn.TEXTAFTER(_xlfn.TEXTBEFORE(batch_summary[[#This Row],[video]],"_",1),"-",3)</f>
        <v>20</v>
      </c>
      <c r="AJ934" s="1" t="str">
        <f>_xlfn.TEXTBEFORE(_xlfn.TEXTAFTER(batch_summary[[#This Row],[video]],"_",1),"_",1)</f>
        <v>20260407</v>
      </c>
      <c r="AK934" s="1" t="str">
        <f>_xlfn.TEXTBEFORE(_xlfn.TEXTAFTER(batch_summary[[#This Row],[video]],"_",2),".",1)</f>
        <v>170000</v>
      </c>
    </row>
    <row r="935" spans="1:37" x14ac:dyDescent="0.2">
      <c r="A935" s="1" t="s">
        <v>2114</v>
      </c>
      <c r="B935" s="1" t="s">
        <v>2115</v>
      </c>
      <c r="C935">
        <v>119.95833333333333</v>
      </c>
      <c r="D935">
        <v>2879</v>
      </c>
      <c r="E935">
        <v>0.30140086077153683</v>
      </c>
      <c r="F935">
        <v>44.422731682658195</v>
      </c>
      <c r="G935">
        <v>1.0468942715232263E-4</v>
      </c>
      <c r="H935">
        <v>1.5429917222180687E-2</v>
      </c>
      <c r="I935">
        <v>5</v>
      </c>
      <c r="J935" t="b">
        <v>1</v>
      </c>
      <c r="K935">
        <v>0.65</v>
      </c>
      <c r="L935">
        <v>1.3</v>
      </c>
      <c r="M935" t="b">
        <v>1</v>
      </c>
      <c r="N935">
        <v>200</v>
      </c>
      <c r="O935" t="b">
        <v>0</v>
      </c>
      <c r="P935" t="b">
        <v>0</v>
      </c>
      <c r="Q935">
        <v>0.7</v>
      </c>
      <c r="R935">
        <v>7519391.8258464932</v>
      </c>
      <c r="S935">
        <v>6646952.6911385059</v>
      </c>
      <c r="T935">
        <v>6883305.701646328</v>
      </c>
      <c r="U935">
        <v>6024698.4813610315</v>
      </c>
      <c r="V935">
        <v>14166344.516984999</v>
      </c>
      <c r="W935">
        <v>12908004.18300736</v>
      </c>
      <c r="X935">
        <v>118093.87579285863</v>
      </c>
      <c r="Y935">
        <v>107604.06404729998</v>
      </c>
      <c r="Z935">
        <v>5641.1202722167964</v>
      </c>
      <c r="AA935">
        <v>3227.0010457518397</v>
      </c>
      <c r="AB935">
        <v>68833.057016463281</v>
      </c>
      <c r="AC935">
        <v>60246.984813610317</v>
      </c>
      <c r="AD935">
        <v>129080.04183007361</v>
      </c>
      <c r="AE935">
        <v>1.0974852747285417</v>
      </c>
      <c r="AF935" s="1" t="s">
        <v>2116</v>
      </c>
      <c r="AG935" s="1" t="s">
        <v>2117</v>
      </c>
      <c r="AH935" s="1" t="s">
        <v>2118</v>
      </c>
      <c r="AI935" s="1" t="str">
        <f>_xlfn.TEXTAFTER(_xlfn.TEXTBEFORE(batch_summary[[#This Row],[video]],"_",1),"-",3)</f>
        <v>20</v>
      </c>
      <c r="AJ935" s="1" t="str">
        <f>_xlfn.TEXTBEFORE(_xlfn.TEXTAFTER(batch_summary[[#This Row],[video]],"_",1),"_",1)</f>
        <v>20260407</v>
      </c>
      <c r="AK935" s="1" t="str">
        <f>_xlfn.TEXTBEFORE(_xlfn.TEXTAFTER(batch_summary[[#This Row],[video]],"_",2),".",1)</f>
        <v>180000</v>
      </c>
    </row>
    <row r="936" spans="1:37" x14ac:dyDescent="0.2">
      <c r="A936" s="1" t="s">
        <v>2119</v>
      </c>
      <c r="B936" s="1" t="s">
        <v>2120</v>
      </c>
      <c r="C936">
        <v>119.95833333333333</v>
      </c>
      <c r="D936">
        <v>2879</v>
      </c>
      <c r="E936">
        <v>0.33536976017057896</v>
      </c>
      <c r="F936">
        <v>44.895072630606592</v>
      </c>
      <c r="G936">
        <v>1.164882807122539E-4</v>
      </c>
      <c r="H936">
        <v>1.5593981462523998E-2</v>
      </c>
      <c r="I936">
        <v>5</v>
      </c>
      <c r="J936" t="b">
        <v>1</v>
      </c>
      <c r="K936">
        <v>0.65</v>
      </c>
      <c r="L936">
        <v>1.3</v>
      </c>
      <c r="M936" t="b">
        <v>1</v>
      </c>
      <c r="N936">
        <v>200</v>
      </c>
      <c r="O936" t="b">
        <v>0</v>
      </c>
      <c r="P936" t="b">
        <v>0</v>
      </c>
      <c r="Q936">
        <v>0.7</v>
      </c>
      <c r="R936">
        <v>1066833.5324965119</v>
      </c>
      <c r="S936">
        <v>615434.10210436583</v>
      </c>
      <c r="T936">
        <v>763324.73064851761</v>
      </c>
      <c r="U936">
        <v>368915.47623795271</v>
      </c>
      <c r="V936">
        <v>1682267.6346008778</v>
      </c>
      <c r="W936">
        <v>1132240.2068864703</v>
      </c>
      <c r="X936">
        <v>14023.766318312284</v>
      </c>
      <c r="Y936">
        <v>9438.6123533432747</v>
      </c>
      <c r="Z936">
        <v>1434.1429716968537</v>
      </c>
      <c r="AA936">
        <v>283.06005172161758</v>
      </c>
      <c r="AB936">
        <v>7633.2473064851765</v>
      </c>
      <c r="AC936">
        <v>3689.1547623795273</v>
      </c>
      <c r="AD936">
        <v>11322.402068864703</v>
      </c>
      <c r="AE936">
        <v>1.485786871345012</v>
      </c>
      <c r="AF936" s="1" t="s">
        <v>2121</v>
      </c>
      <c r="AG936" s="1" t="s">
        <v>2122</v>
      </c>
      <c r="AH936" s="1" t="s">
        <v>2123</v>
      </c>
      <c r="AI936" s="1" t="str">
        <f>_xlfn.TEXTAFTER(_xlfn.TEXTBEFORE(batch_summary[[#This Row],[video]],"_",1),"-",3)</f>
        <v>20</v>
      </c>
      <c r="AJ936" s="1" t="str">
        <f>_xlfn.TEXTBEFORE(_xlfn.TEXTAFTER(batch_summary[[#This Row],[video]],"_",1),"_",1)</f>
        <v>20260407</v>
      </c>
      <c r="AK936" s="1" t="str">
        <f>_xlfn.TEXTBEFORE(_xlfn.TEXTAFTER(batch_summary[[#This Row],[video]],"_",2),".",1)</f>
        <v>190000</v>
      </c>
    </row>
    <row r="937" spans="1:37" x14ac:dyDescent="0.2">
      <c r="A937" s="1" t="s">
        <v>2124</v>
      </c>
      <c r="B937" s="1" t="s">
        <v>2125</v>
      </c>
      <c r="C937">
        <v>119.95833333333333</v>
      </c>
      <c r="D937">
        <v>2879</v>
      </c>
      <c r="E937">
        <v>0.32496705092489719</v>
      </c>
      <c r="F937">
        <v>43.794830073602498</v>
      </c>
      <c r="G937">
        <v>1.1287497427054436E-4</v>
      </c>
      <c r="H937">
        <v>1.5211820101980722E-2</v>
      </c>
      <c r="I937">
        <v>5</v>
      </c>
      <c r="J937" t="b">
        <v>1</v>
      </c>
      <c r="K937">
        <v>0.65</v>
      </c>
      <c r="L937">
        <v>1.3</v>
      </c>
      <c r="M937" t="b">
        <v>1</v>
      </c>
      <c r="N937">
        <v>200</v>
      </c>
      <c r="O937" t="b">
        <v>0</v>
      </c>
      <c r="P937" t="b">
        <v>0</v>
      </c>
      <c r="Q937">
        <v>0.7</v>
      </c>
      <c r="R937">
        <v>230393.43091744184</v>
      </c>
      <c r="S937">
        <v>253393.24955832958</v>
      </c>
      <c r="T937">
        <v>105810.4623054266</v>
      </c>
      <c r="U937">
        <v>109490.8613499403</v>
      </c>
      <c r="V937">
        <v>483786.68047577143</v>
      </c>
      <c r="W937">
        <v>215301.3236553669</v>
      </c>
      <c r="X937">
        <v>4032.9560025767678</v>
      </c>
      <c r="Y937">
        <v>1794.8008918821834</v>
      </c>
      <c r="Z937">
        <v>372.43414703369137</v>
      </c>
      <c r="AA937">
        <v>53.825330913841732</v>
      </c>
      <c r="AB937">
        <v>1058.1046230542661</v>
      </c>
      <c r="AC937">
        <v>1094.9086134994029</v>
      </c>
      <c r="AD937">
        <v>2153.0132365536692</v>
      </c>
      <c r="AE937">
        <v>2.2470213943048924</v>
      </c>
      <c r="AF937" s="1" t="s">
        <v>2126</v>
      </c>
      <c r="AG937" s="1" t="s">
        <v>2127</v>
      </c>
      <c r="AH937" s="1" t="s">
        <v>2128</v>
      </c>
      <c r="AI937" s="1" t="str">
        <f>_xlfn.TEXTAFTER(_xlfn.TEXTBEFORE(batch_summary[[#This Row],[video]],"_",1),"-",3)</f>
        <v>20</v>
      </c>
      <c r="AJ937" s="1" t="str">
        <f>_xlfn.TEXTBEFORE(_xlfn.TEXTAFTER(batch_summary[[#This Row],[video]],"_",1),"_",1)</f>
        <v>20260408</v>
      </c>
      <c r="AK937" s="1" t="str">
        <f>_xlfn.TEXTBEFORE(_xlfn.TEXTAFTER(batch_summary[[#This Row],[video]],"_",2),".",1)</f>
        <v>060000</v>
      </c>
    </row>
    <row r="938" spans="1:37" x14ac:dyDescent="0.2">
      <c r="A938" s="1" t="s">
        <v>2129</v>
      </c>
      <c r="B938" s="1" t="s">
        <v>2130</v>
      </c>
      <c r="C938">
        <v>119.95833333333333</v>
      </c>
      <c r="D938">
        <v>2879</v>
      </c>
      <c r="E938">
        <v>0.31860372330993414</v>
      </c>
      <c r="F938">
        <v>43.420692677609622</v>
      </c>
      <c r="G938">
        <v>1.1066471806527758E-4</v>
      </c>
      <c r="H938">
        <v>1.5081866161031477E-2</v>
      </c>
      <c r="I938">
        <v>5</v>
      </c>
      <c r="J938" t="b">
        <v>1</v>
      </c>
      <c r="K938">
        <v>0.65</v>
      </c>
      <c r="L938">
        <v>1.3</v>
      </c>
      <c r="M938" t="b">
        <v>1</v>
      </c>
      <c r="N938">
        <v>200</v>
      </c>
      <c r="O938" t="b">
        <v>0</v>
      </c>
      <c r="P938" t="b">
        <v>0</v>
      </c>
      <c r="Q938">
        <v>0.7</v>
      </c>
      <c r="R938">
        <v>20033.067570209503</v>
      </c>
      <c r="S938">
        <v>22556.984412372112</v>
      </c>
      <c r="T938">
        <v>0</v>
      </c>
      <c r="U938">
        <v>515.916015625</v>
      </c>
      <c r="V938">
        <v>42590.051982581615</v>
      </c>
      <c r="W938">
        <v>515.916015625</v>
      </c>
      <c r="X938">
        <v>355.04037776379255</v>
      </c>
      <c r="Y938">
        <v>4.300793461271275</v>
      </c>
      <c r="Z938">
        <v>5.1591601562499996</v>
      </c>
      <c r="AA938">
        <v>0.12897900390625</v>
      </c>
      <c r="AB938">
        <v>0</v>
      </c>
      <c r="AC938">
        <v>5.1591601562499996</v>
      </c>
      <c r="AD938">
        <v>5.1591601562499996</v>
      </c>
      <c r="AE938">
        <v>82.552296677563746</v>
      </c>
      <c r="AF938" s="1" t="s">
        <v>2131</v>
      </c>
      <c r="AG938" s="1" t="s">
        <v>2132</v>
      </c>
      <c r="AH938" s="1" t="s">
        <v>2133</v>
      </c>
      <c r="AI938" s="1" t="str">
        <f>_xlfn.TEXTAFTER(_xlfn.TEXTBEFORE(batch_summary[[#This Row],[video]],"_",1),"-",3)</f>
        <v>20</v>
      </c>
      <c r="AJ938" s="1" t="str">
        <f>_xlfn.TEXTBEFORE(_xlfn.TEXTAFTER(batch_summary[[#This Row],[video]],"_",1),"_",1)</f>
        <v>20260408</v>
      </c>
      <c r="AK938" s="1" t="str">
        <f>_xlfn.TEXTBEFORE(_xlfn.TEXTAFTER(batch_summary[[#This Row],[video]],"_",2),".",1)</f>
        <v>070000</v>
      </c>
    </row>
    <row r="939" spans="1:37" x14ac:dyDescent="0.2">
      <c r="A939" s="1" t="s">
        <v>2134</v>
      </c>
      <c r="B939" s="1" t="s">
        <v>2135</v>
      </c>
      <c r="C939">
        <v>119.95833333333333</v>
      </c>
      <c r="D939">
        <v>2879</v>
      </c>
      <c r="E939">
        <v>0.34169637411832809</v>
      </c>
      <c r="F939">
        <v>44.648980812169611</v>
      </c>
      <c r="G939">
        <v>1.1868578468854745E-4</v>
      </c>
      <c r="H939">
        <v>1.5508503234515322E-2</v>
      </c>
      <c r="I939">
        <v>5</v>
      </c>
      <c r="J939" t="b">
        <v>1</v>
      </c>
      <c r="K939">
        <v>0.65</v>
      </c>
      <c r="L939">
        <v>1.3</v>
      </c>
      <c r="M939" t="b">
        <v>1</v>
      </c>
      <c r="N939">
        <v>200</v>
      </c>
      <c r="O939" t="b">
        <v>0</v>
      </c>
      <c r="P939" t="b">
        <v>0</v>
      </c>
      <c r="Q939">
        <v>0.7</v>
      </c>
      <c r="R939">
        <v>883994.62109363079</v>
      </c>
      <c r="S939">
        <v>788683.60565930605</v>
      </c>
      <c r="T939">
        <v>721273.25983524323</v>
      </c>
      <c r="U939">
        <v>609140.25103664398</v>
      </c>
      <c r="V939">
        <v>1672678.2267529368</v>
      </c>
      <c r="W939">
        <v>1330413.5108718872</v>
      </c>
      <c r="X939">
        <v>13943.826829479154</v>
      </c>
      <c r="Y939">
        <v>11090.63017051938</v>
      </c>
      <c r="Z939">
        <v>1119.7861328125</v>
      </c>
      <c r="AA939">
        <v>332.6033777179718</v>
      </c>
      <c r="AB939">
        <v>7212.7325983524324</v>
      </c>
      <c r="AC939">
        <v>6091.4025103664399</v>
      </c>
      <c r="AD939">
        <v>13304.135108718872</v>
      </c>
      <c r="AE939">
        <v>1.2572619062300008</v>
      </c>
      <c r="AF939" s="1" t="s">
        <v>2136</v>
      </c>
      <c r="AG939" s="1" t="s">
        <v>2137</v>
      </c>
      <c r="AH939" s="1" t="s">
        <v>2138</v>
      </c>
      <c r="AI939" s="1" t="str">
        <f>_xlfn.TEXTAFTER(_xlfn.TEXTBEFORE(batch_summary[[#This Row],[video]],"_",1),"-",3)</f>
        <v>20</v>
      </c>
      <c r="AJ939" s="1" t="str">
        <f>_xlfn.TEXTBEFORE(_xlfn.TEXTAFTER(batch_summary[[#This Row],[video]],"_",1),"_",1)</f>
        <v>20260408</v>
      </c>
      <c r="AK939" s="1" t="str">
        <f>_xlfn.TEXTBEFORE(_xlfn.TEXTAFTER(batch_summary[[#This Row],[video]],"_",2),".",1)</f>
        <v>080000</v>
      </c>
    </row>
    <row r="940" spans="1:37" x14ac:dyDescent="0.2">
      <c r="A940" s="1" t="s">
        <v>2139</v>
      </c>
      <c r="B940" s="1" t="s">
        <v>2140</v>
      </c>
      <c r="C940">
        <v>119.95833333333333</v>
      </c>
      <c r="D940">
        <v>2879</v>
      </c>
      <c r="E940">
        <v>0.34180691093206406</v>
      </c>
      <c r="F940">
        <v>44.250326228328049</v>
      </c>
      <c r="G940">
        <v>1.1872417885795904E-4</v>
      </c>
      <c r="H940">
        <v>1.5370033424219538E-2</v>
      </c>
      <c r="I940">
        <v>5</v>
      </c>
      <c r="J940" t="b">
        <v>1</v>
      </c>
      <c r="K940">
        <v>0.65</v>
      </c>
      <c r="L940">
        <v>1.3</v>
      </c>
      <c r="M940" t="b">
        <v>1</v>
      </c>
      <c r="N940">
        <v>200</v>
      </c>
      <c r="O940" t="b">
        <v>0</v>
      </c>
      <c r="P940" t="b">
        <v>0</v>
      </c>
      <c r="Q940">
        <v>0.7</v>
      </c>
      <c r="R940">
        <v>1662076.2801557779</v>
      </c>
      <c r="S940">
        <v>1966064.511854589</v>
      </c>
      <c r="T940">
        <v>1386176.7420882583</v>
      </c>
      <c r="U940">
        <v>1647848.4969286323</v>
      </c>
      <c r="V940">
        <v>3628140.7920103669</v>
      </c>
      <c r="W940">
        <v>3034025.2390168905</v>
      </c>
      <c r="X940">
        <v>30245.008339093023</v>
      </c>
      <c r="Y940">
        <v>25292.325716014373</v>
      </c>
      <c r="Z940">
        <v>3289.8411489677428</v>
      </c>
      <c r="AA940">
        <v>758.50630975422268</v>
      </c>
      <c r="AB940">
        <v>13861.767420882583</v>
      </c>
      <c r="AC940">
        <v>16478.484969286321</v>
      </c>
      <c r="AD940">
        <v>30340.252390168906</v>
      </c>
      <c r="AE940">
        <v>1.1958176040704218</v>
      </c>
      <c r="AF940" s="1" t="s">
        <v>2141</v>
      </c>
      <c r="AG940" s="1" t="s">
        <v>2142</v>
      </c>
      <c r="AH940" s="1" t="s">
        <v>2143</v>
      </c>
      <c r="AI940" s="1" t="str">
        <f>_xlfn.TEXTAFTER(_xlfn.TEXTBEFORE(batch_summary[[#This Row],[video]],"_",1),"-",3)</f>
        <v>20</v>
      </c>
      <c r="AJ940" s="1" t="str">
        <f>_xlfn.TEXTBEFORE(_xlfn.TEXTAFTER(batch_summary[[#This Row],[video]],"_",1),"_",1)</f>
        <v>20260408</v>
      </c>
      <c r="AK940" s="1" t="str">
        <f>_xlfn.TEXTBEFORE(_xlfn.TEXTAFTER(batch_summary[[#This Row],[video]],"_",2),".",1)</f>
        <v>090000</v>
      </c>
    </row>
    <row r="941" spans="1:37" x14ac:dyDescent="0.2">
      <c r="A941" s="1" t="s">
        <v>2144</v>
      </c>
      <c r="B941" s="1" t="s">
        <v>2145</v>
      </c>
      <c r="C941">
        <v>119.95833333333333</v>
      </c>
      <c r="D941">
        <v>2879</v>
      </c>
      <c r="E941">
        <v>0.30340108368545771</v>
      </c>
      <c r="F941">
        <v>44.264004210010171</v>
      </c>
      <c r="G941">
        <v>1.0538419023461539E-4</v>
      </c>
      <c r="H941">
        <v>1.5374784373049729E-2</v>
      </c>
      <c r="I941">
        <v>5</v>
      </c>
      <c r="J941" t="b">
        <v>1</v>
      </c>
      <c r="K941">
        <v>0.65</v>
      </c>
      <c r="L941">
        <v>1.3</v>
      </c>
      <c r="M941" t="b">
        <v>1</v>
      </c>
      <c r="N941">
        <v>200</v>
      </c>
      <c r="O941" t="b">
        <v>0</v>
      </c>
      <c r="P941" t="b">
        <v>0</v>
      </c>
      <c r="Q941">
        <v>0.7</v>
      </c>
      <c r="R941">
        <v>10192646.378764629</v>
      </c>
      <c r="S941">
        <v>12411742.619662702</v>
      </c>
      <c r="T941">
        <v>9143343.5581635833</v>
      </c>
      <c r="U941">
        <v>11248057.71691978</v>
      </c>
      <c r="V941">
        <v>22604388.998427331</v>
      </c>
      <c r="W941">
        <v>20391401.275083363</v>
      </c>
      <c r="X941">
        <v>188435.33725677527</v>
      </c>
      <c r="Y941">
        <v>169987.36735046917</v>
      </c>
      <c r="Z941">
        <v>9436.8112735718496</v>
      </c>
      <c r="AA941">
        <v>5097.8503187708411</v>
      </c>
      <c r="AB941">
        <v>91433.435581635829</v>
      </c>
      <c r="AC941">
        <v>112480.5771691978</v>
      </c>
      <c r="AD941">
        <v>203914.01275083364</v>
      </c>
      <c r="AE941">
        <v>1.1085255345373473</v>
      </c>
      <c r="AF941" s="1" t="s">
        <v>2146</v>
      </c>
      <c r="AG941" s="1" t="s">
        <v>2147</v>
      </c>
      <c r="AH941" s="1" t="s">
        <v>2148</v>
      </c>
      <c r="AI941" s="1" t="str">
        <f>_xlfn.TEXTAFTER(_xlfn.TEXTBEFORE(batch_summary[[#This Row],[video]],"_",1),"-",3)</f>
        <v>20</v>
      </c>
      <c r="AJ941" s="1" t="str">
        <f>_xlfn.TEXTBEFORE(_xlfn.TEXTAFTER(batch_summary[[#This Row],[video]],"_",1),"_",1)</f>
        <v>20260408</v>
      </c>
      <c r="AK941" s="1" t="str">
        <f>_xlfn.TEXTBEFORE(_xlfn.TEXTAFTER(batch_summary[[#This Row],[video]],"_",2),".",1)</f>
        <v>100000</v>
      </c>
    </row>
    <row r="942" spans="1:37" x14ac:dyDescent="0.2">
      <c r="A942" s="1" t="s">
        <v>2149</v>
      </c>
      <c r="B942" s="1" t="s">
        <v>2150</v>
      </c>
      <c r="C942">
        <v>119.95833333333333</v>
      </c>
      <c r="D942">
        <v>2879</v>
      </c>
      <c r="E942">
        <v>0.29645883664488792</v>
      </c>
      <c r="F942">
        <v>43.912478995509446</v>
      </c>
      <c r="G942">
        <v>1.029728505192386E-4</v>
      </c>
      <c r="H942">
        <v>1.5252684611152985E-2</v>
      </c>
      <c r="I942">
        <v>5</v>
      </c>
      <c r="J942" t="b">
        <v>1</v>
      </c>
      <c r="K942">
        <v>0.65</v>
      </c>
      <c r="L942">
        <v>1.3</v>
      </c>
      <c r="M942" t="b">
        <v>1</v>
      </c>
      <c r="N942">
        <v>200</v>
      </c>
      <c r="O942" t="b">
        <v>0</v>
      </c>
      <c r="P942" t="b">
        <v>0</v>
      </c>
      <c r="Q942">
        <v>0.7</v>
      </c>
      <c r="R942">
        <v>19123130.650899351</v>
      </c>
      <c r="S942">
        <v>19835450.907830238</v>
      </c>
      <c r="T942">
        <v>17873539.291422546</v>
      </c>
      <c r="U942">
        <v>18530919.508089304</v>
      </c>
      <c r="V942">
        <v>38958581.558729589</v>
      </c>
      <c r="W942">
        <v>36404458.79951185</v>
      </c>
      <c r="X942">
        <v>324767.61285498791</v>
      </c>
      <c r="Y942">
        <v>303475.86355966807</v>
      </c>
      <c r="Z942">
        <v>13288.644743652345</v>
      </c>
      <c r="AA942">
        <v>9101.1146998779623</v>
      </c>
      <c r="AB942">
        <v>178735.39291422546</v>
      </c>
      <c r="AC942">
        <v>185309.19508089303</v>
      </c>
      <c r="AD942">
        <v>364044.58799511846</v>
      </c>
      <c r="AE942">
        <v>1.0701596135045959</v>
      </c>
      <c r="AF942" s="1" t="s">
        <v>2151</v>
      </c>
      <c r="AG942" s="1" t="s">
        <v>2152</v>
      </c>
      <c r="AH942" s="1" t="s">
        <v>2153</v>
      </c>
      <c r="AI942" s="1" t="str">
        <f>_xlfn.TEXTAFTER(_xlfn.TEXTBEFORE(batch_summary[[#This Row],[video]],"_",1),"-",3)</f>
        <v>20</v>
      </c>
      <c r="AJ942" s="1" t="str">
        <f>_xlfn.TEXTBEFORE(_xlfn.TEXTAFTER(batch_summary[[#This Row],[video]],"_",1),"_",1)</f>
        <v>20260408</v>
      </c>
      <c r="AK942" s="1" t="str">
        <f>_xlfn.TEXTBEFORE(_xlfn.TEXTAFTER(batch_summary[[#This Row],[video]],"_",2),".",1)</f>
        <v>110000</v>
      </c>
    </row>
    <row r="943" spans="1:37" x14ac:dyDescent="0.2">
      <c r="A943" s="1" t="s">
        <v>2154</v>
      </c>
      <c r="B943" s="1" t="s">
        <v>2155</v>
      </c>
      <c r="C943">
        <v>119.95833333333333</v>
      </c>
      <c r="D943">
        <v>2879</v>
      </c>
      <c r="E943">
        <v>0.27308208774775267</v>
      </c>
      <c r="F943">
        <v>43.444906573742628</v>
      </c>
      <c r="G943">
        <v>9.4853104462574734E-5</v>
      </c>
      <c r="H943">
        <v>1.5090276684175974E-2</v>
      </c>
      <c r="I943">
        <v>5</v>
      </c>
      <c r="J943" t="b">
        <v>1</v>
      </c>
      <c r="K943">
        <v>0.65</v>
      </c>
      <c r="L943">
        <v>1.3</v>
      </c>
      <c r="M943" t="b">
        <v>1</v>
      </c>
      <c r="N943">
        <v>200</v>
      </c>
      <c r="O943" t="b">
        <v>0</v>
      </c>
      <c r="P943" t="b">
        <v>0</v>
      </c>
      <c r="Q943">
        <v>0.7</v>
      </c>
      <c r="R943">
        <v>21591608.099552155</v>
      </c>
      <c r="S943">
        <v>21731227.103771687</v>
      </c>
      <c r="T943">
        <v>20379638.762788773</v>
      </c>
      <c r="U943">
        <v>20553951.095636606</v>
      </c>
      <c r="V943">
        <v>43322835.203323841</v>
      </c>
      <c r="W943">
        <v>40933589.858425379</v>
      </c>
      <c r="X943">
        <v>361149.02566160896</v>
      </c>
      <c r="Y943">
        <v>341231.73206051032</v>
      </c>
      <c r="Z943">
        <v>13698.402983398439</v>
      </c>
      <c r="AA943">
        <v>10233.397464606345</v>
      </c>
      <c r="AB943">
        <v>203796.38762788771</v>
      </c>
      <c r="AC943">
        <v>205539.51095636605</v>
      </c>
      <c r="AD943">
        <v>409335.89858425374</v>
      </c>
      <c r="AE943">
        <v>1.05836882015875</v>
      </c>
      <c r="AF943" s="1" t="s">
        <v>2156</v>
      </c>
      <c r="AG943" s="1" t="s">
        <v>2157</v>
      </c>
      <c r="AH943" s="1" t="s">
        <v>2158</v>
      </c>
      <c r="AI943" s="1" t="str">
        <f>_xlfn.TEXTAFTER(_xlfn.TEXTBEFORE(batch_summary[[#This Row],[video]],"_",1),"-",3)</f>
        <v>20</v>
      </c>
      <c r="AJ943" s="1" t="str">
        <f>_xlfn.TEXTBEFORE(_xlfn.TEXTAFTER(batch_summary[[#This Row],[video]],"_",1),"_",1)</f>
        <v>20260408</v>
      </c>
      <c r="AK943" s="1" t="str">
        <f>_xlfn.TEXTBEFORE(_xlfn.TEXTAFTER(batch_summary[[#This Row],[video]],"_",2),".",1)</f>
        <v>120000</v>
      </c>
    </row>
    <row r="944" spans="1:37" x14ac:dyDescent="0.2">
      <c r="A944" s="1" t="s">
        <v>2159</v>
      </c>
      <c r="B944" s="1" t="s">
        <v>2160</v>
      </c>
      <c r="C944">
        <v>119.95833333333333</v>
      </c>
      <c r="D944">
        <v>2879</v>
      </c>
      <c r="E944">
        <v>0.28016053233295679</v>
      </c>
      <c r="F944">
        <v>43.382827733643353</v>
      </c>
      <c r="G944">
        <v>9.7311751418185761E-5</v>
      </c>
      <c r="H944">
        <v>1.5068714044336002E-2</v>
      </c>
      <c r="I944">
        <v>5</v>
      </c>
      <c r="J944" t="b">
        <v>1</v>
      </c>
      <c r="K944">
        <v>0.65</v>
      </c>
      <c r="L944">
        <v>1.3</v>
      </c>
      <c r="M944" t="b">
        <v>1</v>
      </c>
      <c r="N944">
        <v>200</v>
      </c>
      <c r="O944" t="b">
        <v>0</v>
      </c>
      <c r="P944" t="b">
        <v>0</v>
      </c>
      <c r="Q944">
        <v>0.7</v>
      </c>
      <c r="R944">
        <v>25297490.619392395</v>
      </c>
      <c r="S944">
        <v>27146774.316115379</v>
      </c>
      <c r="T944">
        <v>24250311.915763855</v>
      </c>
      <c r="U944">
        <v>26063296.627381802</v>
      </c>
      <c r="V944">
        <v>52444264.935507774</v>
      </c>
      <c r="W944">
        <v>50313608.543145657</v>
      </c>
      <c r="X944">
        <v>437187.34228974872</v>
      </c>
      <c r="Y944">
        <v>419425.70511826879</v>
      </c>
      <c r="Z944">
        <v>16355.822563476562</v>
      </c>
      <c r="AA944">
        <v>12578.402135786415</v>
      </c>
      <c r="AB944">
        <v>242503.11915763855</v>
      </c>
      <c r="AC944">
        <v>260632.96627381802</v>
      </c>
      <c r="AD944">
        <v>503136.08543145657</v>
      </c>
      <c r="AE944">
        <v>1.0423475169850918</v>
      </c>
      <c r="AF944" s="1" t="s">
        <v>2161</v>
      </c>
      <c r="AG944" s="1" t="s">
        <v>2162</v>
      </c>
      <c r="AH944" s="1" t="s">
        <v>2163</v>
      </c>
      <c r="AI944" s="1" t="str">
        <f>_xlfn.TEXTAFTER(_xlfn.TEXTBEFORE(batch_summary[[#This Row],[video]],"_",1),"-",3)</f>
        <v>20</v>
      </c>
      <c r="AJ944" s="1" t="str">
        <f>_xlfn.TEXTBEFORE(_xlfn.TEXTAFTER(batch_summary[[#This Row],[video]],"_",1),"_",1)</f>
        <v>20260408</v>
      </c>
      <c r="AK944" s="1" t="str">
        <f>_xlfn.TEXTBEFORE(_xlfn.TEXTAFTER(batch_summary[[#This Row],[video]],"_",2),".",1)</f>
        <v>130000</v>
      </c>
    </row>
    <row r="945" spans="1:37" x14ac:dyDescent="0.2">
      <c r="A945" s="1" t="s">
        <v>2164</v>
      </c>
      <c r="B945" s="1" t="s">
        <v>2165</v>
      </c>
      <c r="C945">
        <v>119.95833333333333</v>
      </c>
      <c r="D945">
        <v>2879</v>
      </c>
      <c r="E945">
        <v>0.29219258390367031</v>
      </c>
      <c r="F945">
        <v>43.402625622227788</v>
      </c>
      <c r="G945">
        <v>1.0149099822982644E-4</v>
      </c>
      <c r="H945">
        <v>1.5075590698932889E-2</v>
      </c>
      <c r="I945">
        <v>5</v>
      </c>
      <c r="J945" t="b">
        <v>1</v>
      </c>
      <c r="K945">
        <v>0.65</v>
      </c>
      <c r="L945">
        <v>1.3</v>
      </c>
      <c r="M945" t="b">
        <v>1</v>
      </c>
      <c r="N945">
        <v>200</v>
      </c>
      <c r="O945" t="b">
        <v>0</v>
      </c>
      <c r="P945" t="b">
        <v>0</v>
      </c>
      <c r="Q945">
        <v>0.7</v>
      </c>
      <c r="R945">
        <v>22312151.773445129</v>
      </c>
      <c r="S945">
        <v>23302178.456586838</v>
      </c>
      <c r="T945">
        <v>21080732.517603636</v>
      </c>
      <c r="U945">
        <v>21978159.535036325</v>
      </c>
      <c r="V945">
        <v>45614330.230031967</v>
      </c>
      <c r="W945">
        <v>43058892.052639961</v>
      </c>
      <c r="X945">
        <v>380251.45033718902</v>
      </c>
      <c r="Y945">
        <v>358948.73541624146</v>
      </c>
      <c r="Z945">
        <v>13262.955106201172</v>
      </c>
      <c r="AA945">
        <v>10764.72301315999</v>
      </c>
      <c r="AB945">
        <v>210807.32517603636</v>
      </c>
      <c r="AC945">
        <v>219781.59535036326</v>
      </c>
      <c r="AD945">
        <v>430588.92052639963</v>
      </c>
      <c r="AE945">
        <v>1.0593475135000676</v>
      </c>
      <c r="AF945" s="1" t="s">
        <v>2166</v>
      </c>
      <c r="AG945" s="1" t="s">
        <v>2167</v>
      </c>
      <c r="AH945" s="1" t="s">
        <v>2168</v>
      </c>
      <c r="AI945" s="1" t="str">
        <f>_xlfn.TEXTAFTER(_xlfn.TEXTBEFORE(batch_summary[[#This Row],[video]],"_",1),"-",3)</f>
        <v>20</v>
      </c>
      <c r="AJ945" s="1" t="str">
        <f>_xlfn.TEXTBEFORE(_xlfn.TEXTAFTER(batch_summary[[#This Row],[video]],"_",1),"_",1)</f>
        <v>20260408</v>
      </c>
      <c r="AK945" s="1" t="str">
        <f>_xlfn.TEXTBEFORE(_xlfn.TEXTAFTER(batch_summary[[#This Row],[video]],"_",2),".",1)</f>
        <v>140000</v>
      </c>
    </row>
    <row r="946" spans="1:37" x14ac:dyDescent="0.2">
      <c r="A946" s="1" t="s">
        <v>2169</v>
      </c>
      <c r="B946" s="1" t="s">
        <v>2170</v>
      </c>
      <c r="C946">
        <v>119.95833333333333</v>
      </c>
      <c r="D946">
        <v>2879</v>
      </c>
      <c r="E946">
        <v>0.34801632538437843</v>
      </c>
      <c r="F946">
        <v>45.117292190901935</v>
      </c>
      <c r="G946">
        <v>1.2088097443014186E-4</v>
      </c>
      <c r="H946">
        <v>1.5671167832894038E-2</v>
      </c>
      <c r="I946">
        <v>5</v>
      </c>
      <c r="J946" t="b">
        <v>1</v>
      </c>
      <c r="K946">
        <v>0.65</v>
      </c>
      <c r="L946">
        <v>1.3</v>
      </c>
      <c r="M946" t="b">
        <v>1</v>
      </c>
      <c r="N946">
        <v>200</v>
      </c>
      <c r="O946" t="b">
        <v>0</v>
      </c>
      <c r="P946" t="b">
        <v>0</v>
      </c>
      <c r="Q946">
        <v>0.7</v>
      </c>
      <c r="R946">
        <v>5760395.6963749528</v>
      </c>
      <c r="S946">
        <v>5921374.927603364</v>
      </c>
      <c r="T946">
        <v>4877895.1278036833</v>
      </c>
      <c r="U946">
        <v>4962509.333643198</v>
      </c>
      <c r="V946">
        <v>11681770.623978317</v>
      </c>
      <c r="W946">
        <v>9840404.4614468813</v>
      </c>
      <c r="X946">
        <v>97381.901693462874</v>
      </c>
      <c r="Y946">
        <v>82031.853794624927</v>
      </c>
      <c r="Z946">
        <v>4431.7138906192777</v>
      </c>
      <c r="AA946">
        <v>2460.1011153617205</v>
      </c>
      <c r="AB946">
        <v>48778.951278036831</v>
      </c>
      <c r="AC946">
        <v>49625.093336431979</v>
      </c>
      <c r="AD946">
        <v>98404.044614468818</v>
      </c>
      <c r="AE946">
        <v>1.1871230161062598</v>
      </c>
      <c r="AF946" s="1" t="s">
        <v>2171</v>
      </c>
      <c r="AG946" s="1" t="s">
        <v>2172</v>
      </c>
      <c r="AH946" s="1" t="s">
        <v>2173</v>
      </c>
      <c r="AI946" s="1" t="str">
        <f>_xlfn.TEXTAFTER(_xlfn.TEXTBEFORE(batch_summary[[#This Row],[video]],"_",1),"-",3)</f>
        <v>20</v>
      </c>
      <c r="AJ946" s="1" t="str">
        <f>_xlfn.TEXTBEFORE(_xlfn.TEXTAFTER(batch_summary[[#This Row],[video]],"_",1),"_",1)</f>
        <v>20260408</v>
      </c>
      <c r="AK946" s="1" t="str">
        <f>_xlfn.TEXTBEFORE(_xlfn.TEXTAFTER(batch_summary[[#This Row],[video]],"_",2),".",1)</f>
        <v>150000</v>
      </c>
    </row>
    <row r="947" spans="1:37" x14ac:dyDescent="0.2">
      <c r="A947" s="1" t="s">
        <v>2174</v>
      </c>
      <c r="B947" s="1" t="s">
        <v>2175</v>
      </c>
      <c r="C947">
        <v>119.95833333333333</v>
      </c>
      <c r="D947">
        <v>2879</v>
      </c>
      <c r="E947">
        <v>0.28181801177561283</v>
      </c>
      <c r="F947">
        <v>43.771750590763986</v>
      </c>
      <c r="G947">
        <v>9.7887465014106573E-5</v>
      </c>
      <c r="H947">
        <v>1.5203803609157341E-2</v>
      </c>
      <c r="I947">
        <v>5</v>
      </c>
      <c r="J947" t="b">
        <v>1</v>
      </c>
      <c r="K947">
        <v>0.65</v>
      </c>
      <c r="L947">
        <v>1.3</v>
      </c>
      <c r="M947" t="b">
        <v>1</v>
      </c>
      <c r="N947">
        <v>200</v>
      </c>
      <c r="O947" t="b">
        <v>0</v>
      </c>
      <c r="P947" t="b">
        <v>0</v>
      </c>
      <c r="Q947">
        <v>0.7</v>
      </c>
      <c r="R947">
        <v>14260271.484870613</v>
      </c>
      <c r="S947">
        <v>15785488.593557596</v>
      </c>
      <c r="T947">
        <v>13249317.067915678</v>
      </c>
      <c r="U947">
        <v>14647703.196174145</v>
      </c>
      <c r="V947">
        <v>30045760.078428209</v>
      </c>
      <c r="W947">
        <v>27897020.264089823</v>
      </c>
      <c r="X947">
        <v>250468.3021473696</v>
      </c>
      <c r="Y947">
        <v>232555.91744986307</v>
      </c>
      <c r="Z947">
        <v>10491.346986541746</v>
      </c>
      <c r="AA947">
        <v>6974.255066022456</v>
      </c>
      <c r="AB947">
        <v>132493.17067915678</v>
      </c>
      <c r="AC947">
        <v>146477.03196174145</v>
      </c>
      <c r="AD947">
        <v>278970.20264089823</v>
      </c>
      <c r="AE947">
        <v>1.0770239901608536</v>
      </c>
      <c r="AF947" s="1" t="s">
        <v>2176</v>
      </c>
      <c r="AG947" s="1" t="s">
        <v>2177</v>
      </c>
      <c r="AH947" s="1" t="s">
        <v>2178</v>
      </c>
      <c r="AI947" s="1" t="str">
        <f>_xlfn.TEXTAFTER(_xlfn.TEXTBEFORE(batch_summary[[#This Row],[video]],"_",1),"-",3)</f>
        <v>20</v>
      </c>
      <c r="AJ947" s="1" t="str">
        <f>_xlfn.TEXTBEFORE(_xlfn.TEXTAFTER(batch_summary[[#This Row],[video]],"_",1),"_",1)</f>
        <v>20260408</v>
      </c>
      <c r="AK947" s="1" t="str">
        <f>_xlfn.TEXTBEFORE(_xlfn.TEXTAFTER(batch_summary[[#This Row],[video]],"_",2),".",1)</f>
        <v>160000</v>
      </c>
    </row>
    <row r="948" spans="1:37" x14ac:dyDescent="0.2">
      <c r="A948" s="1" t="s">
        <v>2179</v>
      </c>
      <c r="B948" s="1" t="s">
        <v>2180</v>
      </c>
      <c r="C948">
        <v>119.95833333333333</v>
      </c>
      <c r="D948">
        <v>2879</v>
      </c>
      <c r="E948">
        <v>0.2725497130304575</v>
      </c>
      <c r="F948">
        <v>43.465929566882551</v>
      </c>
      <c r="G948">
        <v>9.4668187923048795E-5</v>
      </c>
      <c r="H948">
        <v>1.5097578870052987E-2</v>
      </c>
      <c r="I948">
        <v>5</v>
      </c>
      <c r="J948" t="b">
        <v>1</v>
      </c>
      <c r="K948">
        <v>0.65</v>
      </c>
      <c r="L948">
        <v>1.3</v>
      </c>
      <c r="M948" t="b">
        <v>1</v>
      </c>
      <c r="N948">
        <v>200</v>
      </c>
      <c r="O948" t="b">
        <v>0</v>
      </c>
      <c r="P948" t="b">
        <v>0</v>
      </c>
      <c r="Q948">
        <v>0.7</v>
      </c>
      <c r="R948">
        <v>16829581.451795816</v>
      </c>
      <c r="S948">
        <v>16661473.602286816</v>
      </c>
      <c r="T948">
        <v>15819834.034730554</v>
      </c>
      <c r="U948">
        <v>15596283.9025985</v>
      </c>
      <c r="V948">
        <v>33491055.054082632</v>
      </c>
      <c r="W948">
        <v>31416117.937329054</v>
      </c>
      <c r="X948">
        <v>279189.06609863951</v>
      </c>
      <c r="Y948">
        <v>261891.91750465345</v>
      </c>
      <c r="Z948">
        <v>11214.613115484715</v>
      </c>
      <c r="AA948">
        <v>7854.0294843322627</v>
      </c>
      <c r="AB948">
        <v>158198.34034730552</v>
      </c>
      <c r="AC948">
        <v>155962.83902598501</v>
      </c>
      <c r="AD948">
        <v>314161.17937329051</v>
      </c>
      <c r="AE948">
        <v>1.0660468973567263</v>
      </c>
      <c r="AF948" s="1" t="s">
        <v>2181</v>
      </c>
      <c r="AG948" s="1" t="s">
        <v>2182</v>
      </c>
      <c r="AH948" s="1" t="s">
        <v>2183</v>
      </c>
      <c r="AI948" s="1" t="str">
        <f>_xlfn.TEXTAFTER(_xlfn.TEXTBEFORE(batch_summary[[#This Row],[video]],"_",1),"-",3)</f>
        <v>20</v>
      </c>
      <c r="AJ948" s="1" t="str">
        <f>_xlfn.TEXTBEFORE(_xlfn.TEXTAFTER(batch_summary[[#This Row],[video]],"_",1),"_",1)</f>
        <v>20260408</v>
      </c>
      <c r="AK948" s="1" t="str">
        <f>_xlfn.TEXTBEFORE(_xlfn.TEXTAFTER(batch_summary[[#This Row],[video]],"_",2),".",1)</f>
        <v>170000</v>
      </c>
    </row>
    <row r="949" spans="1:37" x14ac:dyDescent="0.2">
      <c r="A949" s="1" t="s">
        <v>2184</v>
      </c>
      <c r="B949" s="1" t="s">
        <v>2185</v>
      </c>
      <c r="C949">
        <v>119.95833333333333</v>
      </c>
      <c r="D949">
        <v>2879</v>
      </c>
      <c r="E949">
        <v>0.28809838276356459</v>
      </c>
      <c r="F949">
        <v>43.920023168437183</v>
      </c>
      <c r="G949">
        <v>1.0006890682999811E-4</v>
      </c>
      <c r="H949">
        <v>1.5255305025507879E-2</v>
      </c>
      <c r="I949">
        <v>5</v>
      </c>
      <c r="J949" t="b">
        <v>1</v>
      </c>
      <c r="K949">
        <v>0.65</v>
      </c>
      <c r="L949">
        <v>1.3</v>
      </c>
      <c r="M949" t="b">
        <v>1</v>
      </c>
      <c r="N949">
        <v>200</v>
      </c>
      <c r="O949" t="b">
        <v>0</v>
      </c>
      <c r="P949" t="b">
        <v>0</v>
      </c>
      <c r="Q949">
        <v>0.7</v>
      </c>
      <c r="R949">
        <v>13554015.061838269</v>
      </c>
      <c r="S949">
        <v>12537075.435720801</v>
      </c>
      <c r="T949">
        <v>12645796.875992537</v>
      </c>
      <c r="U949">
        <v>11631853.69907856</v>
      </c>
      <c r="V949">
        <v>26091090.497559071</v>
      </c>
      <c r="W949">
        <v>24277650.575071096</v>
      </c>
      <c r="X949">
        <v>217501.27542251398</v>
      </c>
      <c r="Y949">
        <v>202384.02702386465</v>
      </c>
      <c r="Z949">
        <v>9701.5972375488273</v>
      </c>
      <c r="AA949">
        <v>6069.4126437677742</v>
      </c>
      <c r="AB949">
        <v>126457.96875992537</v>
      </c>
      <c r="AC949">
        <v>116318.53699078559</v>
      </c>
      <c r="AD949">
        <v>242776.50575071096</v>
      </c>
      <c r="AE949">
        <v>1.0746958572815963</v>
      </c>
      <c r="AF949" s="1" t="s">
        <v>2186</v>
      </c>
      <c r="AG949" s="1" t="s">
        <v>2187</v>
      </c>
      <c r="AH949" s="1" t="s">
        <v>2188</v>
      </c>
      <c r="AI949" s="1" t="str">
        <f>_xlfn.TEXTAFTER(_xlfn.TEXTBEFORE(batch_summary[[#This Row],[video]],"_",1),"-",3)</f>
        <v>20</v>
      </c>
      <c r="AJ949" s="1" t="str">
        <f>_xlfn.TEXTBEFORE(_xlfn.TEXTAFTER(batch_summary[[#This Row],[video]],"_",1),"_",1)</f>
        <v>20260408</v>
      </c>
      <c r="AK949" s="1" t="str">
        <f>_xlfn.TEXTBEFORE(_xlfn.TEXTAFTER(batch_summary[[#This Row],[video]],"_",2),".",1)</f>
        <v>180000</v>
      </c>
    </row>
    <row r="950" spans="1:37" x14ac:dyDescent="0.2">
      <c r="A950" s="1" t="s">
        <v>2189</v>
      </c>
      <c r="B950" s="1" t="s">
        <v>2190</v>
      </c>
      <c r="C950">
        <v>119.95833333333333</v>
      </c>
      <c r="D950">
        <v>2879</v>
      </c>
      <c r="E950">
        <v>0.35022332612425089</v>
      </c>
      <c r="F950">
        <v>45.389492157846689</v>
      </c>
      <c r="G950">
        <v>1.2164756030713821E-4</v>
      </c>
      <c r="H950">
        <v>1.5765714539022816E-2</v>
      </c>
      <c r="I950">
        <v>5</v>
      </c>
      <c r="J950" t="b">
        <v>1</v>
      </c>
      <c r="K950">
        <v>0.65</v>
      </c>
      <c r="L950">
        <v>1.3</v>
      </c>
      <c r="M950" t="b">
        <v>1</v>
      </c>
      <c r="N950">
        <v>200</v>
      </c>
      <c r="O950" t="b">
        <v>0</v>
      </c>
      <c r="P950" t="b">
        <v>0</v>
      </c>
      <c r="Q950">
        <v>0.7</v>
      </c>
      <c r="R950">
        <v>2034899.5168828368</v>
      </c>
      <c r="S950">
        <v>1446357.0424644947</v>
      </c>
      <c r="T950">
        <v>1647541.2754062414</v>
      </c>
      <c r="U950">
        <v>1089164.3840805292</v>
      </c>
      <c r="V950">
        <v>3481256.5593473315</v>
      </c>
      <c r="W950">
        <v>2736705.6594867706</v>
      </c>
      <c r="X950">
        <v>29020.547907028817</v>
      </c>
      <c r="Y950">
        <v>22813.801954735151</v>
      </c>
      <c r="Z950">
        <v>1778.7233573913575</v>
      </c>
      <c r="AA950">
        <v>684.17641487169271</v>
      </c>
      <c r="AB950">
        <v>16475.412754062414</v>
      </c>
      <c r="AC950">
        <v>10891.643840805293</v>
      </c>
      <c r="AD950">
        <v>27367.056594867707</v>
      </c>
      <c r="AE950">
        <v>1.2720610078323844</v>
      </c>
      <c r="AF950" s="1" t="s">
        <v>2191</v>
      </c>
      <c r="AG950" s="1" t="s">
        <v>2192</v>
      </c>
      <c r="AH950" s="1" t="s">
        <v>2193</v>
      </c>
      <c r="AI950" s="1" t="str">
        <f>_xlfn.TEXTAFTER(_xlfn.TEXTBEFORE(batch_summary[[#This Row],[video]],"_",1),"-",3)</f>
        <v>20</v>
      </c>
      <c r="AJ950" s="1" t="str">
        <f>_xlfn.TEXTBEFORE(_xlfn.TEXTAFTER(batch_summary[[#This Row],[video]],"_",1),"_",1)</f>
        <v>20260408</v>
      </c>
      <c r="AK950" s="1" t="str">
        <f>_xlfn.TEXTBEFORE(_xlfn.TEXTAFTER(batch_summary[[#This Row],[video]],"_",2),".",1)</f>
        <v>190000</v>
      </c>
    </row>
    <row r="951" spans="1:37" x14ac:dyDescent="0.2">
      <c r="A951" s="1" t="s">
        <v>2194</v>
      </c>
      <c r="B951" s="1" t="s">
        <v>2195</v>
      </c>
      <c r="C951">
        <v>119.95833333333333</v>
      </c>
      <c r="D951">
        <v>2879</v>
      </c>
      <c r="E951">
        <v>0.3581002876162529</v>
      </c>
      <c r="F951">
        <v>45.525737890042365</v>
      </c>
      <c r="G951">
        <v>1.2438356638285963E-4</v>
      </c>
      <c r="H951">
        <v>1.5813038516860844E-2</v>
      </c>
      <c r="I951">
        <v>5</v>
      </c>
      <c r="J951" t="b">
        <v>1</v>
      </c>
      <c r="K951">
        <v>0.65</v>
      </c>
      <c r="L951">
        <v>1.3</v>
      </c>
      <c r="M951" t="b">
        <v>1</v>
      </c>
      <c r="N951">
        <v>200</v>
      </c>
      <c r="O951" t="b">
        <v>0</v>
      </c>
      <c r="P951" t="b">
        <v>0</v>
      </c>
      <c r="Q951">
        <v>0.7</v>
      </c>
      <c r="R951">
        <v>682198.76204806566</v>
      </c>
      <c r="S951">
        <v>666040.28263747692</v>
      </c>
      <c r="T951">
        <v>375983.79135841131</v>
      </c>
      <c r="U951">
        <v>354692.80743217468</v>
      </c>
      <c r="V951">
        <v>1348239.0446855426</v>
      </c>
      <c r="W951">
        <v>730676.59879058599</v>
      </c>
      <c r="X951">
        <v>11239.227882060793</v>
      </c>
      <c r="Y951">
        <v>6091.0866172191954</v>
      </c>
      <c r="Z951">
        <v>785.66405853033064</v>
      </c>
      <c r="AA951">
        <v>182.6691496976465</v>
      </c>
      <c r="AB951">
        <v>3759.8379135841133</v>
      </c>
      <c r="AC951">
        <v>3546.9280743217469</v>
      </c>
      <c r="AD951">
        <v>7306.7659879058601</v>
      </c>
      <c r="AE951">
        <v>1.8451925885092588</v>
      </c>
      <c r="AF951" s="1" t="s">
        <v>2196</v>
      </c>
      <c r="AG951" s="1" t="s">
        <v>2197</v>
      </c>
      <c r="AH951" s="1" t="s">
        <v>2198</v>
      </c>
      <c r="AI951" s="1" t="str">
        <f>_xlfn.TEXTAFTER(_xlfn.TEXTBEFORE(batch_summary[[#This Row],[video]],"_",1),"-",3)</f>
        <v>20</v>
      </c>
      <c r="AJ951" s="1" t="str">
        <f>_xlfn.TEXTBEFORE(_xlfn.TEXTAFTER(batch_summary[[#This Row],[video]],"_",1),"_",1)</f>
        <v>20260409</v>
      </c>
      <c r="AK951" s="1" t="str">
        <f>_xlfn.TEXTBEFORE(_xlfn.TEXTAFTER(batch_summary[[#This Row],[video]],"_",2),".",1)</f>
        <v>060000</v>
      </c>
    </row>
    <row r="952" spans="1:37" x14ac:dyDescent="0.2">
      <c r="A952" s="1" t="s">
        <v>2199</v>
      </c>
      <c r="B952" s="1" t="s">
        <v>2200</v>
      </c>
      <c r="C952">
        <v>119.95833333333333</v>
      </c>
      <c r="D952">
        <v>2879</v>
      </c>
      <c r="E952">
        <v>0.33007433265447617</v>
      </c>
      <c r="F952">
        <v>43.923153671436012</v>
      </c>
      <c r="G952">
        <v>1.146489519466746E-4</v>
      </c>
      <c r="H952">
        <v>1.5256392383270584E-2</v>
      </c>
      <c r="I952">
        <v>5</v>
      </c>
      <c r="J952" t="b">
        <v>1</v>
      </c>
      <c r="K952">
        <v>0.65</v>
      </c>
      <c r="L952">
        <v>1.3</v>
      </c>
      <c r="M952" t="b">
        <v>1</v>
      </c>
      <c r="N952">
        <v>200</v>
      </c>
      <c r="O952" t="b">
        <v>0</v>
      </c>
      <c r="P952" t="b">
        <v>0</v>
      </c>
      <c r="Q952">
        <v>0.7</v>
      </c>
      <c r="R952">
        <v>342653.90118551254</v>
      </c>
      <c r="S952">
        <v>320068.42486256361</v>
      </c>
      <c r="T952">
        <v>235489.41392052174</v>
      </c>
      <c r="U952">
        <v>196133.06909132004</v>
      </c>
      <c r="V952">
        <v>662722.32604807615</v>
      </c>
      <c r="W952">
        <v>431622.48301184177</v>
      </c>
      <c r="X952">
        <v>5524.6043157880613</v>
      </c>
      <c r="Y952">
        <v>3598.1033665453988</v>
      </c>
      <c r="Z952">
        <v>628.65651397705074</v>
      </c>
      <c r="AA952">
        <v>107.90562075296043</v>
      </c>
      <c r="AB952">
        <v>2354.8941392052175</v>
      </c>
      <c r="AC952">
        <v>1961.3306909132004</v>
      </c>
      <c r="AD952">
        <v>4316.2248301184181</v>
      </c>
      <c r="AE952">
        <v>1.5354212352971752</v>
      </c>
      <c r="AF952" s="1" t="s">
        <v>2201</v>
      </c>
      <c r="AG952" s="1" t="s">
        <v>2202</v>
      </c>
      <c r="AH952" s="1" t="s">
        <v>2203</v>
      </c>
      <c r="AI952" s="1" t="str">
        <f>_xlfn.TEXTAFTER(_xlfn.TEXTBEFORE(batch_summary[[#This Row],[video]],"_",1),"-",3)</f>
        <v>20</v>
      </c>
      <c r="AJ952" s="1" t="str">
        <f>_xlfn.TEXTBEFORE(_xlfn.TEXTAFTER(batch_summary[[#This Row],[video]],"_",1),"_",1)</f>
        <v>20260409</v>
      </c>
      <c r="AK952" s="1" t="str">
        <f>_xlfn.TEXTBEFORE(_xlfn.TEXTAFTER(batch_summary[[#This Row],[video]],"_",2),".",1)</f>
        <v>070000</v>
      </c>
    </row>
    <row r="953" spans="1:37" x14ac:dyDescent="0.2">
      <c r="A953" s="1" t="s">
        <v>2204</v>
      </c>
      <c r="B953" s="1" t="s">
        <v>2205</v>
      </c>
      <c r="C953">
        <v>119.95833333333333</v>
      </c>
      <c r="D953">
        <v>2879</v>
      </c>
      <c r="E953">
        <v>0.33477414306253195</v>
      </c>
      <c r="F953">
        <v>44.062822879292071</v>
      </c>
      <c r="G953">
        <v>1.1628139738191453E-4</v>
      </c>
      <c r="H953">
        <v>1.5304905480823921E-2</v>
      </c>
      <c r="I953">
        <v>5</v>
      </c>
      <c r="J953" t="b">
        <v>1</v>
      </c>
      <c r="K953">
        <v>0.65</v>
      </c>
      <c r="L953">
        <v>1.3</v>
      </c>
      <c r="M953" t="b">
        <v>1</v>
      </c>
      <c r="N953">
        <v>200</v>
      </c>
      <c r="O953" t="b">
        <v>0</v>
      </c>
      <c r="P953" t="b">
        <v>0</v>
      </c>
      <c r="Q953">
        <v>0.7</v>
      </c>
      <c r="R953">
        <v>756531.74004685879</v>
      </c>
      <c r="S953">
        <v>864204.66175252199</v>
      </c>
      <c r="T953">
        <v>649602.93021452427</v>
      </c>
      <c r="U953">
        <v>727777.23258185387</v>
      </c>
      <c r="V953">
        <v>1620736.4017993808</v>
      </c>
      <c r="W953">
        <v>1377380.1627963781</v>
      </c>
      <c r="X953">
        <v>13510.82794136337</v>
      </c>
      <c r="Y953">
        <v>11482.1548826374</v>
      </c>
      <c r="Z953">
        <v>1709.1502237725258</v>
      </c>
      <c r="AA953">
        <v>344.34504069909451</v>
      </c>
      <c r="AB953">
        <v>6496.0293021452426</v>
      </c>
      <c r="AC953">
        <v>7277.7723258185388</v>
      </c>
      <c r="AD953">
        <v>13773.801627963781</v>
      </c>
      <c r="AE953">
        <v>1.1766805168073113</v>
      </c>
      <c r="AF953" s="1" t="s">
        <v>2206</v>
      </c>
      <c r="AG953" s="1" t="s">
        <v>2207</v>
      </c>
      <c r="AH953" s="1" t="s">
        <v>2208</v>
      </c>
      <c r="AI953" s="1" t="str">
        <f>_xlfn.TEXTAFTER(_xlfn.TEXTBEFORE(batch_summary[[#This Row],[video]],"_",1),"-",3)</f>
        <v>20</v>
      </c>
      <c r="AJ953" s="1" t="str">
        <f>_xlfn.TEXTBEFORE(_xlfn.TEXTAFTER(batch_summary[[#This Row],[video]],"_",1),"_",1)</f>
        <v>20260409</v>
      </c>
      <c r="AK953" s="1" t="str">
        <f>_xlfn.TEXTBEFORE(_xlfn.TEXTAFTER(batch_summary[[#This Row],[video]],"_",2),".",1)</f>
        <v>080000</v>
      </c>
    </row>
    <row r="954" spans="1:37" x14ac:dyDescent="0.2">
      <c r="A954" s="1" t="s">
        <v>2209</v>
      </c>
      <c r="B954" s="1" t="s">
        <v>2210</v>
      </c>
      <c r="C954">
        <v>119.95833333333333</v>
      </c>
      <c r="D954">
        <v>2879</v>
      </c>
      <c r="E954">
        <v>0.34400525502860546</v>
      </c>
      <c r="F954">
        <v>44.813831834122539</v>
      </c>
      <c r="G954">
        <v>1.1948775791198522E-4</v>
      </c>
      <c r="H954">
        <v>1.5565763054575387E-2</v>
      </c>
      <c r="I954">
        <v>5</v>
      </c>
      <c r="J954" t="b">
        <v>1</v>
      </c>
      <c r="K954">
        <v>0.65</v>
      </c>
      <c r="L954">
        <v>1.3</v>
      </c>
      <c r="M954" t="b">
        <v>1</v>
      </c>
      <c r="N954">
        <v>200</v>
      </c>
      <c r="O954" t="b">
        <v>0</v>
      </c>
      <c r="P954" t="b">
        <v>0</v>
      </c>
      <c r="Q954">
        <v>0.7</v>
      </c>
      <c r="R954">
        <v>2240303.5526316762</v>
      </c>
      <c r="S954">
        <v>2234443.1963989139</v>
      </c>
      <c r="T954">
        <v>1984308.5049458146</v>
      </c>
      <c r="U954">
        <v>1941679.3034395576</v>
      </c>
      <c r="V954">
        <v>4474746.7490305901</v>
      </c>
      <c r="W954">
        <v>3925987.8083853722</v>
      </c>
      <c r="X954">
        <v>37302.508501818047</v>
      </c>
      <c r="Y954">
        <v>32727.928934091327</v>
      </c>
      <c r="Z954">
        <v>3561.4703492617609</v>
      </c>
      <c r="AA954">
        <v>981.49695209634297</v>
      </c>
      <c r="AB954">
        <v>19843.085049458146</v>
      </c>
      <c r="AC954">
        <v>19416.793034395574</v>
      </c>
      <c r="AD954">
        <v>39259.87808385372</v>
      </c>
      <c r="AE954">
        <v>1.139776017509057</v>
      </c>
      <c r="AF954" s="1" t="s">
        <v>2211</v>
      </c>
      <c r="AG954" s="1" t="s">
        <v>2212</v>
      </c>
      <c r="AH954" s="1" t="s">
        <v>2213</v>
      </c>
      <c r="AI954" s="1" t="str">
        <f>_xlfn.TEXTAFTER(_xlfn.TEXTBEFORE(batch_summary[[#This Row],[video]],"_",1),"-",3)</f>
        <v>20</v>
      </c>
      <c r="AJ954" s="1" t="str">
        <f>_xlfn.TEXTBEFORE(_xlfn.TEXTAFTER(batch_summary[[#This Row],[video]],"_",1),"_",1)</f>
        <v>20260409</v>
      </c>
      <c r="AK954" s="1" t="str">
        <f>_xlfn.TEXTBEFORE(_xlfn.TEXTAFTER(batch_summary[[#This Row],[video]],"_",2),".",1)</f>
        <v>090000</v>
      </c>
    </row>
    <row r="955" spans="1:37" x14ac:dyDescent="0.2">
      <c r="A955" s="1" t="s">
        <v>2214</v>
      </c>
      <c r="B955" s="1" t="s">
        <v>2215</v>
      </c>
      <c r="C955">
        <v>119.95833333333333</v>
      </c>
      <c r="D955">
        <v>2879</v>
      </c>
      <c r="E955">
        <v>0.32241176906973124</v>
      </c>
      <c r="F955">
        <v>44.697871626354754</v>
      </c>
      <c r="G955">
        <v>1.1198741544624218E-4</v>
      </c>
      <c r="H955">
        <v>1.5525485108146841E-2</v>
      </c>
      <c r="I955">
        <v>5</v>
      </c>
      <c r="J955" t="b">
        <v>1</v>
      </c>
      <c r="K955">
        <v>0.65</v>
      </c>
      <c r="L955">
        <v>1.3</v>
      </c>
      <c r="M955" t="b">
        <v>1</v>
      </c>
      <c r="N955">
        <v>200</v>
      </c>
      <c r="O955" t="b">
        <v>0</v>
      </c>
      <c r="P955" t="b">
        <v>0</v>
      </c>
      <c r="Q955">
        <v>0.7</v>
      </c>
      <c r="R955">
        <v>5090359.5129902363</v>
      </c>
      <c r="S955">
        <v>4817888.0935672522</v>
      </c>
      <c r="T955">
        <v>4541711.2886396646</v>
      </c>
      <c r="U955">
        <v>4217869.8237428665</v>
      </c>
      <c r="V955">
        <v>9908247.6065574884</v>
      </c>
      <c r="W955">
        <v>8759581.1123825312</v>
      </c>
      <c r="X955">
        <v>82597.409710795328</v>
      </c>
      <c r="Y955">
        <v>73021.864083772409</v>
      </c>
      <c r="Z955">
        <v>5639.9971801376341</v>
      </c>
      <c r="AA955">
        <v>2189.8952780956329</v>
      </c>
      <c r="AB955">
        <v>45417.112886396644</v>
      </c>
      <c r="AC955">
        <v>42178.698237428667</v>
      </c>
      <c r="AD955">
        <v>87595.811123825319</v>
      </c>
      <c r="AE955">
        <v>1.1311325826472689</v>
      </c>
      <c r="AF955" s="1" t="s">
        <v>2216</v>
      </c>
      <c r="AG955" s="1" t="s">
        <v>2217</v>
      </c>
      <c r="AH955" s="1" t="s">
        <v>2218</v>
      </c>
      <c r="AI955" s="1" t="str">
        <f>_xlfn.TEXTAFTER(_xlfn.TEXTBEFORE(batch_summary[[#This Row],[video]],"_",1),"-",3)</f>
        <v>20</v>
      </c>
      <c r="AJ955" s="1" t="str">
        <f>_xlfn.TEXTBEFORE(_xlfn.TEXTAFTER(batch_summary[[#This Row],[video]],"_",1),"_",1)</f>
        <v>20260409</v>
      </c>
      <c r="AK955" s="1" t="str">
        <f>_xlfn.TEXTBEFORE(_xlfn.TEXTAFTER(batch_summary[[#This Row],[video]],"_",2),".",1)</f>
        <v>100000</v>
      </c>
    </row>
    <row r="956" spans="1:37" x14ac:dyDescent="0.2">
      <c r="A956" s="1" t="s">
        <v>2219</v>
      </c>
      <c r="B956" s="1" t="s">
        <v>2220</v>
      </c>
      <c r="C956">
        <v>119.95833333333333</v>
      </c>
      <c r="D956">
        <v>2879</v>
      </c>
      <c r="E956">
        <v>0.28750329092144966</v>
      </c>
      <c r="F956">
        <v>44.266329932957888</v>
      </c>
      <c r="G956">
        <v>9.986220594701274E-5</v>
      </c>
      <c r="H956">
        <v>1.5375592196234069E-2</v>
      </c>
      <c r="I956">
        <v>5</v>
      </c>
      <c r="J956" t="b">
        <v>1</v>
      </c>
      <c r="K956">
        <v>0.65</v>
      </c>
      <c r="L956">
        <v>1.3</v>
      </c>
      <c r="M956" t="b">
        <v>1</v>
      </c>
      <c r="N956">
        <v>200</v>
      </c>
      <c r="O956" t="b">
        <v>0</v>
      </c>
      <c r="P956" t="b">
        <v>0</v>
      </c>
      <c r="Q956">
        <v>0.7</v>
      </c>
      <c r="R956">
        <v>9147792.2649813294</v>
      </c>
      <c r="S956">
        <v>9299024.1601447463</v>
      </c>
      <c r="T956">
        <v>8343807.1502172947</v>
      </c>
      <c r="U956">
        <v>8404501.7706683278</v>
      </c>
      <c r="V956">
        <v>18446816.425126076</v>
      </c>
      <c r="W956">
        <v>16748308.920885623</v>
      </c>
      <c r="X956">
        <v>153776.86495415971</v>
      </c>
      <c r="Y956">
        <v>139617.71938216567</v>
      </c>
      <c r="Z956">
        <v>8867.3677430725111</v>
      </c>
      <c r="AA956">
        <v>4187.0772302214054</v>
      </c>
      <c r="AB956">
        <v>83438.071502172941</v>
      </c>
      <c r="AC956">
        <v>84045.017706683284</v>
      </c>
      <c r="AD956">
        <v>167483.08920885623</v>
      </c>
      <c r="AE956">
        <v>1.1014136718079259</v>
      </c>
      <c r="AF956" s="1" t="s">
        <v>2221</v>
      </c>
      <c r="AG956" s="1" t="s">
        <v>2222</v>
      </c>
      <c r="AH956" s="1" t="s">
        <v>2223</v>
      </c>
      <c r="AI956" s="1" t="str">
        <f>_xlfn.TEXTAFTER(_xlfn.TEXTBEFORE(batch_summary[[#This Row],[video]],"_",1),"-",3)</f>
        <v>20</v>
      </c>
      <c r="AJ956" s="1" t="str">
        <f>_xlfn.TEXTBEFORE(_xlfn.TEXTAFTER(batch_summary[[#This Row],[video]],"_",1),"_",1)</f>
        <v>20260409</v>
      </c>
      <c r="AK956" s="1" t="str">
        <f>_xlfn.TEXTBEFORE(_xlfn.TEXTAFTER(batch_summary[[#This Row],[video]],"_",2),".",1)</f>
        <v>110000</v>
      </c>
    </row>
    <row r="957" spans="1:37" x14ac:dyDescent="0.2">
      <c r="A957" s="1" t="s">
        <v>2224</v>
      </c>
      <c r="B957" s="1" t="s">
        <v>2225</v>
      </c>
      <c r="C957">
        <v>119.95833333333333</v>
      </c>
      <c r="D957">
        <v>2879</v>
      </c>
      <c r="E957">
        <v>0.32492583058774471</v>
      </c>
      <c r="F957">
        <v>44.81982013117522</v>
      </c>
      <c r="G957">
        <v>1.1286065668209264E-4</v>
      </c>
      <c r="H957">
        <v>1.5567843046604799E-2</v>
      </c>
      <c r="I957">
        <v>5</v>
      </c>
      <c r="J957" t="b">
        <v>1</v>
      </c>
      <c r="K957">
        <v>0.65</v>
      </c>
      <c r="L957">
        <v>1.3</v>
      </c>
      <c r="M957" t="b">
        <v>1</v>
      </c>
      <c r="N957">
        <v>200</v>
      </c>
      <c r="O957" t="b">
        <v>0</v>
      </c>
      <c r="P957" t="b">
        <v>0</v>
      </c>
      <c r="Q957">
        <v>0.7</v>
      </c>
      <c r="R957">
        <v>9260862.8379938602</v>
      </c>
      <c r="S957">
        <v>6041582.7383859158</v>
      </c>
      <c r="T957">
        <v>8489255.4088035822</v>
      </c>
      <c r="U957">
        <v>5364857.5632258654</v>
      </c>
      <c r="V957">
        <v>15302445.576379776</v>
      </c>
      <c r="W957">
        <v>13854112.972029448</v>
      </c>
      <c r="X957">
        <v>127564.673092433</v>
      </c>
      <c r="Y957">
        <v>115491.04248999887</v>
      </c>
      <c r="Z957">
        <v>7264.9525749301911</v>
      </c>
      <c r="AA957">
        <v>3463.5282430073617</v>
      </c>
      <c r="AB957">
        <v>84892.554088035817</v>
      </c>
      <c r="AC957">
        <v>53648.575632258653</v>
      </c>
      <c r="AD957">
        <v>138541.12972029447</v>
      </c>
      <c r="AE957">
        <v>1.1045417059377542</v>
      </c>
      <c r="AF957" s="1" t="s">
        <v>2226</v>
      </c>
      <c r="AG957" s="1" t="s">
        <v>2227</v>
      </c>
      <c r="AH957" s="1" t="s">
        <v>2228</v>
      </c>
      <c r="AI957" s="1" t="str">
        <f>_xlfn.TEXTAFTER(_xlfn.TEXTBEFORE(batch_summary[[#This Row],[video]],"_",1),"-",3)</f>
        <v>20</v>
      </c>
      <c r="AJ957" s="1" t="str">
        <f>_xlfn.TEXTBEFORE(_xlfn.TEXTAFTER(batch_summary[[#This Row],[video]],"_",1),"_",1)</f>
        <v>20260409</v>
      </c>
      <c r="AK957" s="1" t="str">
        <f>_xlfn.TEXTBEFORE(_xlfn.TEXTAFTER(batch_summary[[#This Row],[video]],"_",2),".",1)</f>
        <v>120000</v>
      </c>
    </row>
    <row r="958" spans="1:37" x14ac:dyDescent="0.2">
      <c r="A958" s="1" t="s">
        <v>2229</v>
      </c>
      <c r="B958" s="1" t="s">
        <v>2230</v>
      </c>
      <c r="C958">
        <v>119.95833333333333</v>
      </c>
      <c r="D958">
        <v>2879</v>
      </c>
      <c r="E958">
        <v>0.3190509332343936</v>
      </c>
      <c r="F958">
        <v>44.447462702170014</v>
      </c>
      <c r="G958">
        <v>1.1082005322486752E-4</v>
      </c>
      <c r="H958">
        <v>1.5438507364421679E-2</v>
      </c>
      <c r="I958">
        <v>5</v>
      </c>
      <c r="J958" t="b">
        <v>1</v>
      </c>
      <c r="K958">
        <v>0.65</v>
      </c>
      <c r="L958">
        <v>1.3</v>
      </c>
      <c r="M958" t="b">
        <v>1</v>
      </c>
      <c r="N958">
        <v>200</v>
      </c>
      <c r="O958" t="b">
        <v>0</v>
      </c>
      <c r="P958" t="b">
        <v>0</v>
      </c>
      <c r="Q958">
        <v>0.7</v>
      </c>
      <c r="R958">
        <v>7520402.3133298755</v>
      </c>
      <c r="S958">
        <v>6953557.8808851838</v>
      </c>
      <c r="T958">
        <v>6930670.5628845692</v>
      </c>
      <c r="U958">
        <v>6283462.1860875487</v>
      </c>
      <c r="V958">
        <v>14473960.194215059</v>
      </c>
      <c r="W958">
        <v>13214132.748972118</v>
      </c>
      <c r="X958">
        <v>120658.2301706014</v>
      </c>
      <c r="Y958">
        <v>110156.02152668664</v>
      </c>
      <c r="Z958">
        <v>6127.8951472473145</v>
      </c>
      <c r="AA958">
        <v>3303.5331872430297</v>
      </c>
      <c r="AB958">
        <v>69306.705628845695</v>
      </c>
      <c r="AC958">
        <v>62834.621860875486</v>
      </c>
      <c r="AD958">
        <v>132141.32748972118</v>
      </c>
      <c r="AE958">
        <v>1.095339396778872</v>
      </c>
      <c r="AF958" s="1" t="s">
        <v>2231</v>
      </c>
      <c r="AG958" s="1" t="s">
        <v>2232</v>
      </c>
      <c r="AH958" s="1" t="s">
        <v>2233</v>
      </c>
      <c r="AI958" s="1" t="str">
        <f>_xlfn.TEXTAFTER(_xlfn.TEXTBEFORE(batch_summary[[#This Row],[video]],"_",1),"-",3)</f>
        <v>20</v>
      </c>
      <c r="AJ958" s="1" t="str">
        <f>_xlfn.TEXTBEFORE(_xlfn.TEXTAFTER(batch_summary[[#This Row],[video]],"_",1),"_",1)</f>
        <v>20260409</v>
      </c>
      <c r="AK958" s="1" t="str">
        <f>_xlfn.TEXTBEFORE(_xlfn.TEXTAFTER(batch_summary[[#This Row],[video]],"_",2),".",1)</f>
        <v>130000</v>
      </c>
    </row>
    <row r="959" spans="1:37" x14ac:dyDescent="0.2">
      <c r="A959" s="1" t="s">
        <v>2234</v>
      </c>
      <c r="B959" s="1" t="s">
        <v>2235</v>
      </c>
      <c r="C959">
        <v>119.95833333333333</v>
      </c>
      <c r="D959">
        <v>2879</v>
      </c>
      <c r="E959">
        <v>0.3129300344735384</v>
      </c>
      <c r="F959">
        <v>44.839683117344975</v>
      </c>
      <c r="G959">
        <v>1.0869400294322279E-4</v>
      </c>
      <c r="H959">
        <v>1.5574742312381026E-2</v>
      </c>
      <c r="I959">
        <v>5</v>
      </c>
      <c r="J959" t="b">
        <v>1</v>
      </c>
      <c r="K959">
        <v>0.65</v>
      </c>
      <c r="L959">
        <v>1.3</v>
      </c>
      <c r="M959" t="b">
        <v>1</v>
      </c>
      <c r="N959">
        <v>200</v>
      </c>
      <c r="O959" t="b">
        <v>0</v>
      </c>
      <c r="P959" t="b">
        <v>0</v>
      </c>
      <c r="Q959">
        <v>0.7</v>
      </c>
      <c r="R959">
        <v>7070875.4919438958</v>
      </c>
      <c r="S959">
        <v>7991984.4993708134</v>
      </c>
      <c r="T959">
        <v>6418235.9079750776</v>
      </c>
      <c r="U959">
        <v>7237057.7311543822</v>
      </c>
      <c r="V959">
        <v>15062859.991314709</v>
      </c>
      <c r="W959">
        <v>13655293.63912946</v>
      </c>
      <c r="X959">
        <v>125567.43306410317</v>
      </c>
      <c r="Y959">
        <v>113833.63922858877</v>
      </c>
      <c r="Z959">
        <v>6541.4024323225021</v>
      </c>
      <c r="AA959">
        <v>3413.8234097823652</v>
      </c>
      <c r="AB959">
        <v>64182.359079750779</v>
      </c>
      <c r="AC959">
        <v>72370.577311543821</v>
      </c>
      <c r="AD959">
        <v>136552.93639129458</v>
      </c>
      <c r="AE959">
        <v>1.1030784389836807</v>
      </c>
      <c r="AF959" s="1" t="s">
        <v>2236</v>
      </c>
      <c r="AG959" s="1" t="s">
        <v>2237</v>
      </c>
      <c r="AH959" s="1" t="s">
        <v>2238</v>
      </c>
      <c r="AI959" s="1" t="str">
        <f>_xlfn.TEXTAFTER(_xlfn.TEXTBEFORE(batch_summary[[#This Row],[video]],"_",1),"-",3)</f>
        <v>20</v>
      </c>
      <c r="AJ959" s="1" t="str">
        <f>_xlfn.TEXTBEFORE(_xlfn.TEXTAFTER(batch_summary[[#This Row],[video]],"_",1),"_",1)</f>
        <v>20260409</v>
      </c>
      <c r="AK959" s="1" t="str">
        <f>_xlfn.TEXTBEFORE(_xlfn.TEXTAFTER(batch_summary[[#This Row],[video]],"_",2),".",1)</f>
        <v>140000</v>
      </c>
    </row>
    <row r="960" spans="1:37" x14ac:dyDescent="0.2">
      <c r="A960" s="1" t="s">
        <v>2239</v>
      </c>
      <c r="B960" s="1" t="s">
        <v>2240</v>
      </c>
      <c r="C960">
        <v>119.95833333333333</v>
      </c>
      <c r="D960">
        <v>2879</v>
      </c>
      <c r="E960">
        <v>0.2802273528650403</v>
      </c>
      <c r="F960">
        <v>44.019165301695466</v>
      </c>
      <c r="G960">
        <v>9.7334961050726048E-5</v>
      </c>
      <c r="H960">
        <v>1.5289741334385366E-2</v>
      </c>
      <c r="I960">
        <v>5</v>
      </c>
      <c r="J960" t="b">
        <v>1</v>
      </c>
      <c r="K960">
        <v>0.65</v>
      </c>
      <c r="L960">
        <v>1.3</v>
      </c>
      <c r="M960" t="b">
        <v>1</v>
      </c>
      <c r="N960">
        <v>200</v>
      </c>
      <c r="O960" t="b">
        <v>0</v>
      </c>
      <c r="P960" t="b">
        <v>0</v>
      </c>
      <c r="Q960">
        <v>0.7</v>
      </c>
      <c r="R960">
        <v>13088180.594488025</v>
      </c>
      <c r="S960">
        <v>11107197.806647301</v>
      </c>
      <c r="T960">
        <v>12175419.615056813</v>
      </c>
      <c r="U960">
        <v>10191397.847954214</v>
      </c>
      <c r="V960">
        <v>24195378.401135325</v>
      </c>
      <c r="W960">
        <v>22366817.463011026</v>
      </c>
      <c r="X960">
        <v>201698.18743565399</v>
      </c>
      <c r="Y960">
        <v>186454.88680523259</v>
      </c>
      <c r="Z960">
        <v>9112.7915904235851</v>
      </c>
      <c r="AA960">
        <v>5591.7043657527565</v>
      </c>
      <c r="AB960">
        <v>121754.19615056812</v>
      </c>
      <c r="AC960">
        <v>101913.97847954213</v>
      </c>
      <c r="AD960">
        <v>223668.17463011027</v>
      </c>
      <c r="AE960">
        <v>1.0817532910593235</v>
      </c>
      <c r="AF960" s="1" t="s">
        <v>2241</v>
      </c>
      <c r="AG960" s="1" t="s">
        <v>2242</v>
      </c>
      <c r="AH960" s="1" t="s">
        <v>2243</v>
      </c>
      <c r="AI960" s="1" t="str">
        <f>_xlfn.TEXTAFTER(_xlfn.TEXTBEFORE(batch_summary[[#This Row],[video]],"_",1),"-",3)</f>
        <v>20</v>
      </c>
      <c r="AJ960" s="1" t="str">
        <f>_xlfn.TEXTBEFORE(_xlfn.TEXTAFTER(batch_summary[[#This Row],[video]],"_",1),"_",1)</f>
        <v>20260409</v>
      </c>
      <c r="AK960" s="1" t="str">
        <f>_xlfn.TEXTBEFORE(_xlfn.TEXTAFTER(batch_summary[[#This Row],[video]],"_",2),".",1)</f>
        <v>150000</v>
      </c>
    </row>
    <row r="961" spans="1:37" x14ac:dyDescent="0.2">
      <c r="A961" s="1" t="s">
        <v>2244</v>
      </c>
      <c r="B961" s="1" t="s">
        <v>2245</v>
      </c>
      <c r="C961">
        <v>119.95833333333333</v>
      </c>
      <c r="D961">
        <v>2879</v>
      </c>
      <c r="E961">
        <v>0.29267299547791481</v>
      </c>
      <c r="F961">
        <v>44.215285681188107</v>
      </c>
      <c r="G961">
        <v>1.0165786574432609E-4</v>
      </c>
      <c r="H961">
        <v>1.5357862341503336E-2</v>
      </c>
      <c r="I961">
        <v>5</v>
      </c>
      <c r="J961" t="b">
        <v>1</v>
      </c>
      <c r="K961">
        <v>0.65</v>
      </c>
      <c r="L961">
        <v>1.3</v>
      </c>
      <c r="M961" t="b">
        <v>1</v>
      </c>
      <c r="N961">
        <v>200</v>
      </c>
      <c r="O961" t="b">
        <v>0</v>
      </c>
      <c r="P961" t="b">
        <v>0</v>
      </c>
      <c r="Q961">
        <v>0.7</v>
      </c>
      <c r="R961">
        <v>9478220.1515156031</v>
      </c>
      <c r="S961">
        <v>10033256.340842485</v>
      </c>
      <c r="T961">
        <v>8580234.7887115479</v>
      </c>
      <c r="U961">
        <v>9096204.3689292073</v>
      </c>
      <c r="V961">
        <v>19511476.492358088</v>
      </c>
      <c r="W961">
        <v>17676439.157640755</v>
      </c>
      <c r="X961">
        <v>162652.11386474266</v>
      </c>
      <c r="Y961">
        <v>147354.82451663012</v>
      </c>
      <c r="Z961">
        <v>8487.9319860076903</v>
      </c>
      <c r="AA961">
        <v>4419.1097894101895</v>
      </c>
      <c r="AB961">
        <v>85802.34788711548</v>
      </c>
      <c r="AC961">
        <v>90962.04368929207</v>
      </c>
      <c r="AD961">
        <v>176764.39157640754</v>
      </c>
      <c r="AE961">
        <v>1.1038126128431318</v>
      </c>
      <c r="AF961" s="1" t="s">
        <v>2246</v>
      </c>
      <c r="AG961" s="1" t="s">
        <v>2247</v>
      </c>
      <c r="AH961" s="1" t="s">
        <v>2248</v>
      </c>
      <c r="AI961" s="1" t="str">
        <f>_xlfn.TEXTAFTER(_xlfn.TEXTBEFORE(batch_summary[[#This Row],[video]],"_",1),"-",3)</f>
        <v>20</v>
      </c>
      <c r="AJ961" s="1" t="str">
        <f>_xlfn.TEXTBEFORE(_xlfn.TEXTAFTER(batch_summary[[#This Row],[video]],"_",1),"_",1)</f>
        <v>20260409</v>
      </c>
      <c r="AK961" s="1" t="str">
        <f>_xlfn.TEXTBEFORE(_xlfn.TEXTAFTER(batch_summary[[#This Row],[video]],"_",2),".",1)</f>
        <v>160000</v>
      </c>
    </row>
    <row r="962" spans="1:37" x14ac:dyDescent="0.2">
      <c r="A962" s="1" t="s">
        <v>2249</v>
      </c>
      <c r="B962" s="1" t="s">
        <v>2250</v>
      </c>
      <c r="C962">
        <v>119.95833333333333</v>
      </c>
      <c r="D962">
        <v>2879</v>
      </c>
      <c r="E962">
        <v>0.28837485704571009</v>
      </c>
      <c r="F962">
        <v>44.028824638575315</v>
      </c>
      <c r="G962">
        <v>1.0016493818885379E-4</v>
      </c>
      <c r="H962">
        <v>1.5293096435767737E-2</v>
      </c>
      <c r="I962">
        <v>5</v>
      </c>
      <c r="J962" t="b">
        <v>1</v>
      </c>
      <c r="K962">
        <v>0.65</v>
      </c>
      <c r="L962">
        <v>1.3</v>
      </c>
      <c r="M962" t="b">
        <v>1</v>
      </c>
      <c r="N962">
        <v>200</v>
      </c>
      <c r="O962" t="b">
        <v>0</v>
      </c>
      <c r="P962" t="b">
        <v>0</v>
      </c>
      <c r="Q962">
        <v>0.7</v>
      </c>
      <c r="R962">
        <v>9530950.867406249</v>
      </c>
      <c r="S962">
        <v>9043599.5381017923</v>
      </c>
      <c r="T962">
        <v>8702447.5046794415</v>
      </c>
      <c r="U962">
        <v>8134286.6268782616</v>
      </c>
      <c r="V962">
        <v>18574550.405508041</v>
      </c>
      <c r="W962">
        <v>16836734.131557703</v>
      </c>
      <c r="X962">
        <v>154841.68451969192</v>
      </c>
      <c r="Y962">
        <v>140354.85208662206</v>
      </c>
      <c r="Z962">
        <v>8972.9973510742202</v>
      </c>
      <c r="AA962">
        <v>4209.1835328894258</v>
      </c>
      <c r="AB962">
        <v>87024.47504679441</v>
      </c>
      <c r="AC962">
        <v>81342.866268782614</v>
      </c>
      <c r="AD962">
        <v>168367.34131557704</v>
      </c>
      <c r="AE962">
        <v>1.1032157579000481</v>
      </c>
      <c r="AF962" s="1" t="s">
        <v>2251</v>
      </c>
      <c r="AG962" s="1" t="s">
        <v>2252</v>
      </c>
      <c r="AH962" s="1" t="s">
        <v>2253</v>
      </c>
      <c r="AI962" s="1" t="str">
        <f>_xlfn.TEXTAFTER(_xlfn.TEXTBEFORE(batch_summary[[#This Row],[video]],"_",1),"-",3)</f>
        <v>20</v>
      </c>
      <c r="AJ962" s="1" t="str">
        <f>_xlfn.TEXTBEFORE(_xlfn.TEXTAFTER(batch_summary[[#This Row],[video]],"_",1),"_",1)</f>
        <v>20260409</v>
      </c>
      <c r="AK962" s="1" t="str">
        <f>_xlfn.TEXTBEFORE(_xlfn.TEXTAFTER(batch_summary[[#This Row],[video]],"_",2),".",1)</f>
        <v>170000</v>
      </c>
    </row>
    <row r="963" spans="1:37" x14ac:dyDescent="0.2">
      <c r="A963" s="1" t="s">
        <v>2254</v>
      </c>
      <c r="B963" s="1" t="s">
        <v>2255</v>
      </c>
      <c r="C963">
        <v>119.95833333333333</v>
      </c>
      <c r="D963">
        <v>2879</v>
      </c>
      <c r="E963">
        <v>0.29151974897831678</v>
      </c>
      <c r="F963">
        <v>44.395220490172505</v>
      </c>
      <c r="G963">
        <v>1.0125729384450045E-4</v>
      </c>
      <c r="H963">
        <v>1.542036140679837E-2</v>
      </c>
      <c r="I963">
        <v>5</v>
      </c>
      <c r="J963" t="b">
        <v>1</v>
      </c>
      <c r="K963">
        <v>0.65</v>
      </c>
      <c r="L963">
        <v>1.3</v>
      </c>
      <c r="M963" t="b">
        <v>1</v>
      </c>
      <c r="N963">
        <v>200</v>
      </c>
      <c r="O963" t="b">
        <v>0</v>
      </c>
      <c r="P963" t="b">
        <v>0</v>
      </c>
      <c r="Q963">
        <v>0.7</v>
      </c>
      <c r="R963">
        <v>7748024.8380203247</v>
      </c>
      <c r="S963">
        <v>6592408.7392775416</v>
      </c>
      <c r="T963">
        <v>7067814.3898854852</v>
      </c>
      <c r="U963">
        <v>5875908.5312166214</v>
      </c>
      <c r="V963">
        <v>14340433.577297866</v>
      </c>
      <c r="W963">
        <v>12943722.921102107</v>
      </c>
      <c r="X963">
        <v>119545.12186701938</v>
      </c>
      <c r="Y963">
        <v>107901.82358681854</v>
      </c>
      <c r="Z963">
        <v>5794.230051269531</v>
      </c>
      <c r="AA963">
        <v>3235.9307302755269</v>
      </c>
      <c r="AB963">
        <v>70678.143898854847</v>
      </c>
      <c r="AC963">
        <v>58759.085312166215</v>
      </c>
      <c r="AD963">
        <v>129437.22921102107</v>
      </c>
      <c r="AE963">
        <v>1.1079064087441726</v>
      </c>
      <c r="AF963" s="1" t="s">
        <v>2256</v>
      </c>
      <c r="AG963" s="1" t="s">
        <v>2257</v>
      </c>
      <c r="AH963" s="1" t="s">
        <v>2258</v>
      </c>
      <c r="AI963" s="1" t="str">
        <f>_xlfn.TEXTAFTER(_xlfn.TEXTBEFORE(batch_summary[[#This Row],[video]],"_",1),"-",3)</f>
        <v>20</v>
      </c>
      <c r="AJ963" s="1" t="str">
        <f>_xlfn.TEXTBEFORE(_xlfn.TEXTAFTER(batch_summary[[#This Row],[video]],"_",1),"_",1)</f>
        <v>20260409</v>
      </c>
      <c r="AK963" s="1" t="str">
        <f>_xlfn.TEXTBEFORE(_xlfn.TEXTAFTER(batch_summary[[#This Row],[video]],"_",2),".",1)</f>
        <v>180000</v>
      </c>
    </row>
    <row r="964" spans="1:37" x14ac:dyDescent="0.2">
      <c r="A964" s="1" t="s">
        <v>2259</v>
      </c>
      <c r="B964" s="1" t="s">
        <v>2260</v>
      </c>
      <c r="C964">
        <v>119.95833333333333</v>
      </c>
      <c r="D964">
        <v>2879</v>
      </c>
      <c r="E964">
        <v>0.33892179466784</v>
      </c>
      <c r="F964">
        <v>44.181665511801839</v>
      </c>
      <c r="G964">
        <v>1.1772205441745051E-4</v>
      </c>
      <c r="H964">
        <v>1.5346184616812031E-2</v>
      </c>
      <c r="I964">
        <v>5</v>
      </c>
      <c r="J964" t="b">
        <v>1</v>
      </c>
      <c r="K964">
        <v>0.65</v>
      </c>
      <c r="L964">
        <v>1.3</v>
      </c>
      <c r="M964" t="b">
        <v>1</v>
      </c>
      <c r="N964">
        <v>200</v>
      </c>
      <c r="O964" t="b">
        <v>0</v>
      </c>
      <c r="P964" t="b">
        <v>0</v>
      </c>
      <c r="Q964">
        <v>0.7</v>
      </c>
      <c r="R964">
        <v>7637.4959482550621</v>
      </c>
      <c r="S964">
        <v>6878.5466139316559</v>
      </c>
      <c r="T964">
        <v>0</v>
      </c>
      <c r="U964">
        <v>0</v>
      </c>
      <c r="V964">
        <v>14516.042562186718</v>
      </c>
      <c r="W964">
        <v>0</v>
      </c>
      <c r="X964">
        <v>121.00903837877084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14516042562.186718</v>
      </c>
      <c r="AF964" s="1" t="s">
        <v>2261</v>
      </c>
      <c r="AG964" s="1" t="s">
        <v>2262</v>
      </c>
      <c r="AH964" s="1" t="s">
        <v>2263</v>
      </c>
      <c r="AI964" s="1" t="str">
        <f>_xlfn.TEXTAFTER(_xlfn.TEXTBEFORE(batch_summary[[#This Row],[video]],"_",1),"-",3)</f>
        <v>20</v>
      </c>
      <c r="AJ964" s="1" t="str">
        <f>_xlfn.TEXTBEFORE(_xlfn.TEXTAFTER(batch_summary[[#This Row],[video]],"_",1),"_",1)</f>
        <v>20260409</v>
      </c>
      <c r="AK964" s="1" t="str">
        <f>_xlfn.TEXTBEFORE(_xlfn.TEXTAFTER(batch_summary[[#This Row],[video]],"_",2),".",1)</f>
        <v>190000</v>
      </c>
    </row>
    <row r="965" spans="1:37" x14ac:dyDescent="0.2">
      <c r="A965" s="1" t="s">
        <v>2264</v>
      </c>
      <c r="B965" s="1" t="s">
        <v>2265</v>
      </c>
      <c r="C965">
        <v>119.95833333333333</v>
      </c>
      <c r="D965">
        <v>2879</v>
      </c>
      <c r="E965">
        <v>0.32832414843142033</v>
      </c>
      <c r="F965">
        <v>45.313379992730916</v>
      </c>
      <c r="G965">
        <v>1.1404103801021894E-4</v>
      </c>
      <c r="H965">
        <v>1.5739277524394205E-2</v>
      </c>
      <c r="I965">
        <v>5</v>
      </c>
      <c r="J965" t="b">
        <v>1</v>
      </c>
      <c r="K965">
        <v>0.65</v>
      </c>
      <c r="L965">
        <v>1.3</v>
      </c>
      <c r="M965" t="b">
        <v>1</v>
      </c>
      <c r="N965">
        <v>200</v>
      </c>
      <c r="O965" t="b">
        <v>0</v>
      </c>
      <c r="P965" t="b">
        <v>0</v>
      </c>
      <c r="Q965">
        <v>0.7</v>
      </c>
      <c r="R965">
        <v>2550155.4097413421</v>
      </c>
      <c r="S965">
        <v>2306024.5659576058</v>
      </c>
      <c r="T965">
        <v>1914388.7272588015</v>
      </c>
      <c r="U965">
        <v>1695221.467017591</v>
      </c>
      <c r="V965">
        <v>4856179.9756989479</v>
      </c>
      <c r="W965">
        <v>3609610.1942763925</v>
      </c>
      <c r="X965">
        <v>40482.222791516069</v>
      </c>
      <c r="Y965">
        <v>30090.533054058153</v>
      </c>
      <c r="Z965">
        <v>2217.5790703582761</v>
      </c>
      <c r="AA965">
        <v>902.40254856909814</v>
      </c>
      <c r="AB965">
        <v>19143.887272588014</v>
      </c>
      <c r="AC965">
        <v>16952.214670175908</v>
      </c>
      <c r="AD965">
        <v>36096.101942763926</v>
      </c>
      <c r="AE965">
        <v>1.3453474791818765</v>
      </c>
      <c r="AF965" s="1" t="s">
        <v>2266</v>
      </c>
      <c r="AG965" s="1" t="s">
        <v>2267</v>
      </c>
      <c r="AH965" s="1" t="s">
        <v>2268</v>
      </c>
      <c r="AI965" s="1" t="str">
        <f>_xlfn.TEXTAFTER(_xlfn.TEXTBEFORE(batch_summary[[#This Row],[video]],"_",1),"-",3)</f>
        <v>20</v>
      </c>
      <c r="AJ965" s="1" t="str">
        <f>_xlfn.TEXTBEFORE(_xlfn.TEXTAFTER(batch_summary[[#This Row],[video]],"_",1),"_",1)</f>
        <v>20260410</v>
      </c>
      <c r="AK965" s="1" t="str">
        <f>_xlfn.TEXTBEFORE(_xlfn.TEXTAFTER(batch_summary[[#This Row],[video]],"_",2),".",1)</f>
        <v>060000</v>
      </c>
    </row>
    <row r="966" spans="1:37" x14ac:dyDescent="0.2">
      <c r="A966" s="1" t="s">
        <v>2269</v>
      </c>
      <c r="B966" s="1" t="s">
        <v>2270</v>
      </c>
      <c r="C966">
        <v>119.95833333333333</v>
      </c>
      <c r="D966">
        <v>2879</v>
      </c>
      <c r="E966">
        <v>0.34430321026593447</v>
      </c>
      <c r="F966">
        <v>45.12740886118263</v>
      </c>
      <c r="G966">
        <v>1.1959125052654897E-4</v>
      </c>
      <c r="H966">
        <v>1.567468178575291E-2</v>
      </c>
      <c r="I966">
        <v>5</v>
      </c>
      <c r="J966" t="b">
        <v>1</v>
      </c>
      <c r="K966">
        <v>0.65</v>
      </c>
      <c r="L966">
        <v>1.3</v>
      </c>
      <c r="M966" t="b">
        <v>1</v>
      </c>
      <c r="N966">
        <v>200</v>
      </c>
      <c r="O966" t="b">
        <v>0</v>
      </c>
      <c r="P966" t="b">
        <v>0</v>
      </c>
      <c r="Q966">
        <v>0.7</v>
      </c>
      <c r="R966">
        <v>2253255.0030519962</v>
      </c>
      <c r="S966">
        <v>2009347.4803070426</v>
      </c>
      <c r="T966">
        <v>1959107.713804245</v>
      </c>
      <c r="U966">
        <v>1719005.5134039521</v>
      </c>
      <c r="V966">
        <v>4262602.4833590388</v>
      </c>
      <c r="W966">
        <v>3678113.2272081971</v>
      </c>
      <c r="X966">
        <v>35534.025564646385</v>
      </c>
      <c r="Y966">
        <v>30661.589945466043</v>
      </c>
      <c r="Z966">
        <v>3081.8029047489167</v>
      </c>
      <c r="AA966">
        <v>919.52830680204931</v>
      </c>
      <c r="AB966">
        <v>19591.077138042448</v>
      </c>
      <c r="AC966">
        <v>17190.055134039521</v>
      </c>
      <c r="AD966">
        <v>36781.132272081973</v>
      </c>
      <c r="AE966">
        <v>1.1589100770001275</v>
      </c>
      <c r="AF966" s="1" t="s">
        <v>2271</v>
      </c>
      <c r="AG966" s="1" t="s">
        <v>2272</v>
      </c>
      <c r="AH966" s="1" t="s">
        <v>2273</v>
      </c>
      <c r="AI966" s="1" t="str">
        <f>_xlfn.TEXTAFTER(_xlfn.TEXTBEFORE(batch_summary[[#This Row],[video]],"_",1),"-",3)</f>
        <v>20</v>
      </c>
      <c r="AJ966" s="1" t="str">
        <f>_xlfn.TEXTBEFORE(_xlfn.TEXTAFTER(batch_summary[[#This Row],[video]],"_",1),"_",1)</f>
        <v>20260410</v>
      </c>
      <c r="AK966" s="1" t="str">
        <f>_xlfn.TEXTBEFORE(_xlfn.TEXTAFTER(batch_summary[[#This Row],[video]],"_",2),".",1)</f>
        <v>070000</v>
      </c>
    </row>
    <row r="967" spans="1:37" x14ac:dyDescent="0.2">
      <c r="A967" s="1" t="s">
        <v>2274</v>
      </c>
      <c r="B967" s="1" t="s">
        <v>2275</v>
      </c>
      <c r="C967">
        <v>119.95833333333333</v>
      </c>
      <c r="D967">
        <v>2879</v>
      </c>
      <c r="E967">
        <v>0.30339305475354195</v>
      </c>
      <c r="F967">
        <v>44.542271585203707</v>
      </c>
      <c r="G967">
        <v>1.05381401442703E-4</v>
      </c>
      <c r="H967">
        <v>1.5471438549914451E-2</v>
      </c>
      <c r="I967">
        <v>5</v>
      </c>
      <c r="J967" t="b">
        <v>1</v>
      </c>
      <c r="K967">
        <v>0.65</v>
      </c>
      <c r="L967">
        <v>1.3</v>
      </c>
      <c r="M967" t="b">
        <v>1</v>
      </c>
      <c r="N967">
        <v>200</v>
      </c>
      <c r="O967" t="b">
        <v>0</v>
      </c>
      <c r="P967" t="b">
        <v>0</v>
      </c>
      <c r="Q967">
        <v>0.7</v>
      </c>
      <c r="R967">
        <v>5424858.2928096652</v>
      </c>
      <c r="S967">
        <v>5294174.8854923248</v>
      </c>
      <c r="T967">
        <v>4643789.5739207864</v>
      </c>
      <c r="U967">
        <v>4488489.413310051</v>
      </c>
      <c r="V967">
        <v>10719033.17830199</v>
      </c>
      <c r="W967">
        <v>9132278.9872308373</v>
      </c>
      <c r="X967">
        <v>89356.302979940185</v>
      </c>
      <c r="Y967">
        <v>76128.758490288325</v>
      </c>
      <c r="Z967">
        <v>4230.1852050065991</v>
      </c>
      <c r="AA967">
        <v>2283.0697468077096</v>
      </c>
      <c r="AB967">
        <v>46437.895739207866</v>
      </c>
      <c r="AC967">
        <v>44884.894133100512</v>
      </c>
      <c r="AD967">
        <v>91322.789872308378</v>
      </c>
      <c r="AE967">
        <v>1.1737522685509088</v>
      </c>
      <c r="AF967" s="1" t="s">
        <v>2276</v>
      </c>
      <c r="AG967" s="1" t="s">
        <v>2277</v>
      </c>
      <c r="AH967" s="1" t="s">
        <v>2278</v>
      </c>
      <c r="AI967" s="1" t="str">
        <f>_xlfn.TEXTAFTER(_xlfn.TEXTBEFORE(batch_summary[[#This Row],[video]],"_",1),"-",3)</f>
        <v>20</v>
      </c>
      <c r="AJ967" s="1" t="str">
        <f>_xlfn.TEXTBEFORE(_xlfn.TEXTAFTER(batch_summary[[#This Row],[video]],"_",1),"_",1)</f>
        <v>20260410</v>
      </c>
      <c r="AK967" s="1" t="str">
        <f>_xlfn.TEXTBEFORE(_xlfn.TEXTAFTER(batch_summary[[#This Row],[video]],"_",2),".",1)</f>
        <v>080000</v>
      </c>
    </row>
    <row r="968" spans="1:37" x14ac:dyDescent="0.2">
      <c r="A968" s="1" t="s">
        <v>2279</v>
      </c>
      <c r="B968" s="1" t="s">
        <v>2280</v>
      </c>
      <c r="C968">
        <v>119.95833333333333</v>
      </c>
      <c r="D968">
        <v>2879</v>
      </c>
      <c r="E968">
        <v>0.30301493033766747</v>
      </c>
      <c r="F968">
        <v>44.400397422723472</v>
      </c>
      <c r="G968">
        <v>1.0525006263899529E-4</v>
      </c>
      <c r="H968">
        <v>1.5422159577187729E-2</v>
      </c>
      <c r="I968">
        <v>5</v>
      </c>
      <c r="J968" t="b">
        <v>1</v>
      </c>
      <c r="K968">
        <v>0.65</v>
      </c>
      <c r="L968">
        <v>1.3</v>
      </c>
      <c r="M968" t="b">
        <v>1</v>
      </c>
      <c r="N968">
        <v>200</v>
      </c>
      <c r="O968" t="b">
        <v>0</v>
      </c>
      <c r="P968" t="b">
        <v>0</v>
      </c>
      <c r="Q968">
        <v>0.7</v>
      </c>
      <c r="R968">
        <v>9507153.5415838361</v>
      </c>
      <c r="S968">
        <v>9652893.3053759336</v>
      </c>
      <c r="T968">
        <v>8733865.5672459602</v>
      </c>
      <c r="U968">
        <v>8884359.7770328522</v>
      </c>
      <c r="V968">
        <v>19160046.84695977</v>
      </c>
      <c r="W968">
        <v>17618225.344278812</v>
      </c>
      <c r="X968">
        <v>159722.51626503456</v>
      </c>
      <c r="Y968">
        <v>146869.54090402622</v>
      </c>
      <c r="Z968">
        <v>8767.5530902099599</v>
      </c>
      <c r="AA968">
        <v>4404.5563360697033</v>
      </c>
      <c r="AB968">
        <v>87338.655672459601</v>
      </c>
      <c r="AC968">
        <v>88843.597770328517</v>
      </c>
      <c r="AD968">
        <v>176182.25344278812</v>
      </c>
      <c r="AE968">
        <v>1.0875128721850316</v>
      </c>
      <c r="AF968" s="1" t="s">
        <v>2281</v>
      </c>
      <c r="AG968" s="1" t="s">
        <v>2282</v>
      </c>
      <c r="AH968" s="1" t="s">
        <v>2283</v>
      </c>
      <c r="AI968" s="1" t="str">
        <f>_xlfn.TEXTAFTER(_xlfn.TEXTBEFORE(batch_summary[[#This Row],[video]],"_",1),"-",3)</f>
        <v>20</v>
      </c>
      <c r="AJ968" s="1" t="str">
        <f>_xlfn.TEXTBEFORE(_xlfn.TEXTAFTER(batch_summary[[#This Row],[video]],"_",1),"_",1)</f>
        <v>20260410</v>
      </c>
      <c r="AK968" s="1" t="str">
        <f>_xlfn.TEXTBEFORE(_xlfn.TEXTAFTER(batch_summary[[#This Row],[video]],"_",2),".",1)</f>
        <v>090000</v>
      </c>
    </row>
    <row r="969" spans="1:37" x14ac:dyDescent="0.2">
      <c r="A969" s="1" t="s">
        <v>2284</v>
      </c>
      <c r="B969" s="1" t="s">
        <v>2285</v>
      </c>
      <c r="C969">
        <v>119.95833333333333</v>
      </c>
      <c r="D969">
        <v>2879</v>
      </c>
      <c r="E969">
        <v>0.30201178044080734</v>
      </c>
      <c r="F969">
        <v>44.307675858959556</v>
      </c>
      <c r="G969">
        <v>1.0490162571754336E-4</v>
      </c>
      <c r="H969">
        <v>1.5389953407071746E-2</v>
      </c>
      <c r="I969">
        <v>5</v>
      </c>
      <c r="J969" t="b">
        <v>1</v>
      </c>
      <c r="K969">
        <v>0.65</v>
      </c>
      <c r="L969">
        <v>1.3</v>
      </c>
      <c r="M969" t="b">
        <v>1</v>
      </c>
      <c r="N969">
        <v>200</v>
      </c>
      <c r="O969" t="b">
        <v>0</v>
      </c>
      <c r="P969" t="b">
        <v>0</v>
      </c>
      <c r="Q969">
        <v>0.7</v>
      </c>
      <c r="R969">
        <v>10421130.311094165</v>
      </c>
      <c r="S969">
        <v>11239591.55072701</v>
      </c>
      <c r="T969">
        <v>9614889.0097410679</v>
      </c>
      <c r="U969">
        <v>10338006.261830509</v>
      </c>
      <c r="V969">
        <v>21660721.861821175</v>
      </c>
      <c r="W969">
        <v>19952895.271571577</v>
      </c>
      <c r="X969">
        <v>180568.71298496291</v>
      </c>
      <c r="Y969">
        <v>166331.88138857862</v>
      </c>
      <c r="Z969">
        <v>9493.489454956054</v>
      </c>
      <c r="AA969">
        <v>4988.2238178928937</v>
      </c>
      <c r="AB969">
        <v>96148.89009741068</v>
      </c>
      <c r="AC969">
        <v>103380.06261830509</v>
      </c>
      <c r="AD969">
        <v>199528.95271571577</v>
      </c>
      <c r="AE969">
        <v>1.0855929210776178</v>
      </c>
      <c r="AF969" s="1" t="s">
        <v>2286</v>
      </c>
      <c r="AG969" s="1" t="s">
        <v>2287</v>
      </c>
      <c r="AH969" s="1" t="s">
        <v>2288</v>
      </c>
      <c r="AI969" s="1" t="str">
        <f>_xlfn.TEXTAFTER(_xlfn.TEXTBEFORE(batch_summary[[#This Row],[video]],"_",1),"-",3)</f>
        <v>20</v>
      </c>
      <c r="AJ969" s="1" t="str">
        <f>_xlfn.TEXTBEFORE(_xlfn.TEXTAFTER(batch_summary[[#This Row],[video]],"_",1),"_",1)</f>
        <v>20260410</v>
      </c>
      <c r="AK969" s="1" t="str">
        <f>_xlfn.TEXTBEFORE(_xlfn.TEXTAFTER(batch_summary[[#This Row],[video]],"_",2),".",1)</f>
        <v>100000</v>
      </c>
    </row>
    <row r="970" spans="1:37" x14ac:dyDescent="0.2">
      <c r="A970" s="1" t="s">
        <v>2289</v>
      </c>
      <c r="B970" s="1" t="s">
        <v>2290</v>
      </c>
      <c r="C970">
        <v>119.95833333333333</v>
      </c>
      <c r="D970">
        <v>2879</v>
      </c>
      <c r="E970">
        <v>0.29193803947418928</v>
      </c>
      <c r="F970">
        <v>44.360711231827736</v>
      </c>
      <c r="G970">
        <v>1.0140258404799905E-4</v>
      </c>
      <c r="H970">
        <v>1.5408374863434434E-2</v>
      </c>
      <c r="I970">
        <v>5</v>
      </c>
      <c r="J970" t="b">
        <v>1</v>
      </c>
      <c r="K970">
        <v>0.65</v>
      </c>
      <c r="L970">
        <v>1.3</v>
      </c>
      <c r="M970" t="b">
        <v>1</v>
      </c>
      <c r="N970">
        <v>200</v>
      </c>
      <c r="O970" t="b">
        <v>0</v>
      </c>
      <c r="P970" t="b">
        <v>0</v>
      </c>
      <c r="Q970">
        <v>0.7</v>
      </c>
      <c r="R970">
        <v>11498043.810828805</v>
      </c>
      <c r="S970">
        <v>11674260.21526593</v>
      </c>
      <c r="T970">
        <v>10651273.13182807</v>
      </c>
      <c r="U970">
        <v>10690101.84650141</v>
      </c>
      <c r="V970">
        <v>23172304.026094735</v>
      </c>
      <c r="W970">
        <v>21341374.97832948</v>
      </c>
      <c r="X970">
        <v>193169.60633076541</v>
      </c>
      <c r="Y970">
        <v>177906.56459878691</v>
      </c>
      <c r="Z970">
        <v>10214.01303943634</v>
      </c>
      <c r="AA970">
        <v>5335.3437445823702</v>
      </c>
      <c r="AB970">
        <v>106512.7313182807</v>
      </c>
      <c r="AC970">
        <v>106901.0184650141</v>
      </c>
      <c r="AD970">
        <v>213413.7497832948</v>
      </c>
      <c r="AE970">
        <v>1.0857924594654478</v>
      </c>
      <c r="AF970" s="1" t="s">
        <v>2291</v>
      </c>
      <c r="AG970" s="1" t="s">
        <v>2292</v>
      </c>
      <c r="AH970" s="1" t="s">
        <v>2293</v>
      </c>
      <c r="AI970" s="1" t="str">
        <f>_xlfn.TEXTAFTER(_xlfn.TEXTBEFORE(batch_summary[[#This Row],[video]],"_",1),"-",3)</f>
        <v>20</v>
      </c>
      <c r="AJ970" s="1" t="str">
        <f>_xlfn.TEXTBEFORE(_xlfn.TEXTAFTER(batch_summary[[#This Row],[video]],"_",1),"_",1)</f>
        <v>20260410</v>
      </c>
      <c r="AK970" s="1" t="str">
        <f>_xlfn.TEXTBEFORE(_xlfn.TEXTAFTER(batch_summary[[#This Row],[video]],"_",2),".",1)</f>
        <v>110000</v>
      </c>
    </row>
    <row r="971" spans="1:37" x14ac:dyDescent="0.2">
      <c r="A971" s="1" t="s">
        <v>2294</v>
      </c>
      <c r="B971" s="1" t="s">
        <v>2295</v>
      </c>
      <c r="C971">
        <v>119.95833333333333</v>
      </c>
      <c r="D971">
        <v>2879</v>
      </c>
      <c r="E971">
        <v>0.30602247640490532</v>
      </c>
      <c r="F971">
        <v>44.418412833474576</v>
      </c>
      <c r="G971">
        <v>1.0629471219343707E-4</v>
      </c>
      <c r="H971">
        <v>1.5428417100894262E-2</v>
      </c>
      <c r="I971">
        <v>5</v>
      </c>
      <c r="J971" t="b">
        <v>1</v>
      </c>
      <c r="K971">
        <v>0.65</v>
      </c>
      <c r="L971">
        <v>1.3</v>
      </c>
      <c r="M971" t="b">
        <v>1</v>
      </c>
      <c r="N971">
        <v>200</v>
      </c>
      <c r="O971" t="b">
        <v>0</v>
      </c>
      <c r="P971" t="b">
        <v>0</v>
      </c>
      <c r="Q971">
        <v>0.7</v>
      </c>
      <c r="R971">
        <v>11041699.721786976</v>
      </c>
      <c r="S971">
        <v>10001432.950103402</v>
      </c>
      <c r="T971">
        <v>10200032.402484477</v>
      </c>
      <c r="U971">
        <v>9131380.911293447</v>
      </c>
      <c r="V971">
        <v>21043132.671890378</v>
      </c>
      <c r="W971">
        <v>19331413.313777924</v>
      </c>
      <c r="X971">
        <v>175420.34877574473</v>
      </c>
      <c r="Y971">
        <v>161151.06617946169</v>
      </c>
      <c r="Z971">
        <v>8509.2031179809564</v>
      </c>
      <c r="AA971">
        <v>4832.8533284444811</v>
      </c>
      <c r="AB971">
        <v>102000.32402484477</v>
      </c>
      <c r="AC971">
        <v>91313.809112934468</v>
      </c>
      <c r="AD971">
        <v>193314.13313777925</v>
      </c>
      <c r="AE971">
        <v>1.0885460018017656</v>
      </c>
      <c r="AF971" s="1" t="s">
        <v>2296</v>
      </c>
      <c r="AG971" s="1" t="s">
        <v>2297</v>
      </c>
      <c r="AH971" s="1" t="s">
        <v>2298</v>
      </c>
      <c r="AI971" s="1" t="str">
        <f>_xlfn.TEXTAFTER(_xlfn.TEXTBEFORE(batch_summary[[#This Row],[video]],"_",1),"-",3)</f>
        <v>20</v>
      </c>
      <c r="AJ971" s="1" t="str">
        <f>_xlfn.TEXTBEFORE(_xlfn.TEXTAFTER(batch_summary[[#This Row],[video]],"_",1),"_",1)</f>
        <v>20260410</v>
      </c>
      <c r="AK971" s="1" t="str">
        <f>_xlfn.TEXTBEFORE(_xlfn.TEXTAFTER(batch_summary[[#This Row],[video]],"_",2),".",1)</f>
        <v>120000</v>
      </c>
    </row>
    <row r="972" spans="1:37" x14ac:dyDescent="0.2">
      <c r="A972" s="1" t="s">
        <v>2299</v>
      </c>
      <c r="B972" s="1" t="s">
        <v>2300</v>
      </c>
      <c r="C972">
        <v>119.95833333333333</v>
      </c>
      <c r="D972">
        <v>2879</v>
      </c>
      <c r="E972">
        <v>0.28750740084797144</v>
      </c>
      <c r="F972">
        <v>43.953072854317725</v>
      </c>
      <c r="G972">
        <v>9.9863633500511098E-5</v>
      </c>
      <c r="H972">
        <v>1.5266784596845337E-2</v>
      </c>
      <c r="I972">
        <v>5</v>
      </c>
      <c r="J972" t="b">
        <v>1</v>
      </c>
      <c r="K972">
        <v>0.65</v>
      </c>
      <c r="L972">
        <v>1.3</v>
      </c>
      <c r="M972" t="b">
        <v>1</v>
      </c>
      <c r="N972">
        <v>200</v>
      </c>
      <c r="O972" t="b">
        <v>0</v>
      </c>
      <c r="P972" t="b">
        <v>0</v>
      </c>
      <c r="Q972">
        <v>0.7</v>
      </c>
      <c r="R972">
        <v>14030049.075951099</v>
      </c>
      <c r="S972">
        <v>14477901.66911602</v>
      </c>
      <c r="T972">
        <v>13045302.777190804</v>
      </c>
      <c r="U972">
        <v>13397149.936991811</v>
      </c>
      <c r="V972">
        <v>28507950.74506712</v>
      </c>
      <c r="W972">
        <v>26442452.714182615</v>
      </c>
      <c r="X972">
        <v>237648.77314401211</v>
      </c>
      <c r="Y972">
        <v>220430.31092059147</v>
      </c>
      <c r="Z972">
        <v>9480.4979305267334</v>
      </c>
      <c r="AA972">
        <v>6610.6131785456546</v>
      </c>
      <c r="AB972">
        <v>130453.02777190805</v>
      </c>
      <c r="AC972">
        <v>133971.49936991811</v>
      </c>
      <c r="AD972">
        <v>264424.52714182617</v>
      </c>
      <c r="AE972">
        <v>1.0781129516694439</v>
      </c>
      <c r="AF972" s="1" t="s">
        <v>2301</v>
      </c>
      <c r="AG972" s="1" t="s">
        <v>2302</v>
      </c>
      <c r="AH972" s="1" t="s">
        <v>2303</v>
      </c>
      <c r="AI972" s="1" t="str">
        <f>_xlfn.TEXTAFTER(_xlfn.TEXTBEFORE(batch_summary[[#This Row],[video]],"_",1),"-",3)</f>
        <v>20</v>
      </c>
      <c r="AJ972" s="1" t="str">
        <f>_xlfn.TEXTBEFORE(_xlfn.TEXTAFTER(batch_summary[[#This Row],[video]],"_",1),"_",1)</f>
        <v>20260410</v>
      </c>
      <c r="AK972" s="1" t="str">
        <f>_xlfn.TEXTBEFORE(_xlfn.TEXTAFTER(batch_summary[[#This Row],[video]],"_",2),".",1)</f>
        <v>130000</v>
      </c>
    </row>
    <row r="973" spans="1:37" x14ac:dyDescent="0.2">
      <c r="A973" s="1" t="s">
        <v>2304</v>
      </c>
      <c r="B973" s="1" t="s">
        <v>2305</v>
      </c>
      <c r="C973">
        <v>119.95833333333333</v>
      </c>
      <c r="D973">
        <v>2879</v>
      </c>
      <c r="E973">
        <v>0.29716203641146421</v>
      </c>
      <c r="F973">
        <v>44.115155866369605</v>
      </c>
      <c r="G973">
        <v>1.0321710191436757E-4</v>
      </c>
      <c r="H973">
        <v>1.5323082968520182E-2</v>
      </c>
      <c r="I973">
        <v>5</v>
      </c>
      <c r="J973" t="b">
        <v>1</v>
      </c>
      <c r="K973">
        <v>0.65</v>
      </c>
      <c r="L973">
        <v>1.3</v>
      </c>
      <c r="M973" t="b">
        <v>1</v>
      </c>
      <c r="N973">
        <v>200</v>
      </c>
      <c r="O973" t="b">
        <v>0</v>
      </c>
      <c r="P973" t="b">
        <v>0</v>
      </c>
      <c r="Q973">
        <v>0.7</v>
      </c>
      <c r="R973">
        <v>11057426.583167076</v>
      </c>
      <c r="S973">
        <v>11877586.522292852</v>
      </c>
      <c r="T973">
        <v>10213771.681869209</v>
      </c>
      <c r="U973">
        <v>10943274.217034578</v>
      </c>
      <c r="V973">
        <v>22935013.105459929</v>
      </c>
      <c r="W973">
        <v>21157045.898903787</v>
      </c>
      <c r="X973">
        <v>191191.49514798136</v>
      </c>
      <c r="Y973">
        <v>176369.9553920427</v>
      </c>
      <c r="Z973">
        <v>8796.9180335998535</v>
      </c>
      <c r="AA973">
        <v>5289.2614747259477</v>
      </c>
      <c r="AB973">
        <v>102137.71681869209</v>
      </c>
      <c r="AC973">
        <v>109432.74217034578</v>
      </c>
      <c r="AD973">
        <v>211570.45898903787</v>
      </c>
      <c r="AE973">
        <v>1.0840366474153305</v>
      </c>
      <c r="AF973" s="1" t="s">
        <v>2306</v>
      </c>
      <c r="AG973" s="1" t="s">
        <v>2307</v>
      </c>
      <c r="AH973" s="1" t="s">
        <v>2308</v>
      </c>
      <c r="AI973" s="1" t="str">
        <f>_xlfn.TEXTAFTER(_xlfn.TEXTBEFORE(batch_summary[[#This Row],[video]],"_",1),"-",3)</f>
        <v>20</v>
      </c>
      <c r="AJ973" s="1" t="str">
        <f>_xlfn.TEXTBEFORE(_xlfn.TEXTAFTER(batch_summary[[#This Row],[video]],"_",1),"_",1)</f>
        <v>20260410</v>
      </c>
      <c r="AK973" s="1" t="str">
        <f>_xlfn.TEXTBEFORE(_xlfn.TEXTAFTER(batch_summary[[#This Row],[video]],"_",2),".",1)</f>
        <v>140000</v>
      </c>
    </row>
    <row r="974" spans="1:37" x14ac:dyDescent="0.2">
      <c r="A974" s="1" t="s">
        <v>2309</v>
      </c>
      <c r="B974" s="1" t="s">
        <v>2310</v>
      </c>
      <c r="C974">
        <v>119.95833333333333</v>
      </c>
      <c r="D974">
        <v>2879</v>
      </c>
      <c r="E974">
        <v>0.30194039735943079</v>
      </c>
      <c r="F974">
        <v>43.497165662236512</v>
      </c>
      <c r="G974">
        <v>1.0487683131623161E-4</v>
      </c>
      <c r="H974">
        <v>1.5108428503729251E-2</v>
      </c>
      <c r="I974">
        <v>5</v>
      </c>
      <c r="J974" t="b">
        <v>1</v>
      </c>
      <c r="K974">
        <v>0.65</v>
      </c>
      <c r="L974">
        <v>1.3</v>
      </c>
      <c r="M974" t="b">
        <v>1</v>
      </c>
      <c r="N974">
        <v>200</v>
      </c>
      <c r="O974" t="b">
        <v>0</v>
      </c>
      <c r="P974" t="b">
        <v>0</v>
      </c>
      <c r="Q974">
        <v>0.7</v>
      </c>
      <c r="R974">
        <v>22428259.343950272</v>
      </c>
      <c r="S974">
        <v>22473634.144609928</v>
      </c>
      <c r="T974">
        <v>21475628.335845709</v>
      </c>
      <c r="U974">
        <v>21403145.22976166</v>
      </c>
      <c r="V974">
        <v>44901893.4885602</v>
      </c>
      <c r="W974">
        <v>42878773.565607369</v>
      </c>
      <c r="X974">
        <v>374312.41532665677</v>
      </c>
      <c r="Y974">
        <v>357447.22666709858</v>
      </c>
      <c r="Z974">
        <v>14675.918624455928</v>
      </c>
      <c r="AA974">
        <v>10719.693391401841</v>
      </c>
      <c r="AB974">
        <v>214756.28335845709</v>
      </c>
      <c r="AC974">
        <v>214031.4522976166</v>
      </c>
      <c r="AD974">
        <v>428787.73565607367</v>
      </c>
      <c r="AE974">
        <v>1.047182317839789</v>
      </c>
      <c r="AF974" s="1" t="s">
        <v>2311</v>
      </c>
      <c r="AG974" s="1" t="s">
        <v>2312</v>
      </c>
      <c r="AH974" s="1" t="s">
        <v>2313</v>
      </c>
      <c r="AI974" s="1" t="str">
        <f>_xlfn.TEXTAFTER(_xlfn.TEXTBEFORE(batch_summary[[#This Row],[video]],"_",1),"-",3)</f>
        <v>20</v>
      </c>
      <c r="AJ974" s="1" t="str">
        <f>_xlfn.TEXTBEFORE(_xlfn.TEXTAFTER(batch_summary[[#This Row],[video]],"_",1),"_",1)</f>
        <v>20260410</v>
      </c>
      <c r="AK974" s="1" t="str">
        <f>_xlfn.TEXTBEFORE(_xlfn.TEXTAFTER(batch_summary[[#This Row],[video]],"_",2),".",1)</f>
        <v>150000</v>
      </c>
    </row>
    <row r="975" spans="1:37" x14ac:dyDescent="0.2">
      <c r="A975" s="1" t="s">
        <v>2314</v>
      </c>
      <c r="B975" s="1" t="s">
        <v>2315</v>
      </c>
      <c r="C975">
        <v>119.95833333333333</v>
      </c>
      <c r="D975">
        <v>2879</v>
      </c>
      <c r="E975">
        <v>0.30085031595081091</v>
      </c>
      <c r="F975">
        <v>44.630776787176728</v>
      </c>
      <c r="G975">
        <v>1.0449819935769744E-4</v>
      </c>
      <c r="H975">
        <v>1.5502180197004769E-2</v>
      </c>
      <c r="I975">
        <v>5</v>
      </c>
      <c r="J975" t="b">
        <v>1</v>
      </c>
      <c r="K975">
        <v>0.65</v>
      </c>
      <c r="L975">
        <v>1.3</v>
      </c>
      <c r="M975" t="b">
        <v>1</v>
      </c>
      <c r="N975">
        <v>200</v>
      </c>
      <c r="O975" t="b">
        <v>0</v>
      </c>
      <c r="P975" t="b">
        <v>0</v>
      </c>
      <c r="Q975">
        <v>0.7</v>
      </c>
      <c r="R975">
        <v>7693691.3451012373</v>
      </c>
      <c r="S975">
        <v>8906058.8787574172</v>
      </c>
      <c r="T975">
        <v>6934149.8676606417</v>
      </c>
      <c r="U975">
        <v>8043401.7960130572</v>
      </c>
      <c r="V975">
        <v>16599750.223858654</v>
      </c>
      <c r="W975">
        <v>14977551.663673699</v>
      </c>
      <c r="X975">
        <v>138379.30023362546</v>
      </c>
      <c r="Y975">
        <v>124856.28340679708</v>
      </c>
      <c r="Z975">
        <v>11036.440811996461</v>
      </c>
      <c r="AA975">
        <v>3744.3879159184244</v>
      </c>
      <c r="AB975">
        <v>69341.49867660641</v>
      </c>
      <c r="AC975">
        <v>80434.017960130572</v>
      </c>
      <c r="AD975">
        <v>149775.51663673698</v>
      </c>
      <c r="AE975">
        <v>1.1083086606283863</v>
      </c>
      <c r="AF975" s="1" t="s">
        <v>2316</v>
      </c>
      <c r="AG975" s="1" t="s">
        <v>2317</v>
      </c>
      <c r="AH975" s="1" t="s">
        <v>2318</v>
      </c>
      <c r="AI975" s="1" t="str">
        <f>_xlfn.TEXTAFTER(_xlfn.TEXTBEFORE(batch_summary[[#This Row],[video]],"_",1),"-",3)</f>
        <v>20</v>
      </c>
      <c r="AJ975" s="1" t="str">
        <f>_xlfn.TEXTBEFORE(_xlfn.TEXTAFTER(batch_summary[[#This Row],[video]],"_",1),"_",1)</f>
        <v>20260410</v>
      </c>
      <c r="AK975" s="1" t="str">
        <f>_xlfn.TEXTBEFORE(_xlfn.TEXTAFTER(batch_summary[[#This Row],[video]],"_",2),".",1)</f>
        <v>160000</v>
      </c>
    </row>
    <row r="976" spans="1:37" x14ac:dyDescent="0.2">
      <c r="A976" s="1" t="s">
        <v>2319</v>
      </c>
      <c r="B976" s="1" t="s">
        <v>2320</v>
      </c>
      <c r="C976">
        <v>119.95833333333333</v>
      </c>
      <c r="D976">
        <v>2879</v>
      </c>
      <c r="E976">
        <v>0.29604403953999281</v>
      </c>
      <c r="F976">
        <v>44.650052602402866</v>
      </c>
      <c r="G976">
        <v>1.0282877372003918E-4</v>
      </c>
      <c r="H976">
        <v>1.5508875513165288E-2</v>
      </c>
      <c r="I976">
        <v>5</v>
      </c>
      <c r="J976" t="b">
        <v>1</v>
      </c>
      <c r="K976">
        <v>0.65</v>
      </c>
      <c r="L976">
        <v>1.3</v>
      </c>
      <c r="M976" t="b">
        <v>1</v>
      </c>
      <c r="N976">
        <v>200</v>
      </c>
      <c r="O976" t="b">
        <v>0</v>
      </c>
      <c r="P976" t="b">
        <v>0</v>
      </c>
      <c r="Q976">
        <v>0.7</v>
      </c>
      <c r="R976">
        <v>8533564.5320902467</v>
      </c>
      <c r="S976">
        <v>8337498.8859067559</v>
      </c>
      <c r="T976">
        <v>7899328.2798337936</v>
      </c>
      <c r="U976">
        <v>7640367.6247551441</v>
      </c>
      <c r="V976">
        <v>16871063.417997003</v>
      </c>
      <c r="W976">
        <v>15539695.904588938</v>
      </c>
      <c r="X976">
        <v>140641.02884054466</v>
      </c>
      <c r="Y976">
        <v>129542.44588750765</v>
      </c>
      <c r="Z976">
        <v>6296.5221661376954</v>
      </c>
      <c r="AA976">
        <v>3884.9239761472345</v>
      </c>
      <c r="AB976">
        <v>78993.282798337939</v>
      </c>
      <c r="AC976">
        <v>76403.676247551441</v>
      </c>
      <c r="AD976">
        <v>155396.95904588938</v>
      </c>
      <c r="AE976">
        <v>1.0856752617028307</v>
      </c>
      <c r="AF976" s="1" t="s">
        <v>2321</v>
      </c>
      <c r="AG976" s="1" t="s">
        <v>2322</v>
      </c>
      <c r="AH976" s="1" t="s">
        <v>2323</v>
      </c>
      <c r="AI976" s="1" t="str">
        <f>_xlfn.TEXTAFTER(_xlfn.TEXTBEFORE(batch_summary[[#This Row],[video]],"_",1),"-",3)</f>
        <v>20</v>
      </c>
      <c r="AJ976" s="1" t="str">
        <f>_xlfn.TEXTBEFORE(_xlfn.TEXTAFTER(batch_summary[[#This Row],[video]],"_",1),"_",1)</f>
        <v>20260410</v>
      </c>
      <c r="AK976" s="1" t="str">
        <f>_xlfn.TEXTBEFORE(_xlfn.TEXTAFTER(batch_summary[[#This Row],[video]],"_",2),".",1)</f>
        <v>170000</v>
      </c>
    </row>
    <row r="977" spans="1:37" x14ac:dyDescent="0.2">
      <c r="A977" s="1" t="s">
        <v>2324</v>
      </c>
      <c r="B977" s="1" t="s">
        <v>2325</v>
      </c>
      <c r="C977">
        <v>119.95833333333333</v>
      </c>
      <c r="D977">
        <v>2879</v>
      </c>
      <c r="E977">
        <v>0.29212755151093006</v>
      </c>
      <c r="F977">
        <v>44.469749608077109</v>
      </c>
      <c r="G977">
        <v>1.0146840969466136E-4</v>
      </c>
      <c r="H977">
        <v>1.5446248561332792E-2</v>
      </c>
      <c r="I977">
        <v>5</v>
      </c>
      <c r="J977" t="b">
        <v>1</v>
      </c>
      <c r="K977">
        <v>0.65</v>
      </c>
      <c r="L977">
        <v>1.3</v>
      </c>
      <c r="M977" t="b">
        <v>1</v>
      </c>
      <c r="N977">
        <v>200</v>
      </c>
      <c r="O977" t="b">
        <v>0</v>
      </c>
      <c r="P977" t="b">
        <v>0</v>
      </c>
      <c r="Q977">
        <v>0.7</v>
      </c>
      <c r="R977">
        <v>7262999.3811684847</v>
      </c>
      <c r="S977">
        <v>7892838.7163358331</v>
      </c>
      <c r="T977">
        <v>6643863.3985388875</v>
      </c>
      <c r="U977">
        <v>7158217.4314912558</v>
      </c>
      <c r="V977">
        <v>15155838.097504318</v>
      </c>
      <c r="W977">
        <v>13802080.830030143</v>
      </c>
      <c r="X977">
        <v>126342.51974300231</v>
      </c>
      <c r="Y977">
        <v>115057.29069841038</v>
      </c>
      <c r="Z977">
        <v>6361.760624389648</v>
      </c>
      <c r="AA977">
        <v>3450.5202075075358</v>
      </c>
      <c r="AB977">
        <v>66438.633985388879</v>
      </c>
      <c r="AC977">
        <v>71582.174314912554</v>
      </c>
      <c r="AD977">
        <v>138020.80830030143</v>
      </c>
      <c r="AE977">
        <v>1.09808356320655</v>
      </c>
      <c r="AF977" s="1" t="s">
        <v>2326</v>
      </c>
      <c r="AG977" s="1" t="s">
        <v>2327</v>
      </c>
      <c r="AH977" s="1" t="s">
        <v>2328</v>
      </c>
      <c r="AI977" s="1" t="str">
        <f>_xlfn.TEXTAFTER(_xlfn.TEXTBEFORE(batch_summary[[#This Row],[video]],"_",1),"-",3)</f>
        <v>20</v>
      </c>
      <c r="AJ977" s="1" t="str">
        <f>_xlfn.TEXTBEFORE(_xlfn.TEXTAFTER(batch_summary[[#This Row],[video]],"_",1),"_",1)</f>
        <v>20260410</v>
      </c>
      <c r="AK977" s="1" t="str">
        <f>_xlfn.TEXTBEFORE(_xlfn.TEXTAFTER(batch_summary[[#This Row],[video]],"_",2),".",1)</f>
        <v>180000</v>
      </c>
    </row>
    <row r="978" spans="1:37" x14ac:dyDescent="0.2">
      <c r="A978" s="1" t="s">
        <v>2329</v>
      </c>
      <c r="B978" s="1" t="s">
        <v>2330</v>
      </c>
      <c r="C978">
        <v>119.95833333333333</v>
      </c>
      <c r="D978">
        <v>2879</v>
      </c>
      <c r="E978">
        <v>0.34185156039893627</v>
      </c>
      <c r="F978">
        <v>45.452720677480102</v>
      </c>
      <c r="G978">
        <v>1.1873968753002302E-4</v>
      </c>
      <c r="H978">
        <v>1.5787676511802743E-2</v>
      </c>
      <c r="I978">
        <v>5</v>
      </c>
      <c r="J978" t="b">
        <v>1</v>
      </c>
      <c r="K978">
        <v>0.65</v>
      </c>
      <c r="L978">
        <v>1.3</v>
      </c>
      <c r="M978" t="b">
        <v>1</v>
      </c>
      <c r="N978">
        <v>200</v>
      </c>
      <c r="O978" t="b">
        <v>0</v>
      </c>
      <c r="P978" t="b">
        <v>0</v>
      </c>
      <c r="Q978">
        <v>0.7</v>
      </c>
      <c r="R978">
        <v>2130270.2395095229</v>
      </c>
      <c r="S978">
        <v>1906920.4327526093</v>
      </c>
      <c r="T978">
        <v>1432986.1368062496</v>
      </c>
      <c r="U978">
        <v>1208985.4833264351</v>
      </c>
      <c r="V978">
        <v>4037190.6722621322</v>
      </c>
      <c r="W978">
        <v>2641971.6201326847</v>
      </c>
      <c r="X978">
        <v>33654.941345707251</v>
      </c>
      <c r="Y978">
        <v>22024.077416875454</v>
      </c>
      <c r="Z978">
        <v>1215.5282516098023</v>
      </c>
      <c r="AA978">
        <v>660.49290503317127</v>
      </c>
      <c r="AB978">
        <v>14329.861368062497</v>
      </c>
      <c r="AC978">
        <v>12089.854833264351</v>
      </c>
      <c r="AD978">
        <v>26419.716201326846</v>
      </c>
      <c r="AE978">
        <v>1.5280976682328544</v>
      </c>
      <c r="AF978" s="1" t="s">
        <v>2331</v>
      </c>
      <c r="AG978" s="1" t="s">
        <v>2332</v>
      </c>
      <c r="AH978" s="1" t="s">
        <v>2333</v>
      </c>
      <c r="AI978" s="1" t="str">
        <f>_xlfn.TEXTAFTER(_xlfn.TEXTBEFORE(batch_summary[[#This Row],[video]],"_",1),"-",3)</f>
        <v>20</v>
      </c>
      <c r="AJ978" s="1" t="str">
        <f>_xlfn.TEXTBEFORE(_xlfn.TEXTAFTER(batch_summary[[#This Row],[video]],"_",1),"_",1)</f>
        <v>20260410</v>
      </c>
      <c r="AK978" s="1" t="str">
        <f>_xlfn.TEXTBEFORE(_xlfn.TEXTAFTER(batch_summary[[#This Row],[video]],"_",2),".",1)</f>
        <v>190000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8671-90B0-2A46-BB3E-888DD547C44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6D821-D6CD-0240-A97C-45EB1A9A8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박시우/임베디드시스템공학과</dc:creator>
  <cp:lastModifiedBy>박시우/임베디드시스템공학과</cp:lastModifiedBy>
  <dcterms:created xsi:type="dcterms:W3CDTF">2026-06-02T00:37:01Z</dcterms:created>
  <dcterms:modified xsi:type="dcterms:W3CDTF">2026-06-02T01:08:49Z</dcterms:modified>
</cp:coreProperties>
</file>